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ício" sheetId="1" r:id="rId4"/>
    <sheet state="visible" name="Patrimônio" sheetId="2" r:id="rId5"/>
    <sheet state="visible" name="Movimentação" sheetId="3" r:id="rId6"/>
    <sheet state="visible" name="Manutenção" sheetId="4" r:id="rId7"/>
    <sheet state="visible" name="Rádio" sheetId="5" r:id="rId8"/>
    <sheet state="visible" name="Locado" sheetId="6" r:id="rId9"/>
    <sheet state="visible" name="Painel" sheetId="7" r:id="rId10"/>
    <sheet state="hidden" name="Listas" sheetId="8" r:id="rId11"/>
  </sheets>
  <definedNames>
    <definedName hidden="1" localSheetId="1" name="_xlnm._FilterDatabase">'Patrimônio'!$A$6:$M$1003</definedName>
    <definedName hidden="1" localSheetId="2" name="_xlnm._FilterDatabase">'Movimentação'!$A$6:$H$1006</definedName>
    <definedName hidden="1" localSheetId="3" name="_xlnm._FilterDatabase">'Manutenção'!$A$6:$K$1006</definedName>
    <definedName hidden="1" localSheetId="4" name="_xlnm._FilterDatabase">'Rádio'!$A$7:$I$37</definedName>
    <definedName hidden="1" localSheetId="5" name="_xlnm._FilterDatabase">Locado!$A$6:$L$82</definedName>
  </definedNames>
  <calcPr/>
  <extLst>
    <ext uri="GoogleSheetsCustomDataVersion2">
      <go:sheetsCustomData xmlns:go="http://customooxmlschemas.google.com/" r:id="rId12" roundtripDataChecksum="afsbtwJ1MuSo3I4krqUcdJiFYOBJAcGHxaXNd9M2zx4="/>
    </ext>
  </extLst>
</workbook>
</file>

<file path=xl/sharedStrings.xml><?xml version="1.0" encoding="utf-8"?>
<sst xmlns="http://schemas.openxmlformats.org/spreadsheetml/2006/main" count="3066" uniqueCount="694">
  <si>
    <t>CONTROLE DE FERRAMENTAS E PATRIMÔNIO</t>
  </si>
  <si>
    <t>PATRIMÔNIO — FERRAMENTAS PRÓPRIAS EICES</t>
  </si>
  <si>
    <t>EICES Engenharia — Instalações, Consultoria e Soluções Energéticas</t>
  </si>
  <si>
    <t>Cadastro-base. Preencha as colunas brancas. Cinza = automático.</t>
  </si>
  <si>
    <t>Manual de uso — leia antes de operar a planilha. Este arquivo é o padrão oficial da EICES para controle de ferramentas.</t>
  </si>
  <si>
    <t>Código</t>
  </si>
  <si>
    <t>1. PARA QUE SERVE</t>
  </si>
  <si>
    <t>Categoria</t>
  </si>
  <si>
    <t>Item / Descrição</t>
  </si>
  <si>
    <t>Marca</t>
  </si>
  <si>
    <t>Modelo</t>
  </si>
  <si>
    <t xml:space="preserve">MOVIMENTAÇÃO </t>
  </si>
  <si>
    <t>Nº de Série</t>
  </si>
  <si>
    <t>Registrar TODA ferramenta própria da EICES, saber onde cada uma está hoje, o que quebrou, o que está em manutenção,</t>
  </si>
  <si>
    <t>Valor (R$)</t>
  </si>
  <si>
    <t>Estimado? (S/N)</t>
  </si>
  <si>
    <t>Nota Fiscal</t>
  </si>
  <si>
    <t>quanto se gasta de locação por mês e o que precisa comprar. Substitui os controles antigos — a partir de agora, tudo aqui.</t>
  </si>
  <si>
    <t>Obra Atual</t>
  </si>
  <si>
    <t>Responsável</t>
  </si>
  <si>
    <t>2. AS 6 ABAS</t>
  </si>
  <si>
    <t>Status</t>
  </si>
  <si>
    <t>Observação</t>
  </si>
  <si>
    <t>MANUTENÇÃO — FICHA DE CONSERTOS</t>
  </si>
  <si>
    <t>Locação EICES / mês (R$)</t>
  </si>
  <si>
    <t>PAR-01</t>
  </si>
  <si>
    <t>PATRIMÔNIO  —  cadastro de cada ferramenta própria (1 linha por ferramenta). É a base de tudo.</t>
  </si>
  <si>
    <t>Registre 1 linha por evento: mudou de obra, quebrou, sumiu, foi baixada.</t>
  </si>
  <si>
    <t>MOVIMENTAÇÃO  —  o "filme": cada vez que uma ferramenta muda de obra, quebra, some ou é baixada, registre 1 linha aqui.</t>
  </si>
  <si>
    <t>MANUTENÇÃO  —  ficha de cada conserto: onde quebrou, custo, quando entrou e voltou.</t>
  </si>
  <si>
    <t>LOCADO  —  ferramentas alugadas de terceiros (Ônix, Impacto, etc.). Controla o custo mensal de locação. Ao devolver, preencha a Data Devolução.</t>
  </si>
  <si>
    <t>RÁDIO  —  controle à parte, por obra: quantidade, custo, quebra/sumiço, de quem foi descontado e devolução ao encerrar a obra.</t>
  </si>
  <si>
    <t>PAINEL  —  números gerais: valor da frota, quebrados, custo de locação, alertas de compra (preenche sozinho).</t>
  </si>
  <si>
    <t>Data</t>
  </si>
  <si>
    <t>Cada conserto = 1 linha. Alimenta o giro de estoque e o custo de manutenção.</t>
  </si>
  <si>
    <t>PARAFUSADEIRA</t>
  </si>
  <si>
    <t>3. REGRAS DE OURO</t>
  </si>
  <si>
    <t>Item (auto)</t>
  </si>
  <si>
    <t>Parafusadeira</t>
  </si>
  <si>
    <t>Obra Origem</t>
  </si>
  <si>
    <t>BOSCH</t>
  </si>
  <si>
    <t>GSR 185 -LI</t>
  </si>
  <si>
    <t>Obra Destino</t>
  </si>
  <si>
    <t>330 43 0275</t>
  </si>
  <si>
    <t>Tipo / Motivo</t>
  </si>
  <si>
    <t>1)  A MOVIMENTAÇÃO manda. As colunas "Obra Atual" e "Status" no Patrimônio se preenchem SOZINHAS a partir da</t>
  </si>
  <si>
    <t xml:space="preserve">     Movimentação e da Manutenção. Nunca digite obra/status na mão no Patrimônio — registre o evento na Movimentação.</t>
  </si>
  <si>
    <t>N</t>
  </si>
  <si>
    <t>2)  Código NUNCA se repete e NUNCA se recicla. Se a PAR-03 é furtada/baixada, o código PAR-03 morre com ela.</t>
  </si>
  <si>
    <t>Data Entrada</t>
  </si>
  <si>
    <t>3)  Valor ESTIMADO fica pintado de AMARELO. Valor com nota fiscal fica branco. (ver legenda abaixo)</t>
  </si>
  <si>
    <t>4)  RÁDIO nunca é patrimônio — é sempre locado. Fica só na aba Rádio.</t>
  </si>
  <si>
    <t>Categoria (auto)</t>
  </si>
  <si>
    <t>5)  Células cinza-claras são automáticas (fórmula). Você pode selecionar e filtrar, mas não editar. Edite só as colunas brancas.</t>
  </si>
  <si>
    <t>Obra onde Quebrou</t>
  </si>
  <si>
    <t>Custo (R$)</t>
  </si>
  <si>
    <t>Data Retorno</t>
  </si>
  <si>
    <t>6)  Para localizar itens use os FILTROS (setinhas no cabeçalho de cada aba): filtre por obra, categoria, status, etc.</t>
  </si>
  <si>
    <t>Obra Retorno</t>
  </si>
  <si>
    <t>7)  Ao encerrar uma locação (Locado ou Rádio), preencha a Data Devolução. O item vira ENCERRADO e para de contar no custo mensal — a linha permanece no histórico.</t>
  </si>
  <si>
    <t>Dias Parado (auto)</t>
  </si>
  <si>
    <t>4. STATUS AUTOMÁTICO (coluna Status do Patrimônio)</t>
  </si>
  <si>
    <t>EM OBRA = está em uma obra   |   MANUTENÇÃO = em conserto   |   PENDENTE-PROCURAR = sem localização, achar em obra/estoque</t>
  </si>
  <si>
    <t>PAR-18</t>
  </si>
  <si>
    <t>FURTADO / BAIXADO = fora da frota (último evento na Movimentação foi FURTO ou BAIXA)</t>
  </si>
  <si>
    <t>5. LEGENDA DE CORES</t>
  </si>
  <si>
    <t xml:space="preserve">  </t>
  </si>
  <si>
    <t>Valor estimado (sem nota fiscal)</t>
  </si>
  <si>
    <t>Coluna automática — não editar (travada)</t>
  </si>
  <si>
    <t>Cabeçalho</t>
  </si>
  <si>
    <t>6. PADRÃO DE CÓDIGO DE PATRIMÔNIO (proposta — PREFIXO-NN)</t>
  </si>
  <si>
    <t>Formato: 3 letras da categoria + hífen + número de 2 dígitos. Ex.: PAR-01 (parafusadeira 1), PEZ-02 (perfuratriz 2).</t>
  </si>
  <si>
    <t>Tabela de prefixos por categoria:</t>
  </si>
  <si>
    <t>PAR</t>
  </si>
  <si>
    <t>CARGA INICIAL</t>
  </si>
  <si>
    <t>PEDRO H</t>
  </si>
  <si>
    <t>FUR</t>
  </si>
  <si>
    <t>FURADEIRA</t>
  </si>
  <si>
    <t>ROM</t>
  </si>
  <si>
    <t>ROMPEDOR</t>
  </si>
  <si>
    <t>ENTRADA (NOVA)</t>
  </si>
  <si>
    <t>ESM</t>
  </si>
  <si>
    <t>ESMERILHADEIRA</t>
  </si>
  <si>
    <t>EICES</t>
  </si>
  <si>
    <t>SMA</t>
  </si>
  <si>
    <t>SERRA MÁRMORE</t>
  </si>
  <si>
    <t>SES</t>
  </si>
  <si>
    <t>SERRA DE ESQUADRIA</t>
  </si>
  <si>
    <t>sincronizado c/ aferida ago/2026</t>
  </si>
  <si>
    <t>MT5</t>
  </si>
  <si>
    <t>MARTELETE 5KG</t>
  </si>
  <si>
    <t>M10</t>
  </si>
  <si>
    <t>MARTELETE 10KG</t>
  </si>
  <si>
    <t>LAS</t>
  </si>
  <si>
    <t>LASER</t>
  </si>
  <si>
    <t>TLA</t>
  </si>
  <si>
    <t>PAR-02</t>
  </si>
  <si>
    <t>TRIPÉ LASER</t>
  </si>
  <si>
    <t>PEZ</t>
  </si>
  <si>
    <t>PERFURATRIZ</t>
  </si>
  <si>
    <t>PEX</t>
  </si>
  <si>
    <t>PERFURATRIZ EXTRATORA</t>
  </si>
  <si>
    <t>MOR</t>
  </si>
  <si>
    <t>MORSA</t>
  </si>
  <si>
    <t>TER</t>
  </si>
  <si>
    <t>TERMOFUSOR</t>
  </si>
  <si>
    <t>SOP</t>
  </si>
  <si>
    <t>SOPRADOR</t>
  </si>
  <si>
    <t>VAZ</t>
  </si>
  <si>
    <t>VAZADOR</t>
  </si>
  <si>
    <t>PFP</t>
  </si>
  <si>
    <t>PISTOLA FINCA PINO</t>
  </si>
  <si>
    <t>MTA</t>
  </si>
  <si>
    <t>MÁQUINA TESTE ÁGUA</t>
  </si>
  <si>
    <t>MTE</t>
  </si>
  <si>
    <t>MÁQUINA TESTE ELÉTRICA</t>
  </si>
  <si>
    <t>COM</t>
  </si>
  <si>
    <t>COMPRESSOR</t>
  </si>
  <si>
    <t>PPE</t>
  </si>
  <si>
    <t>PRENSA PEX</t>
  </si>
  <si>
    <t>ANGELICA</t>
  </si>
  <si>
    <t>PTE</t>
  </si>
  <si>
    <t>PRENSA TERMINAL</t>
  </si>
  <si>
    <t>PGA</t>
  </si>
  <si>
    <t>PRENSA GÁS</t>
  </si>
  <si>
    <t>MTI</t>
  </si>
  <si>
    <t>MÁQUINA DE TINTA</t>
  </si>
  <si>
    <t>ALPHA ONE</t>
  </si>
  <si>
    <t>VOLTOU</t>
  </si>
  <si>
    <t>MAN</t>
  </si>
  <si>
    <t>MANÔMETRO</t>
  </si>
  <si>
    <t>TCF</t>
  </si>
  <si>
    <t>TESOURA CORTA FERRO</t>
  </si>
  <si>
    <t>PAR-03</t>
  </si>
  <si>
    <t>Código locado usa o código da própria locadora (quando vier na ferramenta). Rádio não usa código individual.</t>
  </si>
  <si>
    <t>FURTO</t>
  </si>
  <si>
    <t>PAR-04</t>
  </si>
  <si>
    <t>auditoria ago/2026</t>
  </si>
  <si>
    <t>FRP-06</t>
  </si>
  <si>
    <t>PAR-05</t>
  </si>
  <si>
    <t>ORIÇANGA</t>
  </si>
  <si>
    <t>PAR-5</t>
  </si>
  <si>
    <t>SAMPA CONSOLAÇÃO</t>
  </si>
  <si>
    <t>PEZ-02</t>
  </si>
  <si>
    <t>330 43 0280</t>
  </si>
  <si>
    <t>PAR-06</t>
  </si>
  <si>
    <t>PEZ-12</t>
  </si>
  <si>
    <t>PAR-07</t>
  </si>
  <si>
    <t>TANABI</t>
  </si>
  <si>
    <t>PAR-09</t>
  </si>
  <si>
    <t>JOA</t>
  </si>
  <si>
    <t>ESCRITÓRIO</t>
  </si>
  <si>
    <t>PAR-11</t>
  </si>
  <si>
    <t>TER-04</t>
  </si>
  <si>
    <t>MAURO</t>
  </si>
  <si>
    <t>PAR-12</t>
  </si>
  <si>
    <t>PAR-14</t>
  </si>
  <si>
    <t>TER-06</t>
  </si>
  <si>
    <t>330 43 0274</t>
  </si>
  <si>
    <t>BIOMA</t>
  </si>
  <si>
    <t>PAR-15</t>
  </si>
  <si>
    <t>ARENGA (TRISUL)</t>
  </si>
  <si>
    <t>PFP-12</t>
  </si>
  <si>
    <t>ASSISTENCIA TECNICA</t>
  </si>
  <si>
    <t>PAR-17</t>
  </si>
  <si>
    <t>BAIXA</t>
  </si>
  <si>
    <t>PJM</t>
  </si>
  <si>
    <t>PPE-02</t>
  </si>
  <si>
    <t>PAR-19</t>
  </si>
  <si>
    <t>330 43 0279</t>
  </si>
  <si>
    <t>SEM CONSERTO</t>
  </si>
  <si>
    <t>PAR-20</t>
  </si>
  <si>
    <t>PEZ-10</t>
  </si>
  <si>
    <t>PAR-21</t>
  </si>
  <si>
    <t>FRP-01</t>
  </si>
  <si>
    <t>FRP-14</t>
  </si>
  <si>
    <t>FRP-02</t>
  </si>
  <si>
    <t>baixa (perda total)</t>
  </si>
  <si>
    <t>330 43 0273</t>
  </si>
  <si>
    <t>FRP-03</t>
  </si>
  <si>
    <t>EM CONSERTO</t>
  </si>
  <si>
    <t>DIEGO</t>
  </si>
  <si>
    <t>FRP-05</t>
  </si>
  <si>
    <t>ALTIER</t>
  </si>
  <si>
    <t>PEZ-03</t>
  </si>
  <si>
    <t>FRP-07</t>
  </si>
  <si>
    <t>FRP-08</t>
  </si>
  <si>
    <t>JERONIMO</t>
  </si>
  <si>
    <t>FRP-09</t>
  </si>
  <si>
    <t>S</t>
  </si>
  <si>
    <t>RÁDIO — CONTROLE POR OBRA</t>
  </si>
  <si>
    <t>FRP-10</t>
  </si>
  <si>
    <t>Rádio é sempre locado (nunca patrimônio). Preencha a Data Devolução ao encerrar a obra — o custo sai sozinho.</t>
  </si>
  <si>
    <t>FRP-11</t>
  </si>
  <si>
    <t>1. SITUAÇÃO ATUAL POR OBRA</t>
  </si>
  <si>
    <t>Obra</t>
  </si>
  <si>
    <t>330 43 0281</t>
  </si>
  <si>
    <t>Locadora</t>
  </si>
  <si>
    <t>Qtd Atual</t>
  </si>
  <si>
    <t>FRP-12</t>
  </si>
  <si>
    <t>Custo Mensal Unit. (R$)</t>
  </si>
  <si>
    <t>Custo Mensal Total (R$)</t>
  </si>
  <si>
    <t>Data Início</t>
  </si>
  <si>
    <t>Data Devolução</t>
  </si>
  <si>
    <t>STOCK TOTAL</t>
  </si>
  <si>
    <t>CMA-05</t>
  </si>
  <si>
    <t>em uso</t>
  </si>
  <si>
    <t>ESL-01</t>
  </si>
  <si>
    <t>ESCRITORIO</t>
  </si>
  <si>
    <t xml:space="preserve">3601JF3EQ </t>
  </si>
  <si>
    <t>3601JF3EQ (EICES-2)</t>
  </si>
  <si>
    <t>ESL-02</t>
  </si>
  <si>
    <t>carga inicial ago/2026</t>
  </si>
  <si>
    <t>OLUAP</t>
  </si>
  <si>
    <t>ESL-03</t>
  </si>
  <si>
    <t>RADIO WAY</t>
  </si>
  <si>
    <t>ESL-04</t>
  </si>
  <si>
    <t>entrada de 3 uni em 21/08/2026</t>
  </si>
  <si>
    <t>BALTAZAR</t>
  </si>
  <si>
    <t>HALCEPE</t>
  </si>
  <si>
    <t>ESL-07</t>
  </si>
  <si>
    <t>PAR-08</t>
  </si>
  <si>
    <t>3601JF83E0 (EICES-1)</t>
  </si>
  <si>
    <t>MSE-01</t>
  </si>
  <si>
    <t>VIRGILIO</t>
  </si>
  <si>
    <t>MSE-02</t>
  </si>
  <si>
    <t>CUNHA GAGO</t>
  </si>
  <si>
    <t>MSE-03</t>
  </si>
  <si>
    <t>MSE-04</t>
  </si>
  <si>
    <t>DEWALT</t>
  </si>
  <si>
    <t>DCD716</t>
  </si>
  <si>
    <t>MSE-05</t>
  </si>
  <si>
    <t>MSE-06</t>
  </si>
  <si>
    <t>sem carregador</t>
  </si>
  <si>
    <t>MSE-07</t>
  </si>
  <si>
    <t>CMA-01</t>
  </si>
  <si>
    <t>CMA-02</t>
  </si>
  <si>
    <t>CMA-03</t>
  </si>
  <si>
    <t>ARTHUR PRADO</t>
  </si>
  <si>
    <t>CMA-04</t>
  </si>
  <si>
    <t>PAR-10</t>
  </si>
  <si>
    <t>GSB 180-LI</t>
  </si>
  <si>
    <t>MDA-01</t>
  </si>
  <si>
    <t>TOTAL MENSAL RÁDIO:</t>
  </si>
  <si>
    <t>2. HISTÓRICO DE EVENTOS (entrega / quebra / sumiço / reposição)</t>
  </si>
  <si>
    <t>LAS-01</t>
  </si>
  <si>
    <t>Evento</t>
  </si>
  <si>
    <t>Qtd</t>
  </si>
  <si>
    <t>Custo do Item (R$)</t>
  </si>
  <si>
    <t>Recuperado de</t>
  </si>
  <si>
    <t>LAS-04</t>
  </si>
  <si>
    <t>LAS-05</t>
  </si>
  <si>
    <t>LAS-06</t>
  </si>
  <si>
    <t>LAS-07</t>
  </si>
  <si>
    <t>NEWBEAT</t>
  </si>
  <si>
    <t>BRUSHLESS</t>
  </si>
  <si>
    <t>EW SI 0031</t>
  </si>
  <si>
    <t>LAS-08</t>
  </si>
  <si>
    <t>LAS-09</t>
  </si>
  <si>
    <t>LAS-10</t>
  </si>
  <si>
    <t>PEZ-01</t>
  </si>
  <si>
    <t>EW SI 0056</t>
  </si>
  <si>
    <t>PEZ-04</t>
  </si>
  <si>
    <t>PEZ-07</t>
  </si>
  <si>
    <t>PEZ-08</t>
  </si>
  <si>
    <t>PEZ-09</t>
  </si>
  <si>
    <t>PAR-13</t>
  </si>
  <si>
    <t>EW SI 0057</t>
  </si>
  <si>
    <t>PEZ-11</t>
  </si>
  <si>
    <t>MOR-01</t>
  </si>
  <si>
    <t>RESUMO DE PERDAS DE RÁDIO</t>
  </si>
  <si>
    <t>EW SI 0035</t>
  </si>
  <si>
    <t>Total perdido/quebrado (R$):</t>
  </si>
  <si>
    <t>MOR-02</t>
  </si>
  <si>
    <t>TER-01</t>
  </si>
  <si>
    <t>Recuperado (empreiteiro+equipe):</t>
  </si>
  <si>
    <t>TER-02</t>
  </si>
  <si>
    <t>Prejuízo EICES (não recuperado):</t>
  </si>
  <si>
    <t>TER-03</t>
  </si>
  <si>
    <t>EW SI 0023</t>
  </si>
  <si>
    <t>TER-05</t>
  </si>
  <si>
    <t>SOP-02</t>
  </si>
  <si>
    <t>VAZ-01</t>
  </si>
  <si>
    <t>VAZ-02</t>
  </si>
  <si>
    <t>PFP-01</t>
  </si>
  <si>
    <t>PAR-16</t>
  </si>
  <si>
    <t>WILLIAM</t>
  </si>
  <si>
    <t>PFP-02</t>
  </si>
  <si>
    <t>PFP-03</t>
  </si>
  <si>
    <t>PFP-04</t>
  </si>
  <si>
    <t>PFP-05</t>
  </si>
  <si>
    <t>ARITA</t>
  </si>
  <si>
    <t>PFP-06</t>
  </si>
  <si>
    <t>AR-M1370PRO</t>
  </si>
  <si>
    <t>DR130A01667</t>
  </si>
  <si>
    <t>PFP-07</t>
  </si>
  <si>
    <t>PFP-08</t>
  </si>
  <si>
    <t>PFP-09</t>
  </si>
  <si>
    <t>PRP-10</t>
  </si>
  <si>
    <t>DR13A001666</t>
  </si>
  <si>
    <t>PFP-11</t>
  </si>
  <si>
    <t>THIAGO</t>
  </si>
  <si>
    <t>PFP-13</t>
  </si>
  <si>
    <t>TES-01</t>
  </si>
  <si>
    <t>DR13A001599</t>
  </si>
  <si>
    <t>TES-02</t>
  </si>
  <si>
    <t>TES-03</t>
  </si>
  <si>
    <t>TES-04</t>
  </si>
  <si>
    <t>MIL-01</t>
  </si>
  <si>
    <t>INFRA</t>
  </si>
  <si>
    <t>MIL-02</t>
  </si>
  <si>
    <t>DR13A001600</t>
  </si>
  <si>
    <t>COM-01</t>
  </si>
  <si>
    <t>COM-02</t>
  </si>
  <si>
    <t>COM-03</t>
  </si>
  <si>
    <t>PPE-01</t>
  </si>
  <si>
    <t>DR13A001823</t>
  </si>
  <si>
    <t>PPE-03</t>
  </si>
  <si>
    <t>PPE-04</t>
  </si>
  <si>
    <t>LOCADO — FERRAMENTAS ALUGADAS DE TERCEIROS</t>
  </si>
  <si>
    <t>PPE-05</t>
  </si>
  <si>
    <t>Controle do custo mensal. Preencha a Data Devolução ao encerrar — o custo sai sozinho.</t>
  </si>
  <si>
    <t>PPE-06</t>
  </si>
  <si>
    <t>Fornecedor (Locadora)</t>
  </si>
  <si>
    <t>Item</t>
  </si>
  <si>
    <t>Rompedor</t>
  </si>
  <si>
    <t>GBH 2-28 D</t>
  </si>
  <si>
    <t>329 000 519</t>
  </si>
  <si>
    <t>Cód. Locadora</t>
  </si>
  <si>
    <t>PTE-01</t>
  </si>
  <si>
    <t>ONIX</t>
  </si>
  <si>
    <t>PTE-02</t>
  </si>
  <si>
    <t>OBS NÃO ENCONTRADO 31/08</t>
  </si>
  <si>
    <t>PTE-03</t>
  </si>
  <si>
    <t>F 22</t>
  </si>
  <si>
    <t>PGA-01</t>
  </si>
  <si>
    <t>EM 31</t>
  </si>
  <si>
    <t>TRANSFERÊNCIA</t>
  </si>
  <si>
    <t>MAN-02</t>
  </si>
  <si>
    <t>Esmerilhadeira</t>
  </si>
  <si>
    <t>3911BAU2E0</t>
  </si>
  <si>
    <t>PCA-01</t>
  </si>
  <si>
    <t>L 50</t>
  </si>
  <si>
    <t>Serra Marmore</t>
  </si>
  <si>
    <t>EXT-01</t>
  </si>
  <si>
    <t>SM 28</t>
  </si>
  <si>
    <t>IMPACTO</t>
  </si>
  <si>
    <t>SOP-02-B</t>
  </si>
  <si>
    <t>ANDAIME</t>
  </si>
  <si>
    <t>Andaime</t>
  </si>
  <si>
    <t>ALPHA ONE</t>
  </si>
  <si>
    <t>TSF-01</t>
  </si>
  <si>
    <t>Martelete 10Kg</t>
  </si>
  <si>
    <t>3611BA02E0</t>
  </si>
  <si>
    <t>INOVATRI</t>
  </si>
  <si>
    <t>PTE-04</t>
  </si>
  <si>
    <t>MÁQUINA DE RANHURA</t>
  </si>
  <si>
    <t>Maquina De Ranhura</t>
  </si>
  <si>
    <t>MÁQUINA DE ROSCA</t>
  </si>
  <si>
    <t>Maquina De Rosca</t>
  </si>
  <si>
    <t>PPE-07</t>
  </si>
  <si>
    <t>PUL-01</t>
  </si>
  <si>
    <t>EM 015</t>
  </si>
  <si>
    <t>Acompanha 1x punho</t>
  </si>
  <si>
    <t>APX-01</t>
  </si>
  <si>
    <t>APX-02</t>
  </si>
  <si>
    <t>FRP-04</t>
  </si>
  <si>
    <t>MDA-02</t>
  </si>
  <si>
    <t>SERRA CIRCULAR MAKITA</t>
  </si>
  <si>
    <t>Serra Circular Makita</t>
  </si>
  <si>
    <t>MOR-03</t>
  </si>
  <si>
    <t>ENXOVIA</t>
  </si>
  <si>
    <t>Martelete 5Kg</t>
  </si>
  <si>
    <t>MT-09</t>
  </si>
  <si>
    <t>MOR-04</t>
  </si>
  <si>
    <t>GRI-01</t>
  </si>
  <si>
    <t>EM 031</t>
  </si>
  <si>
    <t>EC 207</t>
  </si>
  <si>
    <t>GRI-02</t>
  </si>
  <si>
    <t>THAF</t>
  </si>
  <si>
    <t>H26F-3</t>
  </si>
  <si>
    <t>JCH-01</t>
  </si>
  <si>
    <t>SOL-01</t>
  </si>
  <si>
    <t>EC 231</t>
  </si>
  <si>
    <t>JORGE</t>
  </si>
  <si>
    <t>GQ 071</t>
  </si>
  <si>
    <t>Acompanha bateria, carregador e maleta</t>
  </si>
  <si>
    <t>GQ 076</t>
  </si>
  <si>
    <t>GUILHERME</t>
  </si>
  <si>
    <t>mandar email para a assinatura do termo</t>
  </si>
  <si>
    <t>LASER (tripé)</t>
  </si>
  <si>
    <t>Laser (Tripé)</t>
  </si>
  <si>
    <t>??</t>
  </si>
  <si>
    <t>ENCERRADO</t>
  </si>
  <si>
    <t>Pistola Finca Pino</t>
  </si>
  <si>
    <t>CA 015</t>
  </si>
  <si>
    <t>EC 253</t>
  </si>
  <si>
    <t>FURADEIRA DE BANCADA</t>
  </si>
  <si>
    <t>Furadeira De Bancada</t>
  </si>
  <si>
    <t>GE 001</t>
  </si>
  <si>
    <t>EC 217</t>
  </si>
  <si>
    <t>GQ 092</t>
  </si>
  <si>
    <t>Laser</t>
  </si>
  <si>
    <t>UH 002</t>
  </si>
  <si>
    <t>Acompanha tripé, régua, base, óculos, receptor e controle RC1 Bosch</t>
  </si>
  <si>
    <t>WE 014</t>
  </si>
  <si>
    <t>Acompanha flange superior, flange inferior, chave pinus, punho e proteção</t>
  </si>
  <si>
    <t>WE 151</t>
  </si>
  <si>
    <t>EG 080</t>
  </si>
  <si>
    <t>EG 108</t>
  </si>
  <si>
    <t>ROMPEDOR DE 10KG</t>
  </si>
  <si>
    <t>EG 090</t>
  </si>
  <si>
    <t>TAYANE</t>
  </si>
  <si>
    <t>XR 048</t>
  </si>
  <si>
    <t>POLIGROOVET CUT 8</t>
  </si>
  <si>
    <t>Máquina de corte de tubo 1" - 8"</t>
  </si>
  <si>
    <t>MAYARA</t>
  </si>
  <si>
    <t>LUCAS</t>
  </si>
  <si>
    <t>CA 039</t>
  </si>
  <si>
    <t>CB 029</t>
  </si>
  <si>
    <t>MARCIO</t>
  </si>
  <si>
    <t>MARCIO SAIU DA EMPRESA E LEVOU A FERRAMENTA</t>
  </si>
  <si>
    <t>CB 025</t>
  </si>
  <si>
    <t>TIAGO</t>
  </si>
  <si>
    <t>EM 009</t>
  </si>
  <si>
    <t>GABRIEL</t>
  </si>
  <si>
    <t>PM 114</t>
  </si>
  <si>
    <t>MANUTENÇÃO</t>
  </si>
  <si>
    <t>EC 242</t>
  </si>
  <si>
    <t>RETORNO MANUTENÇÃO</t>
  </si>
  <si>
    <t>MARIANE</t>
  </si>
  <si>
    <t>PI 010</t>
  </si>
  <si>
    <t>Acompanha 2x chave fixa, punho, flange inferior e flange superior</t>
  </si>
  <si>
    <t>ARENGA</t>
  </si>
  <si>
    <t>CA 034</t>
  </si>
  <si>
    <t>SERRA POLICORTE</t>
  </si>
  <si>
    <t>Serra Policorte</t>
  </si>
  <si>
    <t>DISCO DIAMANTADO 14" (VENDA) R$ 100,00</t>
  </si>
  <si>
    <t>CA 033</t>
  </si>
  <si>
    <t>LAÉRCIO</t>
  </si>
  <si>
    <t>CA 035</t>
  </si>
  <si>
    <t>ATIVO</t>
  </si>
  <si>
    <t>PHELIPE</t>
  </si>
  <si>
    <t>FRP-13</t>
  </si>
  <si>
    <t xml:space="preserve">custo de manutenção </t>
  </si>
  <si>
    <t>RESUMO DE LOCAÇÃO (MENSAL)</t>
  </si>
  <si>
    <t>CUSTO TOTAL MENSAL DE LOCAÇÃO:</t>
  </si>
  <si>
    <t>Por categoria:</t>
  </si>
  <si>
    <t>OUTROS</t>
  </si>
  <si>
    <t>GRI-03</t>
  </si>
  <si>
    <t>MOR-05</t>
  </si>
  <si>
    <t>GWS 850</t>
  </si>
  <si>
    <t>332 50 1821</t>
  </si>
  <si>
    <t>ENVIO P/ MANUTENÇÃO</t>
  </si>
  <si>
    <t>332 50 1820</t>
  </si>
  <si>
    <t>PFP-14</t>
  </si>
  <si>
    <t>332 50 1877</t>
  </si>
  <si>
    <t>LUCIENY</t>
  </si>
  <si>
    <t>333 50 1874</t>
  </si>
  <si>
    <t>GEDEON</t>
  </si>
  <si>
    <t>JOANDERSON</t>
  </si>
  <si>
    <t>ESL-05</t>
  </si>
  <si>
    <t>334 50 1093</t>
  </si>
  <si>
    <t>KELLI</t>
  </si>
  <si>
    <t>ESL-06</t>
  </si>
  <si>
    <t>327 033 774</t>
  </si>
  <si>
    <t>36601C775E0</t>
  </si>
  <si>
    <t>ESL-08</t>
  </si>
  <si>
    <t>JUNIOR</t>
  </si>
  <si>
    <t>MAKITA</t>
  </si>
  <si>
    <t>M9510B</t>
  </si>
  <si>
    <t>M9510</t>
  </si>
  <si>
    <t>LEONARDO</t>
  </si>
  <si>
    <t>CAMILA</t>
  </si>
  <si>
    <t>ESL-09</t>
  </si>
  <si>
    <t>GWS850</t>
  </si>
  <si>
    <t>ANA</t>
  </si>
  <si>
    <t>Serra Mármore</t>
  </si>
  <si>
    <t>GDC 15</t>
  </si>
  <si>
    <t>327 281886</t>
  </si>
  <si>
    <t xml:space="preserve">JOA </t>
  </si>
  <si>
    <t>LAS-12</t>
  </si>
  <si>
    <t>LAS-11</t>
  </si>
  <si>
    <t>327 281882</t>
  </si>
  <si>
    <t>PAR-22</t>
  </si>
  <si>
    <t>327 281896</t>
  </si>
  <si>
    <t>327 281872</t>
  </si>
  <si>
    <t>327 281851</t>
  </si>
  <si>
    <t>PAINEL — VISÃO GERAL</t>
  </si>
  <si>
    <t>PENDENTE-PROCURAR</t>
  </si>
  <si>
    <t>Números calculados automaticamente a partir das outras abas.</t>
  </si>
  <si>
    <t>FROTA PRÓPRIA</t>
  </si>
  <si>
    <t>CUSTO DE LOCAÇÃO</t>
  </si>
  <si>
    <t>Valor da frota — com Nota Fiscal (R$)</t>
  </si>
  <si>
    <t>4100NH3</t>
  </si>
  <si>
    <t>Locação ferramentas / mês (R$)</t>
  </si>
  <si>
    <t>Valor da frota — ESTIMADO (R$)</t>
  </si>
  <si>
    <t>Locação rádio / mês (R$)</t>
  </si>
  <si>
    <t>VALOR TOTAL DA FROTA (R$)</t>
  </si>
  <si>
    <t>DW862</t>
  </si>
  <si>
    <t>85007 / MSE-09</t>
  </si>
  <si>
    <t>CUSTO TOTAL DE LOCAÇÃO / MÊS (R$)</t>
  </si>
  <si>
    <t>Qtd. de ferramentas próprias</t>
  </si>
  <si>
    <t>SITUAÇÃO DA FROTA</t>
  </si>
  <si>
    <t>Itens em conserto agora</t>
  </si>
  <si>
    <t>Em obra</t>
  </si>
  <si>
    <t>MSE-08</t>
  </si>
  <si>
    <t>Custo total de manutenção (R$)</t>
  </si>
  <si>
    <t>Em manutenção</t>
  </si>
  <si>
    <t>Pendente — procurar</t>
  </si>
  <si>
    <t>ALERTAS DE COMPRA / PERDA</t>
  </si>
  <si>
    <t>Furtado</t>
  </si>
  <si>
    <t>Ferramentas a procurar (poss. perda)</t>
  </si>
  <si>
    <t>Baixado</t>
  </si>
  <si>
    <t>Ferramentas furtadas</t>
  </si>
  <si>
    <t>GBH 5-40 D</t>
  </si>
  <si>
    <t xml:space="preserve">330 003 672 </t>
  </si>
  <si>
    <t>Prejuízo em rádio não recuperado (R$)</t>
  </si>
  <si>
    <t>Todos os números deste painel se atualizam sozinhos conforme as abas são preenchidas.</t>
  </si>
  <si>
    <t>EINHELL</t>
  </si>
  <si>
    <t>CONCRETE BREAKER</t>
  </si>
  <si>
    <t>67VKQ81</t>
  </si>
  <si>
    <t>aferida indica MARTELETE 10KG</t>
  </si>
  <si>
    <t>67VKLFL</t>
  </si>
  <si>
    <t>67VKQ2Z</t>
  </si>
  <si>
    <t>HILTI</t>
  </si>
  <si>
    <t>TE500</t>
  </si>
  <si>
    <t>02-006 4 116-CP-12</t>
  </si>
  <si>
    <t>GSH 11 VC</t>
  </si>
  <si>
    <t>329 000 028</t>
  </si>
  <si>
    <t>GEORGE</t>
  </si>
  <si>
    <t>0601063XG0-000</t>
  </si>
  <si>
    <t>LAS-02</t>
  </si>
  <si>
    <t>LAS-03</t>
  </si>
  <si>
    <t>CATEGORIAS</t>
  </si>
  <si>
    <t>PREFIXO</t>
  </si>
  <si>
    <t xml:space="preserve"> </t>
  </si>
  <si>
    <t>TIPOS_MOV</t>
  </si>
  <si>
    <t>STATUS_MANUT</t>
  </si>
  <si>
    <t>EVENTOS_RADIO</t>
  </si>
  <si>
    <t>RECUPERADO_DE</t>
  </si>
  <si>
    <t>S_N</t>
  </si>
  <si>
    <t>CATEGORIA_LOCAÇÃO</t>
  </si>
  <si>
    <t>LOCAÇÃO EICES (R$/mês)</t>
  </si>
  <si>
    <t>ENTREGA</t>
  </si>
  <si>
    <t>EMPREITEIRO</t>
  </si>
  <si>
    <t>QUEBRA</t>
  </si>
  <si>
    <t>EQUIPE DA OBRA</t>
  </si>
  <si>
    <t>SUMIÇO</t>
  </si>
  <si>
    <t>NINGUÉM (PREJUÍZO EICES)</t>
  </si>
  <si>
    <t>REPOSIÇÃO</t>
  </si>
  <si>
    <t>DEVOLUÇÃO</t>
  </si>
  <si>
    <t xml:space="preserve">DW088K </t>
  </si>
  <si>
    <t>902349 DW088</t>
  </si>
  <si>
    <t>-</t>
  </si>
  <si>
    <t>ALARGADOR PEX</t>
  </si>
  <si>
    <t>GRIFO</t>
  </si>
  <si>
    <t>JOGO DE CHAVE CATRACA</t>
  </si>
  <si>
    <t>MÁQUINA DE SOLDA</t>
  </si>
  <si>
    <t>PULVERIZADORA</t>
  </si>
  <si>
    <t>MÁQUINA TESTE ÁGUA QUENTE</t>
  </si>
  <si>
    <t>Valores mensais informados pelo usuário (VALORES.xlsx).</t>
  </si>
  <si>
    <t>Células amarelas = categoria sem valor definido. Preencher aqui.</t>
  </si>
  <si>
    <t>FURTADO</t>
  </si>
  <si>
    <t>DW088CG-LA</t>
  </si>
  <si>
    <t>Perfuratriz</t>
  </si>
  <si>
    <t>PLASTICON</t>
  </si>
  <si>
    <t>DIAMANTADA MANUAL</t>
  </si>
  <si>
    <t>2022- 0000962</t>
  </si>
  <si>
    <t xml:space="preserve">ARITA </t>
  </si>
  <si>
    <t>ENGINEERING DRILL 9130</t>
  </si>
  <si>
    <t>202504 00161</t>
  </si>
  <si>
    <t>2022-0000970</t>
  </si>
  <si>
    <t>202504 00485</t>
  </si>
  <si>
    <t>PEZ-05</t>
  </si>
  <si>
    <t>2022-0000950</t>
  </si>
  <si>
    <t>PEZ-06</t>
  </si>
  <si>
    <t>2023-00001025</t>
  </si>
  <si>
    <t>202504 00697</t>
  </si>
  <si>
    <t>2022-0000961</t>
  </si>
  <si>
    <t>02504 00314</t>
  </si>
  <si>
    <t>2023-00001063</t>
  </si>
  <si>
    <t>2023-00001024</t>
  </si>
  <si>
    <t>???</t>
  </si>
  <si>
    <t>Morsa</t>
  </si>
  <si>
    <t>SOMAR</t>
  </si>
  <si>
    <t>NR 8 SOMAR</t>
  </si>
  <si>
    <t>SOMAR LIDER</t>
  </si>
  <si>
    <t>VONDER</t>
  </si>
  <si>
    <t>S/NF</t>
  </si>
  <si>
    <t>Termofusor</t>
  </si>
  <si>
    <t>BUTT FUSION</t>
  </si>
  <si>
    <t>ZRJQ-63</t>
  </si>
  <si>
    <t>TOPFUSION</t>
  </si>
  <si>
    <t xml:space="preserve">GRANDE RPC </t>
  </si>
  <si>
    <t>TF0129</t>
  </si>
  <si>
    <t>TF00027</t>
  </si>
  <si>
    <t xml:space="preserve">PEQUENO RPC </t>
  </si>
  <si>
    <t>TF00342</t>
  </si>
  <si>
    <t>TF00343</t>
  </si>
  <si>
    <t>SOP-01</t>
  </si>
  <si>
    <t>Soprador</t>
  </si>
  <si>
    <t>BLACK DECKER</t>
  </si>
  <si>
    <t>HG2000-B2</t>
  </si>
  <si>
    <t>Vazador</t>
  </si>
  <si>
    <t>WALSYWA</t>
  </si>
  <si>
    <t xml:space="preserve">PUNCIONADOR DE METAL </t>
  </si>
  <si>
    <t>ANCORA</t>
  </si>
  <si>
    <t>FAI72N</t>
  </si>
  <si>
    <t>CALIBRE 27 PRA 10</t>
  </si>
  <si>
    <t>PRA10</t>
  </si>
  <si>
    <t>Máquina Teste Água</t>
  </si>
  <si>
    <t>CHAMA</t>
  </si>
  <si>
    <t>KTP-100</t>
  </si>
  <si>
    <t>HAMKY DIESEL</t>
  </si>
  <si>
    <t>ConjPulvHS30</t>
  </si>
  <si>
    <t>posição conferida (auditoria ago/2026)</t>
  </si>
  <si>
    <t>YAMAHO</t>
  </si>
  <si>
    <t>HS-30</t>
  </si>
  <si>
    <t>Máquina Teste Elétrica</t>
  </si>
  <si>
    <t>METREL</t>
  </si>
  <si>
    <t>MI3102 BT</t>
  </si>
  <si>
    <t>000.003.075</t>
  </si>
  <si>
    <t>MILLIOHM 1</t>
  </si>
  <si>
    <t>IN 416001-20883</t>
  </si>
  <si>
    <t>Compressor</t>
  </si>
  <si>
    <t>OVD-VONDER</t>
  </si>
  <si>
    <t>AB22120011</t>
  </si>
  <si>
    <t>SCHULZ</t>
  </si>
  <si>
    <t>Prensa Pex</t>
  </si>
  <si>
    <t>ASTRA</t>
  </si>
  <si>
    <t>FT1632B / FT-16323</t>
  </si>
  <si>
    <t>A1133/23</t>
  </si>
  <si>
    <t>Prensa Terminal</t>
  </si>
  <si>
    <t>ACV 300 VONDER</t>
  </si>
  <si>
    <t>ACV 120 VONDER</t>
  </si>
  <si>
    <t>MAN-01</t>
  </si>
  <si>
    <t>Máquina De Tinta</t>
  </si>
  <si>
    <t>PM8825</t>
  </si>
  <si>
    <t>Prensa Gás</t>
  </si>
  <si>
    <t>PGA-02</t>
  </si>
  <si>
    <t>MAN-01-B</t>
  </si>
  <si>
    <t>Manômetro</t>
  </si>
  <si>
    <t xml:space="preserve">SALVI </t>
  </si>
  <si>
    <t>MDO2068/25</t>
  </si>
  <si>
    <t>T 130.164/25</t>
  </si>
  <si>
    <t>cód. duplicado na origem — verificar</t>
  </si>
  <si>
    <t>MDO2068/26</t>
  </si>
  <si>
    <t>T 130.168/25</t>
  </si>
  <si>
    <t>MAN-03</t>
  </si>
  <si>
    <t>MDO2068/27</t>
  </si>
  <si>
    <t>T 130.172/25</t>
  </si>
  <si>
    <t>MAN-04</t>
  </si>
  <si>
    <t>MDO2068/28</t>
  </si>
  <si>
    <t>T 130.169/25</t>
  </si>
  <si>
    <t>MAN-05</t>
  </si>
  <si>
    <t>MDO2068/29</t>
  </si>
  <si>
    <t>T 130.171/25</t>
  </si>
  <si>
    <t>MAN-06</t>
  </si>
  <si>
    <t>MDO2068/30</t>
  </si>
  <si>
    <t>T 130.165/25</t>
  </si>
  <si>
    <t>MAN-07</t>
  </si>
  <si>
    <t>MDO2068/31</t>
  </si>
  <si>
    <t>T 130.163/25</t>
  </si>
  <si>
    <t>MAN-08</t>
  </si>
  <si>
    <t>MDO2068/32</t>
  </si>
  <si>
    <t>T 130.167/25</t>
  </si>
  <si>
    <t>MAN-09</t>
  </si>
  <si>
    <t>MDO2068/33</t>
  </si>
  <si>
    <t>T 130.166/25</t>
  </si>
  <si>
    <t>MAN-10</t>
  </si>
  <si>
    <t>MDO2068/34</t>
  </si>
  <si>
    <t>T 130.170/25</t>
  </si>
  <si>
    <t>Perfuratriz Extratora</t>
  </si>
  <si>
    <t>ENGINEERING DRILL 9200</t>
  </si>
  <si>
    <t>202504 00117</t>
  </si>
  <si>
    <t>SOP-01-B</t>
  </si>
  <si>
    <t>BLACK DEKERR</t>
  </si>
  <si>
    <t>TRI-01</t>
  </si>
  <si>
    <t>Tripé Laser</t>
  </si>
  <si>
    <t>TRI-02</t>
  </si>
  <si>
    <t>Tesoura Corta Ferro</t>
  </si>
  <si>
    <t>cadastrado via aferida ago/2026</t>
  </si>
  <si>
    <t>Pulverizadora</t>
  </si>
  <si>
    <t>F1INHW</t>
  </si>
  <si>
    <t>Alargador Pex</t>
  </si>
  <si>
    <t>Grifo 48'</t>
  </si>
  <si>
    <t>Grifo 36'</t>
  </si>
  <si>
    <t>Jogo De Chave Catraca</t>
  </si>
  <si>
    <t>Maquina De Solda</t>
  </si>
  <si>
    <t>WSW24060238</t>
  </si>
  <si>
    <t>203339-1</t>
  </si>
  <si>
    <t>TES-05</t>
  </si>
  <si>
    <t>EWSI0004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</si>
</sst>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$ &quot;#,##0.00"/>
    <numFmt numFmtId="165" formatCode="dd/mm"/>
  </numFmts>
  <fonts count="19">
    <font>
      <sz val="11.0"/>
      <color theme="1"/>
      <name val="Calibri"/>
      <scheme val="minor"/>
    </font>
    <font>
      <sz val="11.0"/>
      <color theme="1"/>
      <name val="Calibri"/>
    </font>
    <font>
      <b/>
      <sz val="18.0"/>
      <color rgb="FFFDFDFD"/>
      <name val="Arial"/>
    </font>
    <font/>
    <font>
      <sz val="10.0"/>
      <color rgb="FFFDFDFD"/>
      <name val="Arial"/>
    </font>
    <font>
      <b/>
      <sz val="10.0"/>
      <color rgb="FF2F4D65"/>
      <name val="Arial"/>
    </font>
    <font>
      <b/>
      <sz val="10.0"/>
      <color rgb="FFFDFDFD"/>
      <name val="Arial"/>
    </font>
    <font>
      <b/>
      <sz val="12.0"/>
      <color rgb="FF2F4D65"/>
      <name val="Arial"/>
    </font>
    <font>
      <sz val="10.0"/>
      <color rgb="FF1F2A33"/>
      <name val="Arial"/>
    </font>
    <font>
      <b/>
      <sz val="10.0"/>
      <color rgb="FF1F2A33"/>
      <name val="Arial"/>
    </font>
    <font>
      <b/>
      <sz val="9.0"/>
      <color rgb="FF2F4D65"/>
      <name val="Arial"/>
    </font>
    <font>
      <sz val="9.0"/>
      <color rgb="FF1F2A33"/>
      <name val="Arial"/>
    </font>
    <font>
      <i/>
      <sz val="10.0"/>
      <color rgb="FF808080"/>
      <name val="Arial"/>
    </font>
    <font>
      <sz val="10.0"/>
      <color rgb="FF2F4D65"/>
      <name val="Arial"/>
    </font>
    <font>
      <color theme="1"/>
      <name val="Calibri"/>
      <scheme val="minor"/>
    </font>
    <font>
      <b/>
      <sz val="11.0"/>
      <color rgb="FF2F4D65"/>
      <name val="Arial"/>
    </font>
    <font>
      <b/>
      <sz val="10.0"/>
      <color rgb="FFC0504D"/>
      <name val="Arial"/>
    </font>
    <font>
      <i/>
      <sz val="9.0"/>
      <color rgb="FF808080"/>
      <name val="Arial"/>
    </font>
    <font>
      <b/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2F4D65"/>
        <bgColor rgb="FF2F4D65"/>
      </patternFill>
    </fill>
    <fill>
      <patternFill patternType="solid">
        <fgColor rgb="FFA8D3C2"/>
        <bgColor rgb="FFA8D3C2"/>
      </patternFill>
    </fill>
    <fill>
      <patternFill patternType="solid">
        <fgColor rgb="FFFFE699"/>
        <bgColor rgb="FFFFE699"/>
      </patternFill>
    </fill>
    <fill>
      <patternFill patternType="solid">
        <fgColor rgb="FFF2F4F6"/>
        <bgColor rgb="FFF2F4F6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left/>
      <right/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thin">
        <color rgb="FFD9DEE3"/>
      </left>
      <right style="thin">
        <color rgb="FFD9DEE3"/>
      </right>
      <top style="thin">
        <color rgb="FFD9DEE3"/>
      </top>
      <bottom style="thin">
        <color rgb="FFD9DEE3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ill="1" applyFont="1">
      <alignment horizontal="left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2" fillId="2" fontId="4" numFmtId="0" xfId="0" applyAlignment="1" applyBorder="1" applyFill="1" applyFont="1">
      <alignment horizontal="left" vertical="center"/>
    </xf>
    <xf borderId="0" fillId="0" fontId="5" numFmtId="0" xfId="0" applyAlignment="1" applyFont="1">
      <alignment horizontal="left" shrinkToFit="0" vertical="center" wrapText="1"/>
    </xf>
    <xf borderId="8" fillId="2" fontId="6" numFmtId="0" xfId="0" applyAlignment="1" applyBorder="1" applyFill="1" applyFont="1">
      <alignment horizontal="center" shrinkToFit="0" vertical="center" wrapText="1"/>
    </xf>
    <xf borderId="9" fillId="3" fontId="7" numFmtId="0" xfId="0" applyAlignment="1" applyBorder="1" applyFill="1" applyFont="1">
      <alignment horizontal="left" vertical="center"/>
    </xf>
    <xf borderId="10" fillId="0" fontId="3" numFmtId="0" xfId="0" applyBorder="1" applyFont="1"/>
    <xf borderId="11" fillId="0" fontId="3" numFmtId="0" xfId="0" applyBorder="1" applyFont="1"/>
    <xf borderId="0" fillId="0" fontId="8" numFmtId="0" xfId="0" applyAlignment="1" applyFont="1">
      <alignment horizontal="left" shrinkToFit="0" vertical="center" wrapText="1"/>
    </xf>
    <xf borderId="8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left" shrinkToFit="0" vertical="center" wrapText="1"/>
    </xf>
    <xf borderId="8" fillId="0" fontId="8" numFmtId="0" xfId="0" applyAlignment="1" applyBorder="1" applyFont="1">
      <alignment horizontal="left" vertical="center"/>
    </xf>
    <xf borderId="8" fillId="0" fontId="8" numFmtId="164" xfId="0" applyAlignment="1" applyBorder="1" applyFont="1" applyNumberFormat="1">
      <alignment horizontal="center" vertical="center"/>
    </xf>
    <xf borderId="8" fillId="0" fontId="8" numFmtId="14" xfId="0" applyAlignment="1" applyBorder="1" applyFont="1" applyNumberFormat="1">
      <alignment horizontal="center" vertical="center"/>
    </xf>
    <xf borderId="8" fillId="4" fontId="1" numFmtId="0" xfId="0" applyBorder="1" applyFill="1" applyFont="1"/>
    <xf borderId="0" fillId="0" fontId="8" numFmtId="0" xfId="0" applyFont="1"/>
    <xf borderId="8" fillId="5" fontId="1" numFmtId="0" xfId="0" applyBorder="1" applyFill="1" applyFont="1"/>
    <xf borderId="8" fillId="2" fontId="1" numFmtId="0" xfId="0" applyBorder="1" applyFill="1" applyFont="1"/>
    <xf borderId="8" fillId="5" fontId="8" numFmtId="0" xfId="0" applyAlignment="1" applyBorder="1" applyFill="1" applyFont="1">
      <alignment horizontal="center" vertical="center"/>
    </xf>
    <xf borderId="0" fillId="0" fontId="10" numFmtId="0" xfId="0" applyAlignment="1" applyFont="1">
      <alignment horizontal="left" vertical="center"/>
    </xf>
    <xf borderId="8" fillId="5" fontId="8" numFmtId="0" xfId="0" applyAlignment="1" applyBorder="1" applyFill="1" applyFont="1">
      <alignment horizontal="left" vertical="center"/>
    </xf>
    <xf borderId="0" fillId="0" fontId="11" numFmtId="0" xfId="0" applyAlignment="1" applyFont="1">
      <alignment horizontal="left" vertical="center"/>
    </xf>
    <xf borderId="8" fillId="0" fontId="12" numFmtId="0" xfId="0" applyAlignment="1" applyBorder="1" applyFont="1">
      <alignment horizontal="left" vertical="center"/>
    </xf>
    <xf borderId="0" fillId="0" fontId="13" numFmtId="0" xfId="0" applyAlignment="1" applyFont="1">
      <alignment horizontal="left" shrinkToFit="0" vertical="center" wrapText="1"/>
    </xf>
    <xf borderId="8" fillId="5" fontId="8" numFmtId="164" xfId="0" applyAlignment="1" applyBorder="1" applyFill="1" applyFont="1" applyNumberFormat="1">
      <alignment horizontal="center" vertical="center"/>
    </xf>
    <xf borderId="0" fillId="0" fontId="14" numFmtId="0" xfId="0" applyFont="1"/>
    <xf borderId="8" fillId="0" fontId="8" numFmtId="0" xfId="0" applyAlignment="1" applyBorder="1" applyFont="1">
      <alignment horizontal="center" readingOrder="0" vertical="center"/>
    </xf>
    <xf borderId="8" fillId="0" fontId="8" numFmtId="0" xfId="0" applyAlignment="1" applyBorder="1" applyFont="1">
      <alignment horizontal="left" readingOrder="0" vertical="center"/>
    </xf>
    <xf borderId="8" fillId="4" fontId="8" numFmtId="164" xfId="0" applyAlignment="1" applyBorder="1" applyFill="1" applyFont="1" applyNumberFormat="1">
      <alignment horizontal="center" vertical="center"/>
    </xf>
    <xf borderId="9" fillId="3" fontId="15" numFmtId="0" xfId="0" applyBorder="1" applyFill="1" applyFont="1"/>
    <xf borderId="8" fillId="0" fontId="8" numFmtId="14" xfId="0" applyAlignment="1" applyBorder="1" applyFont="1" applyNumberFormat="1">
      <alignment horizontal="center" readingOrder="0" vertical="center"/>
    </xf>
    <xf borderId="8" fillId="0" fontId="8" numFmtId="164" xfId="0" applyAlignment="1" applyBorder="1" applyFont="1" applyNumberFormat="1">
      <alignment horizontal="center" readingOrder="0" vertical="center"/>
    </xf>
    <xf borderId="0" fillId="0" fontId="9" numFmtId="0" xfId="0" applyFont="1"/>
    <xf borderId="0" fillId="0" fontId="15" numFmtId="164" xfId="0" applyFont="1" applyNumberFormat="1"/>
    <xf borderId="0" fillId="0" fontId="1" numFmtId="164" xfId="0" applyFont="1" applyNumberFormat="1"/>
    <xf borderId="0" fillId="0" fontId="16" numFmtId="0" xfId="0" applyFont="1"/>
    <xf borderId="0" fillId="0" fontId="16" numFmtId="164" xfId="0" applyFont="1" applyNumberFormat="1"/>
    <xf borderId="8" fillId="6" fontId="8" numFmtId="0" xfId="0" applyAlignment="1" applyBorder="1" applyFill="1" applyFont="1">
      <alignment horizontal="left" vertical="center"/>
    </xf>
    <xf borderId="8" fillId="6" fontId="8" numFmtId="0" xfId="0" applyAlignment="1" applyBorder="1" applyFill="1" applyFont="1">
      <alignment horizontal="center" vertical="center"/>
    </xf>
    <xf borderId="8" fillId="6" fontId="8" numFmtId="164" xfId="0" applyAlignment="1" applyBorder="1" applyFill="1" applyFont="1" applyNumberFormat="1">
      <alignment horizontal="center" vertical="center"/>
    </xf>
    <xf borderId="8" fillId="6" fontId="8" numFmtId="14" xfId="0" applyAlignment="1" applyBorder="1" applyFill="1" applyFont="1" applyNumberFormat="1">
      <alignment horizontal="center" vertical="center"/>
    </xf>
    <xf borderId="8" fillId="6" fontId="8" numFmtId="164" xfId="0" applyAlignment="1" applyBorder="1" applyFill="1" applyFont="1" applyNumberFormat="1">
      <alignment horizontal="center" readingOrder="0" vertical="center"/>
    </xf>
    <xf borderId="8" fillId="7" fontId="8" numFmtId="0" xfId="0" applyAlignment="1" applyBorder="1" applyFill="1" applyFont="1">
      <alignment horizontal="left" vertical="center"/>
    </xf>
    <xf borderId="8" fillId="5" fontId="8" numFmtId="0" xfId="0" applyAlignment="1" applyBorder="1" applyFill="1" applyFont="1">
      <alignment horizontal="center" readingOrder="0" vertical="center"/>
    </xf>
    <xf borderId="0" fillId="0" fontId="8" numFmtId="0" xfId="0" applyAlignment="1" applyFont="1">
      <alignment horizontal="left" vertical="center"/>
    </xf>
    <xf borderId="0" fillId="0" fontId="8" numFmtId="0" xfId="0" applyAlignment="1" applyFont="1">
      <alignment horizontal="center" vertical="center"/>
    </xf>
    <xf borderId="0" fillId="0" fontId="8" numFmtId="164" xfId="0" applyAlignment="1" applyFont="1" applyNumberFormat="1">
      <alignment horizontal="center" vertical="center"/>
    </xf>
    <xf borderId="1" fillId="5" fontId="8" numFmtId="164" xfId="0" applyAlignment="1" applyBorder="1" applyFill="1" applyFont="1" applyNumberFormat="1">
      <alignment horizontal="center" vertical="center"/>
    </xf>
    <xf borderId="0" fillId="0" fontId="8" numFmtId="14" xfId="0" applyAlignment="1" applyFont="1" applyNumberFormat="1">
      <alignment horizontal="center" vertical="center"/>
    </xf>
    <xf borderId="1" fillId="5" fontId="8" numFmtId="0" xfId="0" applyAlignment="1" applyBorder="1" applyFill="1" applyFont="1">
      <alignment horizontal="center" vertical="center"/>
    </xf>
    <xf borderId="0" fillId="0" fontId="5" numFmtId="0" xfId="0" applyFont="1"/>
    <xf borderId="8" fillId="0" fontId="8" numFmtId="165" xfId="0" applyAlignment="1" applyBorder="1" applyFont="1" applyNumberFormat="1">
      <alignment horizontal="center" readingOrder="0" vertical="center"/>
    </xf>
    <xf borderId="9" fillId="3" fontId="15" numFmtId="0" xfId="0" applyAlignment="1" applyBorder="1" applyFill="1" applyFont="1">
      <alignment horizontal="left" vertical="center"/>
    </xf>
    <xf borderId="8" fillId="5" fontId="5" numFmtId="164" xfId="0" applyAlignment="1" applyBorder="1" applyFill="1" applyFont="1" applyNumberFormat="1">
      <alignment horizontal="center" vertical="center"/>
    </xf>
    <xf borderId="8" fillId="5" fontId="5" numFmtId="1" xfId="0" applyAlignment="1" applyBorder="1" applyFill="1" applyFont="1" applyNumberFormat="1">
      <alignment horizontal="center" vertical="center"/>
    </xf>
    <xf borderId="0" fillId="0" fontId="17" numFmtId="0" xfId="0" applyFont="1"/>
    <xf borderId="0" fillId="0" fontId="1" numFmtId="4" xfId="0" applyFont="1" applyNumberFormat="1"/>
    <xf borderId="1" fillId="6" fontId="1" numFmtId="4" xfId="0" applyBorder="1" applyFill="1" applyFont="1" applyNumberFormat="1"/>
    <xf borderId="8" fillId="7" fontId="8" numFmtId="164" xfId="0" applyAlignment="1" applyBorder="1" applyFill="1" applyFont="1" applyNumberFormat="1">
      <alignment horizontal="center" vertical="center"/>
    </xf>
    <xf borderId="8" fillId="0" fontId="18" numFmtId="0" xfId="0" applyAlignment="1" applyBorder="1" applyFont="1">
      <alignment horizontal="right"/>
    </xf>
    <xf borderId="0" fillId="5" fontId="8" numFmtId="0" xfId="0" applyAlignment="1" applyFill="1" applyFont="1">
      <alignment horizontal="center" vertical="center"/>
    </xf>
    <xf borderId="0" fillId="5" fontId="8" numFmtId="164" xfId="0" applyAlignment="1" applyFill="1" applyFont="1" applyNumberFormat="1">
      <alignment horizontal="center" vertical="center"/>
    </xf>
  </cellXfs>
  <cellStyles count="1">
    <cellStyle xfId="0" name="Normal" builtinId="0"/>
  </cellStyles>
  <dxfs count="9">
    <dxf>
      <font/>
      <fill>
        <patternFill patternType="solid">
          <fgColor rgb="FFEDEDED"/>
          <bgColor rgb="FFEDEDED"/>
        </patternFill>
      </fill>
      <border/>
    </dxf>
    <dxf>
      <font>
        <color theme="1"/>
      </font>
      <fill>
        <patternFill patternType="solid">
          <fgColor rgb="FFFFFF00"/>
          <bgColor rgb="FFFFFF00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E699"/>
          <bgColor rgb="FFFFE699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8CBAD"/>
          <bgColor rgb="FFF8CBAD"/>
        </patternFill>
      </fill>
      <border/>
    </dxf>
    <dxf>
      <font/>
      <fill>
        <patternFill patternType="solid">
          <fgColor rgb="FFE2EFDA"/>
          <bgColor rgb="FFE2EFDA"/>
        </patternFill>
      </fill>
      <border/>
    </dxf>
    <dxf>
      <font/>
      <fill>
        <patternFill patternType="solid">
          <fgColor rgb="FFF4B0AB"/>
          <bgColor rgb="FFF4B0AB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95325" cy="695325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95325" cy="695325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04850" cy="695325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95325" cy="695325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95325" cy="695325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95325" cy="70485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95325" cy="695325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1.0"/>
    <col customWidth="1" min="2" max="2" width="7.0"/>
    <col customWidth="1" min="3" max="3" width="25.0"/>
    <col customWidth="1" min="4" max="4" width="7.0"/>
    <col customWidth="1" min="5" max="5" width="25.0"/>
    <col customWidth="1" min="6" max="6" width="7.0"/>
    <col customWidth="1" min="7" max="7" width="25.0"/>
    <col customWidth="1" min="8" max="8" width="10.0"/>
    <col customWidth="1" min="9" max="26" width="8.71"/>
  </cols>
  <sheetData>
    <row r="1" ht="18.75" customHeight="1">
      <c r="A1" s="1"/>
      <c r="B1" s="2" t="s">
        <v>0</v>
      </c>
      <c r="C1" s="3"/>
      <c r="D1" s="3"/>
      <c r="E1" s="3"/>
      <c r="F1" s="3"/>
      <c r="G1" s="3"/>
      <c r="H1" s="4"/>
    </row>
    <row r="2" ht="18.75" customHeight="1">
      <c r="A2" s="1"/>
      <c r="B2" s="5"/>
      <c r="C2" s="6"/>
      <c r="D2" s="6"/>
      <c r="E2" s="6"/>
      <c r="F2" s="6"/>
      <c r="G2" s="6"/>
      <c r="H2" s="7"/>
    </row>
    <row r="3" ht="18.75" customHeight="1">
      <c r="A3" s="1"/>
      <c r="B3" s="8" t="s">
        <v>2</v>
      </c>
      <c r="C3" s="3"/>
      <c r="D3" s="3"/>
      <c r="E3" s="3"/>
      <c r="F3" s="3"/>
      <c r="G3" s="3"/>
      <c r="H3" s="4"/>
    </row>
    <row r="4" ht="18.75" customHeight="1">
      <c r="A4" s="1"/>
      <c r="B4" s="5"/>
      <c r="C4" s="6"/>
      <c r="D4" s="6"/>
      <c r="E4" s="6"/>
      <c r="F4" s="6"/>
      <c r="G4" s="6"/>
      <c r="H4" s="7"/>
    </row>
    <row r="5" ht="14.25" customHeight="1"/>
    <row r="6" ht="30.0" customHeight="1">
      <c r="B6" s="9" t="s">
        <v>4</v>
      </c>
    </row>
    <row r="7" ht="14.25" customHeight="1"/>
    <row r="8" ht="21.75" customHeight="1">
      <c r="B8" s="11" t="s">
        <v>6</v>
      </c>
      <c r="C8" s="12"/>
      <c r="D8" s="12"/>
      <c r="E8" s="12"/>
      <c r="F8" s="12"/>
      <c r="G8" s="12"/>
      <c r="H8" s="13"/>
    </row>
    <row r="9" ht="30.0" customHeight="1">
      <c r="B9" s="14" t="s">
        <v>13</v>
      </c>
    </row>
    <row r="10" ht="30.0" customHeight="1">
      <c r="B10" s="14" t="s">
        <v>17</v>
      </c>
    </row>
    <row r="11" ht="14.25" customHeight="1"/>
    <row r="12" ht="21.75" customHeight="1">
      <c r="B12" s="11" t="s">
        <v>20</v>
      </c>
      <c r="C12" s="12"/>
      <c r="D12" s="12"/>
      <c r="E12" s="12"/>
      <c r="F12" s="12"/>
      <c r="G12" s="12"/>
      <c r="H12" s="13"/>
    </row>
    <row r="13" ht="15.0" customHeight="1">
      <c r="B13" s="16" t="s">
        <v>26</v>
      </c>
    </row>
    <row r="14" ht="30.0" customHeight="1">
      <c r="B14" s="16" t="s">
        <v>28</v>
      </c>
    </row>
    <row r="15" ht="15.0" customHeight="1">
      <c r="B15" s="16" t="s">
        <v>29</v>
      </c>
    </row>
    <row r="16" ht="30.0" customHeight="1">
      <c r="B16" s="16" t="s">
        <v>30</v>
      </c>
    </row>
    <row r="17" ht="30.0" customHeight="1">
      <c r="B17" s="16" t="s">
        <v>31</v>
      </c>
    </row>
    <row r="18" ht="15.0" customHeight="1">
      <c r="B18" s="16" t="s">
        <v>32</v>
      </c>
    </row>
    <row r="19" ht="14.25" customHeight="1"/>
    <row r="20" ht="21.75" customHeight="1">
      <c r="B20" s="11" t="s">
        <v>36</v>
      </c>
      <c r="C20" s="12"/>
      <c r="D20" s="12"/>
      <c r="E20" s="12"/>
      <c r="F20" s="12"/>
      <c r="G20" s="12"/>
      <c r="H20" s="13"/>
    </row>
    <row r="21" ht="15.0" customHeight="1">
      <c r="B21" s="14" t="s">
        <v>45</v>
      </c>
    </row>
    <row r="22" ht="30.0" customHeight="1">
      <c r="B22" s="14" t="s">
        <v>46</v>
      </c>
    </row>
    <row r="23" ht="15.0" customHeight="1">
      <c r="B23" s="14" t="s">
        <v>48</v>
      </c>
    </row>
    <row r="24" ht="15.0" customHeight="1">
      <c r="B24" s="14" t="s">
        <v>50</v>
      </c>
    </row>
    <row r="25" ht="15.0" customHeight="1">
      <c r="B25" s="14" t="s">
        <v>51</v>
      </c>
    </row>
    <row r="26" ht="30.0" customHeight="1">
      <c r="B26" s="14" t="s">
        <v>53</v>
      </c>
    </row>
    <row r="27" ht="30.0" customHeight="1">
      <c r="B27" s="14" t="s">
        <v>57</v>
      </c>
    </row>
    <row r="28" ht="30.0" customHeight="1">
      <c r="B28" s="14" t="s">
        <v>59</v>
      </c>
    </row>
    <row r="29" ht="14.25" customHeight="1"/>
    <row r="30" ht="21.75" customHeight="1">
      <c r="B30" s="11" t="s">
        <v>61</v>
      </c>
      <c r="C30" s="12"/>
      <c r="D30" s="12"/>
      <c r="E30" s="12"/>
      <c r="F30" s="12"/>
      <c r="G30" s="12"/>
      <c r="H30" s="13"/>
    </row>
    <row r="31" ht="30.0" customHeight="1">
      <c r="B31" s="14" t="s">
        <v>62</v>
      </c>
    </row>
    <row r="32" ht="15.0" customHeight="1">
      <c r="B32" s="14" t="s">
        <v>64</v>
      </c>
    </row>
    <row r="33" ht="14.25" customHeight="1"/>
    <row r="34" ht="21.75" customHeight="1">
      <c r="B34" s="11" t="s">
        <v>65</v>
      </c>
      <c r="C34" s="12"/>
      <c r="D34" s="12"/>
      <c r="E34" s="12"/>
      <c r="F34" s="12"/>
      <c r="G34" s="12"/>
      <c r="H34" s="13"/>
    </row>
    <row r="35" ht="15.0" customHeight="1">
      <c r="B35" s="20" t="s">
        <v>66</v>
      </c>
      <c r="C35" s="21" t="s">
        <v>67</v>
      </c>
    </row>
    <row r="36" ht="15.0" customHeight="1">
      <c r="B36" s="22" t="s">
        <v>66</v>
      </c>
      <c r="C36" s="21" t="s">
        <v>68</v>
      </c>
    </row>
    <row r="37" ht="15.0" customHeight="1">
      <c r="B37" s="23" t="s">
        <v>66</v>
      </c>
      <c r="C37" s="21" t="s">
        <v>69</v>
      </c>
    </row>
    <row r="38" ht="14.25" customHeight="1"/>
    <row r="39" ht="21.75" customHeight="1">
      <c r="B39" s="11" t="s">
        <v>70</v>
      </c>
      <c r="C39" s="12"/>
      <c r="D39" s="12"/>
      <c r="E39" s="12"/>
      <c r="F39" s="12"/>
      <c r="G39" s="12"/>
      <c r="H39" s="13"/>
    </row>
    <row r="40" ht="30.0" customHeight="1">
      <c r="B40" s="14" t="s">
        <v>71</v>
      </c>
    </row>
    <row r="41" ht="15.0" customHeight="1">
      <c r="B41" s="14" t="s">
        <v>72</v>
      </c>
    </row>
    <row r="42" ht="13.5" customHeight="1">
      <c r="B42" s="25" t="s">
        <v>73</v>
      </c>
      <c r="C42" s="27" t="s">
        <v>35</v>
      </c>
      <c r="D42" s="25" t="s">
        <v>76</v>
      </c>
      <c r="E42" s="27" t="s">
        <v>77</v>
      </c>
      <c r="F42" s="25" t="s">
        <v>78</v>
      </c>
      <c r="G42" s="27" t="s">
        <v>79</v>
      </c>
    </row>
    <row r="43" ht="13.5" customHeight="1">
      <c r="B43" s="25" t="s">
        <v>81</v>
      </c>
      <c r="C43" s="27" t="s">
        <v>82</v>
      </c>
      <c r="D43" s="25" t="s">
        <v>84</v>
      </c>
      <c r="E43" s="27" t="s">
        <v>85</v>
      </c>
      <c r="F43" s="25" t="s">
        <v>86</v>
      </c>
      <c r="G43" s="27" t="s">
        <v>87</v>
      </c>
    </row>
    <row r="44" ht="13.5" customHeight="1">
      <c r="B44" s="25" t="s">
        <v>89</v>
      </c>
      <c r="C44" s="27" t="s">
        <v>90</v>
      </c>
      <c r="D44" s="25" t="s">
        <v>91</v>
      </c>
      <c r="E44" s="27" t="s">
        <v>92</v>
      </c>
      <c r="F44" s="25" t="s">
        <v>93</v>
      </c>
      <c r="G44" s="27" t="s">
        <v>94</v>
      </c>
    </row>
    <row r="45" ht="13.5" customHeight="1">
      <c r="B45" s="25" t="s">
        <v>95</v>
      </c>
      <c r="C45" s="27" t="s">
        <v>97</v>
      </c>
      <c r="D45" s="25" t="s">
        <v>98</v>
      </c>
      <c r="E45" s="27" t="s">
        <v>99</v>
      </c>
      <c r="F45" s="25" t="s">
        <v>100</v>
      </c>
      <c r="G45" s="27" t="s">
        <v>101</v>
      </c>
    </row>
    <row r="46" ht="13.5" customHeight="1">
      <c r="B46" s="25" t="s">
        <v>102</v>
      </c>
      <c r="C46" s="27" t="s">
        <v>103</v>
      </c>
      <c r="D46" s="25" t="s">
        <v>104</v>
      </c>
      <c r="E46" s="27" t="s">
        <v>105</v>
      </c>
      <c r="F46" s="25" t="s">
        <v>106</v>
      </c>
      <c r="G46" s="27" t="s">
        <v>107</v>
      </c>
    </row>
    <row r="47" ht="13.5" customHeight="1">
      <c r="B47" s="25" t="s">
        <v>108</v>
      </c>
      <c r="C47" s="27" t="s">
        <v>109</v>
      </c>
      <c r="D47" s="25" t="s">
        <v>110</v>
      </c>
      <c r="E47" s="27" t="s">
        <v>111</v>
      </c>
      <c r="F47" s="25" t="s">
        <v>112</v>
      </c>
      <c r="G47" s="27" t="s">
        <v>113</v>
      </c>
    </row>
    <row r="48" ht="13.5" customHeight="1">
      <c r="B48" s="25" t="s">
        <v>114</v>
      </c>
      <c r="C48" s="27" t="s">
        <v>115</v>
      </c>
      <c r="D48" s="25" t="s">
        <v>116</v>
      </c>
      <c r="E48" s="27" t="s">
        <v>117</v>
      </c>
      <c r="F48" s="25" t="s">
        <v>118</v>
      </c>
      <c r="G48" s="27" t="s">
        <v>119</v>
      </c>
    </row>
    <row r="49" ht="13.5" customHeight="1">
      <c r="B49" s="25" t="s">
        <v>121</v>
      </c>
      <c r="C49" s="27" t="s">
        <v>122</v>
      </c>
      <c r="D49" s="25" t="s">
        <v>123</v>
      </c>
      <c r="E49" s="27" t="s">
        <v>124</v>
      </c>
      <c r="F49" s="25" t="s">
        <v>125</v>
      </c>
      <c r="G49" s="27" t="s">
        <v>126</v>
      </c>
    </row>
    <row r="50" ht="13.5" customHeight="1">
      <c r="B50" s="25" t="s">
        <v>129</v>
      </c>
      <c r="C50" s="27" t="s">
        <v>130</v>
      </c>
      <c r="D50" s="25" t="s">
        <v>131</v>
      </c>
      <c r="E50" s="27" t="s">
        <v>132</v>
      </c>
    </row>
    <row r="51" ht="14.25" customHeight="1"/>
    <row r="52" ht="14.25" customHeight="1"/>
    <row r="53" ht="15.0" customHeight="1">
      <c r="B53" s="29" t="s">
        <v>134</v>
      </c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0">
    <mergeCell ref="B1:H2"/>
    <mergeCell ref="B3:H4"/>
    <mergeCell ref="B6:H6"/>
    <mergeCell ref="B8:H8"/>
    <mergeCell ref="B9:H9"/>
    <mergeCell ref="B10:H10"/>
    <mergeCell ref="B12:H12"/>
    <mergeCell ref="B13:H13"/>
    <mergeCell ref="B14:H14"/>
    <mergeCell ref="B15:H15"/>
    <mergeCell ref="B16:H16"/>
    <mergeCell ref="B17:H17"/>
    <mergeCell ref="B18:H18"/>
    <mergeCell ref="B20:H20"/>
    <mergeCell ref="B21:H21"/>
    <mergeCell ref="B22:H22"/>
    <mergeCell ref="B23:H23"/>
    <mergeCell ref="B24:H24"/>
    <mergeCell ref="B25:H25"/>
    <mergeCell ref="B26:H26"/>
    <mergeCell ref="B27:H27"/>
    <mergeCell ref="B41:H41"/>
    <mergeCell ref="B53:H53"/>
    <mergeCell ref="B28:H28"/>
    <mergeCell ref="B30:H30"/>
    <mergeCell ref="B31:H31"/>
    <mergeCell ref="B32:H32"/>
    <mergeCell ref="B34:H34"/>
    <mergeCell ref="B39:H39"/>
    <mergeCell ref="B40:H40"/>
  </mergeCells>
  <printOptions horizontalCentered="1"/>
  <pageMargins bottom="0.4" footer="0.0" header="0.0" left="0.3" right="0.3" top="0.4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26.0"/>
    <col customWidth="1" min="4" max="4" width="14.0"/>
    <col customWidth="1" min="5" max="6" width="16.0"/>
    <col customWidth="1" min="7" max="8" width="13.0"/>
    <col customWidth="1" min="9" max="9" width="14.0"/>
    <col customWidth="1" min="10" max="10" width="20.71"/>
    <col customWidth="1" min="11" max="11" width="18.0"/>
    <col customWidth="1" min="12" max="12" width="21.71"/>
    <col customWidth="1" min="13" max="13" width="26.0"/>
    <col customWidth="1" min="14" max="14" width="20.0"/>
    <col customWidth="1" min="15" max="15" width="8.71"/>
    <col customWidth="1" hidden="1" min="16" max="17" width="13.0"/>
    <col customWidth="1" min="18" max="26" width="8.71"/>
  </cols>
  <sheetData>
    <row r="1" ht="18.75" customHeight="1">
      <c r="A1" s="1"/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 ht="18.75" customHeight="1">
      <c r="A2" s="1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7"/>
    </row>
    <row r="3" ht="18.75" customHeight="1">
      <c r="A3" s="1"/>
      <c r="B3" s="8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4"/>
    </row>
    <row r="4" ht="18.75" customHeight="1">
      <c r="A4" s="1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7"/>
    </row>
    <row r="5" ht="14.25" customHeight="1"/>
    <row r="6" ht="30.0" customHeight="1">
      <c r="A6" s="10" t="s">
        <v>5</v>
      </c>
      <c r="B6" s="10" t="s">
        <v>7</v>
      </c>
      <c r="C6" s="10" t="s">
        <v>8</v>
      </c>
      <c r="D6" s="10" t="s">
        <v>9</v>
      </c>
      <c r="E6" s="10" t="s">
        <v>10</v>
      </c>
      <c r="F6" s="10" t="s">
        <v>12</v>
      </c>
      <c r="G6" s="10" t="s">
        <v>14</v>
      </c>
      <c r="H6" s="10" t="s">
        <v>15</v>
      </c>
      <c r="I6" s="10" t="s">
        <v>16</v>
      </c>
      <c r="J6" s="10" t="s">
        <v>18</v>
      </c>
      <c r="K6" s="10" t="s">
        <v>19</v>
      </c>
      <c r="L6" s="10" t="s">
        <v>21</v>
      </c>
      <c r="M6" s="10" t="s">
        <v>22</v>
      </c>
      <c r="N6" s="10" t="s">
        <v>24</v>
      </c>
    </row>
    <row r="7" ht="15.0" hidden="1" customHeight="1">
      <c r="A7" s="15" t="s">
        <v>25</v>
      </c>
      <c r="B7" s="17" t="s">
        <v>35</v>
      </c>
      <c r="C7" s="17" t="s">
        <v>38</v>
      </c>
      <c r="D7" s="17" t="s">
        <v>40</v>
      </c>
      <c r="E7" s="17" t="s">
        <v>41</v>
      </c>
      <c r="F7" s="17" t="s">
        <v>43</v>
      </c>
      <c r="G7" s="18">
        <v>697.9</v>
      </c>
      <c r="H7" s="15" t="s">
        <v>47</v>
      </c>
      <c r="I7" s="15">
        <v>941194.0</v>
      </c>
      <c r="J7" s="24" t="str">
        <f t="array" ref="J7">IF($A7="","",IFERROR(_xlfn.XLOOKUP($A7,'Movimentação'!$B$7:$B$1006,'Movimentação'!$E$7:$E$1006,"",0,-1),""))</f>
        <v>ESCRITÓRIO</v>
      </c>
      <c r="K7" s="24" t="str">
        <f t="array" ref="K7">IF($A7="","",IFERROR(_xlfn.XLOOKUP($A7,'Movimentação'!$B$7:$B$1006,'Movimentação'!$G$7:$G$1006,"",0,-1),""))</f>
        <v>LAÉRCIO</v>
      </c>
      <c r="L7" s="24" t="str">
        <f t="shared" ref="L7:L55" si="1">IF($A7="","",IF($Q7=1,"MANUTENÇÃO",IF($P7="BAIXA","BAIXADO",IF($P7="FURTO","FURTADO",IF($J7&lt;&gt;"","EM OBRA","PENDENTE-PROCURAR")))))</f>
        <v>EM OBRA</v>
      </c>
      <c r="M7" s="17"/>
      <c r="N7" s="30">
        <f t="array" ref="N7">IF($A7="","",IFERROR(IF(OR($L7="BAIXADO",$L7="FURTADO"),0,INDEX(Listas!$J$2:$J$40,MATCH($B7,Listas!$I$2:$I$40,0))),""))</f>
        <v>200</v>
      </c>
      <c r="P7" s="31" t="str">
        <f t="array" ref="P7">IF($A7="","",IFERROR(_xlfn.XLOOKUP($A7,'Movimentação'!$B$7:$B$1006,'Movimentação'!$F$7:$F$1006,"",0,-1),""))</f>
        <v>TRANSFERÊNCIA</v>
      </c>
      <c r="Q7" s="31">
        <f>IF(COUNTIFS('Manutenção'!$B$7:$B$1006,$A7,'Manutenção'!$H$7:$H$1006,"EM CONSERTO")&gt;0,1,0)</f>
        <v>0</v>
      </c>
    </row>
    <row r="8" ht="15.0" hidden="1" customHeight="1">
      <c r="A8" s="15" t="s">
        <v>96</v>
      </c>
      <c r="B8" s="17" t="s">
        <v>35</v>
      </c>
      <c r="C8" s="17" t="s">
        <v>38</v>
      </c>
      <c r="D8" s="17" t="s">
        <v>40</v>
      </c>
      <c r="E8" s="17" t="s">
        <v>41</v>
      </c>
      <c r="F8" s="17" t="s">
        <v>144</v>
      </c>
      <c r="G8" s="18">
        <v>697.9</v>
      </c>
      <c r="H8" s="15" t="s">
        <v>47</v>
      </c>
      <c r="I8" s="15">
        <v>941194.0</v>
      </c>
      <c r="J8" s="24" t="str">
        <f t="array" ref="J8">IF($A8="","",IFERROR(_xlfn.XLOOKUP($A8,'Movimentação'!$B$7:$B$1006,'Movimentação'!$E$7:$E$1006,"",0,-1),""))</f>
        <v>ARENGA (TRISUL)</v>
      </c>
      <c r="K8" s="24" t="str">
        <f t="array" ref="K8">IF($A8="","",IFERROR(_xlfn.XLOOKUP($A8,'Movimentação'!$B$7:$B$1006,'Movimentação'!$G$7:$G$1006,"",0,-1),""))</f>
        <v>LUCIENY</v>
      </c>
      <c r="L8" s="24" t="str">
        <f t="shared" si="1"/>
        <v>EM OBRA</v>
      </c>
      <c r="M8" s="17"/>
      <c r="N8" s="30">
        <f t="array" ref="N8">IF($A8="","",IFERROR(IF(OR($L8="BAIXADO",$L8="FURTADO"),0,INDEX(Listas!$J$2:$J$40,MATCH($B8,Listas!$I$2:$I$40,0))),""))</f>
        <v>200</v>
      </c>
      <c r="P8" s="31" t="str">
        <f t="array" ref="P8">IF($A8="","",IFERROR(_xlfn.XLOOKUP($A8,'Movimentação'!$B$7:$B$1006,'Movimentação'!$F$7:$F$1006,"",0,-1),""))</f>
        <v>TRANSFERÊNCIA</v>
      </c>
      <c r="Q8" s="31">
        <f>IF(COUNTIFS('Manutenção'!$B$7:$B$1006,$A8,'Manutenção'!$H$7:$H$1006,"EM CONSERTO")&gt;0,1,0)</f>
        <v>0</v>
      </c>
    </row>
    <row r="9" ht="15.0" hidden="1" customHeight="1">
      <c r="A9" s="15" t="s">
        <v>133</v>
      </c>
      <c r="B9" s="17" t="s">
        <v>35</v>
      </c>
      <c r="C9" s="17" t="s">
        <v>38</v>
      </c>
      <c r="D9" s="17" t="s">
        <v>40</v>
      </c>
      <c r="E9" s="17" t="s">
        <v>41</v>
      </c>
      <c r="F9" s="17" t="s">
        <v>158</v>
      </c>
      <c r="G9" s="18">
        <v>697.9</v>
      </c>
      <c r="H9" s="15" t="s">
        <v>47</v>
      </c>
      <c r="I9" s="15">
        <v>941194.0</v>
      </c>
      <c r="J9" s="24" t="str">
        <f t="array" ref="J9">IF($A9="","",IFERROR(_xlfn.XLOOKUP($A9,'Movimentação'!$B$7:$B$1006,'Movimentação'!$E$7:$E$1006,"",0,-1),""))</f>
        <v>ALPHA ONE</v>
      </c>
      <c r="K9" s="24" t="str">
        <f t="array" ref="K9">IF($A9="","",IFERROR(_xlfn.XLOOKUP($A9,'Movimentação'!$B$7:$B$1006,'Movimentação'!$G$7:$G$1006,"",0,-1),""))</f>
        <v>EICES</v>
      </c>
      <c r="L9" s="24" t="str">
        <f t="shared" si="1"/>
        <v>FURTADO</v>
      </c>
      <c r="M9" s="17"/>
      <c r="N9" s="30">
        <f t="array" ref="N9">IF($A9="","",IFERROR(IF(OR($L9="BAIXADO",$L9="FURTADO"),0,INDEX(Listas!$J$2:$J$40,MATCH($B9,Listas!$I$2:$I$40,0))),""))</f>
        <v>0</v>
      </c>
      <c r="P9" s="31" t="str">
        <f t="array" ref="P9">IF($A9="","",IFERROR(_xlfn.XLOOKUP($A9,'Movimentação'!$B$7:$B$1006,'Movimentação'!$F$7:$F$1006,"",0,-1),""))</f>
        <v>FURTO</v>
      </c>
      <c r="Q9" s="31">
        <f>IF(COUNTIFS('Manutenção'!$B$7:$B$1006,$A9,'Manutenção'!$H$7:$H$1006,"EM CONSERTO")&gt;0,1,0)</f>
        <v>0</v>
      </c>
    </row>
    <row r="10" ht="15.0" hidden="1" customHeight="1">
      <c r="A10" s="15" t="s">
        <v>136</v>
      </c>
      <c r="B10" s="17" t="s">
        <v>35</v>
      </c>
      <c r="C10" s="17" t="s">
        <v>38</v>
      </c>
      <c r="D10" s="17" t="s">
        <v>40</v>
      </c>
      <c r="E10" s="17" t="s">
        <v>41</v>
      </c>
      <c r="F10" s="17" t="s">
        <v>169</v>
      </c>
      <c r="G10" s="18">
        <v>697.9</v>
      </c>
      <c r="H10" s="15" t="s">
        <v>47</v>
      </c>
      <c r="I10" s="15">
        <v>941194.0</v>
      </c>
      <c r="J10" s="24" t="str">
        <f t="array" ref="J10">IF($A10="","",IFERROR(_xlfn.XLOOKUP($A10,'Movimentação'!$B$7:$B$1006,'Movimentação'!$E$7:$E$1006,"",0,-1),""))</f>
        <v>ALPHA ONE</v>
      </c>
      <c r="K10" s="24" t="str">
        <f t="array" ref="K10">IF($A10="","",IFERROR(_xlfn.XLOOKUP($A10,'Movimentação'!$B$7:$B$1006,'Movimentação'!$G$7:$G$1006,"",0,-1),""))</f>
        <v>EICES</v>
      </c>
      <c r="L10" s="24" t="str">
        <f t="shared" si="1"/>
        <v>BAIXADO</v>
      </c>
      <c r="M10" s="17"/>
      <c r="N10" s="30">
        <f t="array" ref="N10">IF($A10="","",IFERROR(IF(OR($L10="BAIXADO",$L10="FURTADO"),0,INDEX(Listas!$J$2:$J$40,MATCH($B10,Listas!$I$2:$I$40,0))),""))</f>
        <v>0</v>
      </c>
      <c r="P10" s="31" t="str">
        <f t="array" ref="P10">IF($A10="","",IFERROR(_xlfn.XLOOKUP($A10,'Movimentação'!$B$7:$B$1006,'Movimentação'!$F$7:$F$1006,"",0,-1),""))</f>
        <v>BAIXA</v>
      </c>
      <c r="Q10" s="31">
        <f>IF(COUNTIFS('Manutenção'!$B$7:$B$1006,$A10,'Manutenção'!$H$7:$H$1006,"EM CONSERTO")&gt;0,1,0)</f>
        <v>0</v>
      </c>
    </row>
    <row r="11" ht="15.0" hidden="1" customHeight="1">
      <c r="A11" s="15" t="s">
        <v>139</v>
      </c>
      <c r="B11" s="17" t="s">
        <v>35</v>
      </c>
      <c r="C11" s="17" t="s">
        <v>38</v>
      </c>
      <c r="D11" s="17" t="s">
        <v>40</v>
      </c>
      <c r="E11" s="17" t="s">
        <v>41</v>
      </c>
      <c r="F11" s="17" t="s">
        <v>178</v>
      </c>
      <c r="G11" s="18">
        <v>697.9</v>
      </c>
      <c r="H11" s="15" t="s">
        <v>47</v>
      </c>
      <c r="I11" s="15">
        <v>941194.0</v>
      </c>
      <c r="J11" s="24" t="str">
        <f t="array" ref="J11">IF($A11="","",IFERROR(_xlfn.XLOOKUP($A11,'Movimentação'!$B$7:$B$1006,'Movimentação'!$E$7:$E$1006,"",0,-1),""))</f>
        <v>ASSISTENCIA TECNICA</v>
      </c>
      <c r="K11" s="24" t="str">
        <f t="array" ref="K11">IF($A11="","",IFERROR(_xlfn.XLOOKUP($A11,'Movimentação'!$B$7:$B$1006,'Movimentação'!$G$7:$G$1006,"",0,-1),""))</f>
        <v>EICES</v>
      </c>
      <c r="L11" s="24" t="str">
        <f t="shared" si="1"/>
        <v>BAIXADO</v>
      </c>
      <c r="M11" s="17"/>
      <c r="N11" s="30">
        <f t="array" ref="N11">IF($A11="","",IFERROR(IF(OR($L11="BAIXADO",$L11="FURTADO"),0,INDEX(Listas!$J$2:$J$40,MATCH($B11,Listas!$I$2:$I$40,0))),""))</f>
        <v>0</v>
      </c>
      <c r="P11" s="31" t="str">
        <f t="array" ref="P11">IF($A11="","",IFERROR(_xlfn.XLOOKUP($A11,'Movimentação'!$B$7:$B$1006,'Movimentação'!$F$7:$F$1006,"",0,-1),""))</f>
        <v>BAIXA</v>
      </c>
      <c r="Q11" s="31">
        <f>IF(COUNTIFS('Manutenção'!$B$7:$B$1006,$A11,'Manutenção'!$H$7:$H$1006,"EM CONSERTO")&gt;0,1,0)</f>
        <v>0</v>
      </c>
    </row>
    <row r="12" ht="15.0" hidden="1" customHeight="1">
      <c r="A12" s="15" t="s">
        <v>141</v>
      </c>
      <c r="B12" s="17" t="s">
        <v>35</v>
      </c>
      <c r="C12" s="17" t="s">
        <v>38</v>
      </c>
      <c r="D12" s="17"/>
      <c r="E12" s="17"/>
      <c r="F12" s="17"/>
      <c r="G12" s="34">
        <v>697.9</v>
      </c>
      <c r="H12" s="15" t="s">
        <v>189</v>
      </c>
      <c r="I12" s="15"/>
      <c r="J12" s="24" t="str">
        <f t="array" ref="J12">IF($A12="","",IFERROR(_xlfn.XLOOKUP($A12,'Movimentação'!$B$7:$B$1006,'Movimentação'!$E$7:$E$1006,"",0,-1),""))</f>
        <v>ASSISTENCIA TECNICA</v>
      </c>
      <c r="K12" s="24" t="str">
        <f t="array" ref="K12">IF($A12="","",IFERROR(_xlfn.XLOOKUP($A12,'Movimentação'!$B$7:$B$1006,'Movimentação'!$G$7:$G$1006,"",0,-1),""))</f>
        <v>EICES</v>
      </c>
      <c r="L12" s="24" t="str">
        <f t="shared" si="1"/>
        <v>BAIXADO</v>
      </c>
      <c r="M12" s="17"/>
      <c r="N12" s="30">
        <f t="array" ref="N12">IF($A12="","",IFERROR(IF(OR($L12="BAIXADO",$L12="FURTADO"),0,INDEX(Listas!$J$2:$J$40,MATCH($B12,Listas!$I$2:$I$40,0))),""))</f>
        <v>0</v>
      </c>
      <c r="P12" s="31" t="str">
        <f t="array" ref="P12">IF($A12="","",IFERROR(_xlfn.XLOOKUP($A12,'Movimentação'!$B$7:$B$1006,'Movimentação'!$F$7:$F$1006,"",0,-1),""))</f>
        <v>BAIXA</v>
      </c>
      <c r="Q12" s="31">
        <f>IF(COUNTIFS('Manutenção'!$B$7:$B$1006,$A12,'Manutenção'!$H$7:$H$1006,"EM CONSERTO")&gt;0,1,0)</f>
        <v>0</v>
      </c>
    </row>
    <row r="13" ht="15.0" hidden="1" customHeight="1">
      <c r="A13" s="15" t="s">
        <v>145</v>
      </c>
      <c r="B13" s="17" t="s">
        <v>35</v>
      </c>
      <c r="C13" s="17" t="s">
        <v>38</v>
      </c>
      <c r="D13" s="17" t="s">
        <v>40</v>
      </c>
      <c r="E13" s="17" t="s">
        <v>41</v>
      </c>
      <c r="F13" s="17" t="s">
        <v>196</v>
      </c>
      <c r="G13" s="18">
        <v>697.9</v>
      </c>
      <c r="H13" s="15" t="s">
        <v>47</v>
      </c>
      <c r="I13" s="15">
        <v>941194.0</v>
      </c>
      <c r="J13" s="24" t="str">
        <f t="array" ref="J13">IF($A13="","",IFERROR(_xlfn.XLOOKUP($A13,'Movimentação'!$B$7:$B$1006,'Movimentação'!$E$7:$E$1006,"",0,-1),""))</f>
        <v>ASSISTENCIA TECNICA</v>
      </c>
      <c r="K13" s="24" t="str">
        <f t="array" ref="K13">IF($A13="","",IFERROR(_xlfn.XLOOKUP($A13,'Movimentação'!$B$7:$B$1006,'Movimentação'!$G$7:$G$1006,"",0,-1),""))</f>
        <v>EICES</v>
      </c>
      <c r="L13" s="24" t="str">
        <f t="shared" si="1"/>
        <v>BAIXADO</v>
      </c>
      <c r="M13" s="17" t="s">
        <v>206</v>
      </c>
      <c r="N13" s="30">
        <f t="array" ref="N13">IF($A13="","",IFERROR(IF(OR($L13="BAIXADO",$L13="FURTADO"),0,INDEX(Listas!$J$2:$J$40,MATCH($B13,Listas!$I$2:$I$40,0))),""))</f>
        <v>0</v>
      </c>
      <c r="P13" s="31" t="str">
        <f t="array" ref="P13">IF($A13="","",IFERROR(_xlfn.XLOOKUP($A13,'Movimentação'!$B$7:$B$1006,'Movimentação'!$F$7:$F$1006,"",0,-1),""))</f>
        <v>BAIXA</v>
      </c>
      <c r="Q13" s="31">
        <f>IF(COUNTIFS('Manutenção'!$B$7:$B$1006,$A13,'Manutenção'!$H$7:$H$1006,"EM CONSERTO")&gt;0,1,0)</f>
        <v>0</v>
      </c>
    </row>
    <row r="14" ht="15.0" hidden="1" customHeight="1">
      <c r="A14" s="15" t="s">
        <v>147</v>
      </c>
      <c r="B14" s="17" t="s">
        <v>35</v>
      </c>
      <c r="C14" s="17" t="s">
        <v>38</v>
      </c>
      <c r="D14" s="17" t="s">
        <v>40</v>
      </c>
      <c r="E14" s="17" t="s">
        <v>209</v>
      </c>
      <c r="F14" s="17" t="s">
        <v>210</v>
      </c>
      <c r="G14" s="34">
        <v>697.9</v>
      </c>
      <c r="H14" s="15" t="s">
        <v>189</v>
      </c>
      <c r="I14" s="15">
        <v>1276.0</v>
      </c>
      <c r="J14" s="24" t="str">
        <f t="array" ref="J14">IF($A14="","",IFERROR(_xlfn.XLOOKUP($A14,'Movimentação'!$B$7:$B$1006,'Movimentação'!$E$7:$E$1006,"",0,-1),""))</f>
        <v>TANABI</v>
      </c>
      <c r="K14" s="24" t="str">
        <f t="array" ref="K14">IF($A14="","",IFERROR(_xlfn.XLOOKUP($A14,'Movimentação'!$B$7:$B$1006,'Movimentação'!$G$7:$G$1006,"",0,-1),""))</f>
        <v>EICES</v>
      </c>
      <c r="L14" s="24" t="str">
        <f t="shared" si="1"/>
        <v>EM OBRA</v>
      </c>
      <c r="M14" s="17"/>
      <c r="N14" s="30">
        <f t="array" ref="N14">IF($A14="","",IFERROR(IF(OR($L14="BAIXADO",$L14="FURTADO"),0,INDEX(Listas!$J$2:$J$40,MATCH($B14,Listas!$I$2:$I$40,0))),""))</f>
        <v>200</v>
      </c>
      <c r="P14" s="31" t="str">
        <f t="array" ref="P14">IF($A14="","",IFERROR(_xlfn.XLOOKUP($A14,'Movimentação'!$B$7:$B$1006,'Movimentação'!$F$7:$F$1006,"",0,-1),""))</f>
        <v>ENTRADA (NOVA)</v>
      </c>
      <c r="Q14" s="31">
        <f>IF(COUNTIFS('Manutenção'!$B$7:$B$1006,$A14,'Manutenção'!$H$7:$H$1006,"EM CONSERTO")&gt;0,1,0)</f>
        <v>0</v>
      </c>
    </row>
    <row r="15" ht="15.0" hidden="1" customHeight="1">
      <c r="A15" s="15" t="s">
        <v>221</v>
      </c>
      <c r="B15" s="17" t="s">
        <v>35</v>
      </c>
      <c r="C15" s="17" t="s">
        <v>38</v>
      </c>
      <c r="D15" s="17" t="s">
        <v>40</v>
      </c>
      <c r="E15" s="17" t="s">
        <v>209</v>
      </c>
      <c r="F15" s="17" t="s">
        <v>222</v>
      </c>
      <c r="G15" s="34">
        <v>697.9</v>
      </c>
      <c r="H15" s="15" t="s">
        <v>189</v>
      </c>
      <c r="I15" s="15">
        <v>1276.0</v>
      </c>
      <c r="J15" s="24" t="str">
        <f t="array" ref="J15">IF($A15="","",IFERROR(_xlfn.XLOOKUP($A15,'Movimentação'!$B$7:$B$1006,'Movimentação'!$E$7:$E$1006,"",0,-1),""))</f>
        <v/>
      </c>
      <c r="K15" s="24" t="str">
        <f t="array" ref="K15">IF($A15="","",IFERROR(_xlfn.XLOOKUP($A15,'Movimentação'!$B$7:$B$1006,'Movimentação'!$G$7:$G$1006,"",0,-1),""))</f>
        <v/>
      </c>
      <c r="L15" s="24" t="str">
        <f t="shared" si="1"/>
        <v>PENDENTE-PROCURAR</v>
      </c>
      <c r="M15" s="17"/>
      <c r="N15" s="30">
        <f t="array" ref="N15">IF($A15="","",IFERROR(IF(OR($L15="BAIXADO",$L15="FURTADO"),0,INDEX(Listas!$J$2:$J$40,MATCH($B15,Listas!$I$2:$I$40,0))),""))</f>
        <v>200</v>
      </c>
      <c r="P15" s="31" t="str">
        <f t="array" ref="P15">IF($A15="","",IFERROR(_xlfn.XLOOKUP($A15,'Movimentação'!$B$7:$B$1006,'Movimentação'!$F$7:$F$1006,"",0,-1),""))</f>
        <v/>
      </c>
      <c r="Q15" s="31">
        <f>IF(COUNTIFS('Manutenção'!$B$7:$B$1006,$A15,'Manutenção'!$H$7:$H$1006,"EM CONSERTO")&gt;0,1,0)</f>
        <v>0</v>
      </c>
    </row>
    <row r="16" ht="15.0" hidden="1" customHeight="1">
      <c r="A16" s="15" t="s">
        <v>149</v>
      </c>
      <c r="B16" s="17" t="s">
        <v>35</v>
      </c>
      <c r="C16" s="17" t="s">
        <v>38</v>
      </c>
      <c r="D16" s="17" t="s">
        <v>229</v>
      </c>
      <c r="E16" s="17" t="s">
        <v>230</v>
      </c>
      <c r="F16" s="17">
        <v>2358.0</v>
      </c>
      <c r="G16" s="18">
        <v>779.01</v>
      </c>
      <c r="H16" s="15" t="s">
        <v>47</v>
      </c>
      <c r="I16" s="15">
        <v>1051559.0</v>
      </c>
      <c r="J16" s="24" t="str">
        <f t="array" ref="J16">IF($A16="","",IFERROR(_xlfn.XLOOKUP($A16,'Movimentação'!$B$7:$B$1006,'Movimentação'!$E$7:$E$1006,"",0,-1),""))</f>
        <v>ASSISTENCIA TECNICA</v>
      </c>
      <c r="K16" s="24" t="str">
        <f t="array" ref="K16">IF($A16="","",IFERROR(_xlfn.XLOOKUP($A16,'Movimentação'!$B$7:$B$1006,'Movimentação'!$G$7:$G$1006,"",0,-1),""))</f>
        <v>EICES</v>
      </c>
      <c r="L16" s="24" t="str">
        <f t="shared" si="1"/>
        <v>BAIXADO</v>
      </c>
      <c r="M16" s="17" t="s">
        <v>233</v>
      </c>
      <c r="N16" s="30">
        <f t="array" ref="N16">IF($A16="","",IFERROR(IF(OR($L16="BAIXADO",$L16="FURTADO"),0,INDEX(Listas!$J$2:$J$40,MATCH($B16,Listas!$I$2:$I$40,0))),""))</f>
        <v>0</v>
      </c>
      <c r="P16" s="31" t="str">
        <f t="array" ref="P16">IF($A16="","",IFERROR(_xlfn.XLOOKUP($A16,'Movimentação'!$B$7:$B$1006,'Movimentação'!$F$7:$F$1006,"",0,-1),""))</f>
        <v>BAIXA</v>
      </c>
      <c r="Q16" s="31">
        <f>IF(COUNTIFS('Manutenção'!$B$7:$B$1006,$A16,'Manutenção'!$H$7:$H$1006,"EM CONSERTO")&gt;0,1,0)</f>
        <v>0</v>
      </c>
    </row>
    <row r="17" ht="15.0" hidden="1" customHeight="1">
      <c r="A17" s="15" t="s">
        <v>240</v>
      </c>
      <c r="B17" s="17" t="s">
        <v>35</v>
      </c>
      <c r="C17" s="17" t="s">
        <v>38</v>
      </c>
      <c r="D17" s="17" t="s">
        <v>40</v>
      </c>
      <c r="E17" s="17" t="s">
        <v>241</v>
      </c>
      <c r="F17" s="17">
        <v>2.26200053E8</v>
      </c>
      <c r="G17" s="18">
        <v>806.67</v>
      </c>
      <c r="H17" s="15" t="s">
        <v>47</v>
      </c>
      <c r="I17" s="15"/>
      <c r="J17" s="24" t="str">
        <f t="array" ref="J17">IF($A17="","",IFERROR(_xlfn.XLOOKUP($A17,'Movimentação'!$B$7:$B$1006,'Movimentação'!$E$7:$E$1006,"",0,-1),""))</f>
        <v/>
      </c>
      <c r="K17" s="24" t="str">
        <f t="array" ref="K17">IF($A17="","",IFERROR(_xlfn.XLOOKUP($A17,'Movimentação'!$B$7:$B$1006,'Movimentação'!$G$7:$G$1006,"",0,-1),""))</f>
        <v/>
      </c>
      <c r="L17" s="24" t="str">
        <f t="shared" si="1"/>
        <v>PENDENTE-PROCURAR</v>
      </c>
      <c r="M17" s="17"/>
      <c r="N17" s="30">
        <f t="array" ref="N17">IF($A17="","",IFERROR(IF(OR($L17="BAIXADO",$L17="FURTADO"),0,INDEX(Listas!$J$2:$J$40,MATCH($B17,Listas!$I$2:$I$40,0))),""))</f>
        <v>200</v>
      </c>
      <c r="P17" s="31" t="str">
        <f t="array" ref="P17">IF($A17="","",IFERROR(_xlfn.XLOOKUP($A17,'Movimentação'!$B$7:$B$1006,'Movimentação'!$F$7:$F$1006,"",0,-1),""))</f>
        <v/>
      </c>
      <c r="Q17" s="31">
        <f>IF(COUNTIFS('Manutenção'!$B$7:$B$1006,$A17,'Manutenção'!$H$7:$H$1006,"EM CONSERTO")&gt;0,1,0)</f>
        <v>0</v>
      </c>
    </row>
    <row r="18" ht="15.0" hidden="1" customHeight="1">
      <c r="A18" s="15" t="s">
        <v>152</v>
      </c>
      <c r="B18" s="17" t="s">
        <v>35</v>
      </c>
      <c r="C18" s="17" t="s">
        <v>38</v>
      </c>
      <c r="D18" s="17" t="s">
        <v>254</v>
      </c>
      <c r="E18" s="17" t="s">
        <v>255</v>
      </c>
      <c r="F18" s="17" t="s">
        <v>256</v>
      </c>
      <c r="G18" s="34">
        <v>697.9</v>
      </c>
      <c r="H18" s="15" t="s">
        <v>189</v>
      </c>
      <c r="I18" s="15"/>
      <c r="J18" s="24" t="str">
        <f t="array" ref="J18">IF($A18="","",IFERROR(_xlfn.XLOOKUP($A18,'Movimentação'!$B$7:$B$1006,'Movimentação'!$E$7:$E$1006,"",0,-1),""))</f>
        <v>MAURO</v>
      </c>
      <c r="K18" s="24" t="str">
        <f t="array" ref="K18">IF($A18="","",IFERROR(_xlfn.XLOOKUP($A18,'Movimentação'!$B$7:$B$1006,'Movimentação'!$G$7:$G$1006,"",0,-1),""))</f>
        <v>EICES</v>
      </c>
      <c r="L18" s="24" t="str">
        <f t="shared" si="1"/>
        <v>EM OBRA</v>
      </c>
      <c r="M18" s="17"/>
      <c r="N18" s="30">
        <f t="array" ref="N18">IF($A18="","",IFERROR(IF(OR($L18="BAIXADO",$L18="FURTADO"),0,INDEX(Listas!$J$2:$J$40,MATCH($B18,Listas!$I$2:$I$40,0))),""))</f>
        <v>200</v>
      </c>
      <c r="P18" s="31" t="str">
        <f t="array" ref="P18">IF($A18="","",IFERROR(_xlfn.XLOOKUP($A18,'Movimentação'!$B$7:$B$1006,'Movimentação'!$F$7:$F$1006,"",0,-1),""))</f>
        <v>ENTRADA (NOVA)</v>
      </c>
      <c r="Q18" s="31">
        <f>IF(COUNTIFS('Manutenção'!$B$7:$B$1006,$A18,'Manutenção'!$H$7:$H$1006,"EM CONSERTO")&gt;0,1,0)</f>
        <v>0</v>
      </c>
    </row>
    <row r="19" ht="15.0" hidden="1" customHeight="1">
      <c r="A19" s="15" t="s">
        <v>155</v>
      </c>
      <c r="B19" s="17" t="s">
        <v>35</v>
      </c>
      <c r="C19" s="17" t="s">
        <v>38</v>
      </c>
      <c r="D19" s="17" t="s">
        <v>254</v>
      </c>
      <c r="E19" s="17" t="s">
        <v>255</v>
      </c>
      <c r="F19" s="17" t="s">
        <v>261</v>
      </c>
      <c r="G19" s="34">
        <v>697.9</v>
      </c>
      <c r="H19" s="15" t="s">
        <v>189</v>
      </c>
      <c r="I19" s="15"/>
      <c r="J19" s="24" t="str">
        <f t="array" ref="J19">IF($A19="","",IFERROR(_xlfn.XLOOKUP($A19,'Movimentação'!$B$7:$B$1006,'Movimentação'!$E$7:$E$1006,"",0,-1),""))</f>
        <v>ASSISTENCIA TECNICA</v>
      </c>
      <c r="K19" s="24" t="str">
        <f t="array" ref="K19">IF($A19="","",IFERROR(_xlfn.XLOOKUP($A19,'Movimentação'!$B$7:$B$1006,'Movimentação'!$G$7:$G$1006,"",0,-1),""))</f>
        <v>EICES</v>
      </c>
      <c r="L19" s="24" t="str">
        <f t="shared" si="1"/>
        <v>BAIXADO</v>
      </c>
      <c r="M19" s="17"/>
      <c r="N19" s="30">
        <f t="array" ref="N19">IF($A19="","",IFERROR(IF(OR($L19="BAIXADO",$L19="FURTADO"),0,INDEX(Listas!$J$2:$J$40,MATCH($B19,Listas!$I$2:$I$40,0))),""))</f>
        <v>0</v>
      </c>
      <c r="P19" s="31" t="str">
        <f t="array" ref="P19">IF($A19="","",IFERROR(_xlfn.XLOOKUP($A19,'Movimentação'!$B$7:$B$1006,'Movimentação'!$F$7:$F$1006,"",0,-1),""))</f>
        <v>BAIXA</v>
      </c>
      <c r="Q19" s="31">
        <f>IF(COUNTIFS('Manutenção'!$B$7:$B$1006,$A19,'Manutenção'!$H$7:$H$1006,"EM CONSERTO")&gt;0,1,0)</f>
        <v>0</v>
      </c>
    </row>
    <row r="20" ht="15.0" hidden="1" customHeight="1">
      <c r="A20" s="15" t="s">
        <v>266</v>
      </c>
      <c r="B20" s="17" t="s">
        <v>35</v>
      </c>
      <c r="C20" s="17" t="s">
        <v>38</v>
      </c>
      <c r="D20" s="17" t="s">
        <v>254</v>
      </c>
      <c r="E20" s="17" t="s">
        <v>255</v>
      </c>
      <c r="F20" s="17" t="s">
        <v>267</v>
      </c>
      <c r="G20" s="34">
        <v>697.9</v>
      </c>
      <c r="H20" s="15" t="s">
        <v>189</v>
      </c>
      <c r="I20" s="15"/>
      <c r="J20" s="24" t="str">
        <f t="array" ref="J20">IF($A20="","",IFERROR(_xlfn.XLOOKUP($A20,'Movimentação'!$B$7:$B$1006,'Movimentação'!$E$7:$E$1006,"",0,-1),""))</f>
        <v>BALTAZAR</v>
      </c>
      <c r="K20" s="24" t="str">
        <f t="array" ref="K20">IF($A20="","",IFERROR(_xlfn.XLOOKUP($A20,'Movimentação'!$B$7:$B$1006,'Movimentação'!$G$7:$G$1006,"",0,-1),""))</f>
        <v>MARCIO</v>
      </c>
      <c r="L20" s="24" t="str">
        <f t="shared" si="1"/>
        <v>FURTADO</v>
      </c>
      <c r="M20" s="17" t="s">
        <v>206</v>
      </c>
      <c r="N20" s="30">
        <f t="array" ref="N20">IF($A20="","",IFERROR(IF(OR($L20="BAIXADO",$L20="FURTADO"),0,INDEX(Listas!$J$2:$J$40,MATCH($B20,Listas!$I$2:$I$40,0))),""))</f>
        <v>0</v>
      </c>
      <c r="P20" s="31" t="str">
        <f t="array" ref="P20">IF($A20="","",IFERROR(_xlfn.XLOOKUP($A20,'Movimentação'!$B$7:$B$1006,'Movimentação'!$F$7:$F$1006,"",0,-1),""))</f>
        <v>FURTO</v>
      </c>
      <c r="Q20" s="31">
        <f>IF(COUNTIFS('Manutenção'!$B$7:$B$1006,$A20,'Manutenção'!$H$7:$H$1006,"EM CONSERTO")&gt;0,1,0)</f>
        <v>0</v>
      </c>
    </row>
    <row r="21" ht="15.0" hidden="1" customHeight="1">
      <c r="A21" s="15" t="s">
        <v>156</v>
      </c>
      <c r="B21" s="17" t="s">
        <v>35</v>
      </c>
      <c r="C21" s="17" t="s">
        <v>38</v>
      </c>
      <c r="D21" s="17" t="s">
        <v>254</v>
      </c>
      <c r="E21" s="17" t="s">
        <v>255</v>
      </c>
      <c r="F21" s="17" t="s">
        <v>271</v>
      </c>
      <c r="G21" s="34">
        <v>697.9</v>
      </c>
      <c r="H21" s="15" t="s">
        <v>189</v>
      </c>
      <c r="I21" s="15"/>
      <c r="J21" s="24" t="str">
        <f t="array" ref="J21">IF($A21="","",IFERROR(_xlfn.XLOOKUP($A21,'Movimentação'!$B$7:$B$1006,'Movimentação'!$E$7:$E$1006,"",0,-1),""))</f>
        <v>JOA</v>
      </c>
      <c r="K21" s="24" t="str">
        <f t="array" ref="K21">IF($A21="","",IFERROR(_xlfn.XLOOKUP($A21,'Movimentação'!$B$7:$B$1006,'Movimentação'!$G$7:$G$1006,"",0,-1),""))</f>
        <v>GABRIEL</v>
      </c>
      <c r="L21" s="24" t="str">
        <f t="shared" si="1"/>
        <v>EM OBRA</v>
      </c>
      <c r="M21" s="17"/>
      <c r="N21" s="30">
        <f t="array" ref="N21">IF($A21="","",IFERROR(IF(OR($L21="BAIXADO",$L21="FURTADO"),0,INDEX(Listas!$J$2:$J$40,MATCH($B21,Listas!$I$2:$I$40,0))),""))</f>
        <v>200</v>
      </c>
      <c r="P21" s="31" t="str">
        <f t="array" ref="P21">IF($A21="","",IFERROR(_xlfn.XLOOKUP($A21,'Movimentação'!$B$7:$B$1006,'Movimentação'!$F$7:$F$1006,"",0,-1),""))</f>
        <v>TRANSFERÊNCIA</v>
      </c>
      <c r="Q21" s="31">
        <f>IF(COUNTIFS('Manutenção'!$B$7:$B$1006,$A21,'Manutenção'!$H$7:$H$1006,"EM CONSERTO")&gt;0,1,0)</f>
        <v>0</v>
      </c>
    </row>
    <row r="22" ht="15.0" hidden="1" customHeight="1">
      <c r="A22" s="15" t="s">
        <v>160</v>
      </c>
      <c r="B22" s="17" t="s">
        <v>35</v>
      </c>
      <c r="C22" s="17" t="s">
        <v>38</v>
      </c>
      <c r="D22" s="17" t="s">
        <v>254</v>
      </c>
      <c r="E22" s="17" t="s">
        <v>255</v>
      </c>
      <c r="F22" s="17" t="s">
        <v>279</v>
      </c>
      <c r="G22" s="34">
        <v>697.9</v>
      </c>
      <c r="H22" s="15" t="s">
        <v>189</v>
      </c>
      <c r="I22" s="15"/>
      <c r="J22" s="24" t="str">
        <f t="array" ref="J22">IF($A22="","",IFERROR(_xlfn.XLOOKUP($A22,'Movimentação'!$B$7:$B$1006,'Movimentação'!$E$7:$E$1006,"",0,-1),""))</f>
        <v>ASSISTENCIA TECNICA</v>
      </c>
      <c r="K22" s="24" t="str">
        <f t="array" ref="K22">IF($A22="","",IFERROR(_xlfn.XLOOKUP($A22,'Movimentação'!$B$7:$B$1006,'Movimentação'!$G$7:$G$1006,"",0,-1),""))</f>
        <v>EICES</v>
      </c>
      <c r="L22" s="24" t="str">
        <f t="shared" si="1"/>
        <v>BAIXADO</v>
      </c>
      <c r="M22" s="17"/>
      <c r="N22" s="30">
        <f t="array" ref="N22">IF($A22="","",IFERROR(IF(OR($L22="BAIXADO",$L22="FURTADO"),0,INDEX(Listas!$J$2:$J$40,MATCH($B22,Listas!$I$2:$I$40,0))),""))</f>
        <v>0</v>
      </c>
      <c r="P22" s="31" t="str">
        <f t="array" ref="P22">IF($A22="","",IFERROR(_xlfn.XLOOKUP($A22,'Movimentação'!$B$7:$B$1006,'Movimentação'!$F$7:$F$1006,"",0,-1),""))</f>
        <v>BAIXA</v>
      </c>
      <c r="Q22" s="31">
        <f>IF(COUNTIFS('Manutenção'!$B$7:$B$1006,$A22,'Manutenção'!$H$7:$H$1006,"EM CONSERTO")&gt;0,1,0)</f>
        <v>0</v>
      </c>
    </row>
    <row r="23" ht="15.0" hidden="1" customHeight="1">
      <c r="A23" s="15" t="s">
        <v>285</v>
      </c>
      <c r="B23" s="17" t="s">
        <v>35</v>
      </c>
      <c r="C23" s="17" t="s">
        <v>38</v>
      </c>
      <c r="D23" s="17" t="s">
        <v>254</v>
      </c>
      <c r="E23" s="17" t="s">
        <v>255</v>
      </c>
      <c r="F23" s="17"/>
      <c r="G23" s="34">
        <v>697.9</v>
      </c>
      <c r="H23" s="15" t="s">
        <v>189</v>
      </c>
      <c r="I23" s="15"/>
      <c r="J23" s="24" t="str">
        <f t="array" ref="J23">IF($A23="","",IFERROR(_xlfn.XLOOKUP($A23,'Movimentação'!$B$7:$B$1006,'Movimentação'!$E$7:$E$1006,"",0,-1),""))</f>
        <v/>
      </c>
      <c r="K23" s="24" t="str">
        <f t="array" ref="K23">IF($A23="","",IFERROR(_xlfn.XLOOKUP($A23,'Movimentação'!$B$7:$B$1006,'Movimentação'!$G$7:$G$1006,"",0,-1),""))</f>
        <v/>
      </c>
      <c r="L23" s="24" t="str">
        <f t="shared" si="1"/>
        <v>PENDENTE-PROCURAR</v>
      </c>
      <c r="M23" s="17"/>
      <c r="N23" s="30">
        <f t="array" ref="N23">IF($A23="","",IFERROR(IF(OR($L23="BAIXADO",$L23="FURTADO"),0,INDEX(Listas!$J$2:$J$40,MATCH($B23,Listas!$I$2:$I$40,0))),""))</f>
        <v>200</v>
      </c>
      <c r="P23" s="31" t="str">
        <f t="array" ref="P23">IF($A23="","",IFERROR(_xlfn.XLOOKUP($A23,'Movimentação'!$B$7:$B$1006,'Movimentação'!$F$7:$F$1006,"",0,-1),""))</f>
        <v/>
      </c>
      <c r="Q23" s="31">
        <f>IF(COUNTIFS('Manutenção'!$B$7:$B$1006,$A23,'Manutenção'!$H$7:$H$1006,"EM CONSERTO")&gt;0,1,0)</f>
        <v>0</v>
      </c>
    </row>
    <row r="24" ht="15.0" hidden="1" customHeight="1">
      <c r="A24" s="15" t="s">
        <v>164</v>
      </c>
      <c r="B24" s="17" t="s">
        <v>35</v>
      </c>
      <c r="C24" s="17" t="s">
        <v>38</v>
      </c>
      <c r="D24" s="17" t="s">
        <v>291</v>
      </c>
      <c r="E24" s="17" t="s">
        <v>293</v>
      </c>
      <c r="F24" s="17" t="s">
        <v>294</v>
      </c>
      <c r="G24" s="34">
        <v>697.9</v>
      </c>
      <c r="H24" s="15" t="s">
        <v>189</v>
      </c>
      <c r="I24" s="15"/>
      <c r="J24" s="24" t="str">
        <f t="array" ref="J24">IF($A24="","",IFERROR(_xlfn.XLOOKUP($A24,'Movimentação'!$B$7:$B$1006,'Movimentação'!$E$7:$E$1006,"",0,-1),""))</f>
        <v>PJM</v>
      </c>
      <c r="K24" s="24" t="str">
        <f t="array" ref="K24">IF($A24="","",IFERROR(_xlfn.XLOOKUP($A24,'Movimentação'!$B$7:$B$1006,'Movimentação'!$G$7:$G$1006,"",0,-1),""))</f>
        <v>EICES</v>
      </c>
      <c r="L24" s="24" t="str">
        <f t="shared" si="1"/>
        <v>EM OBRA</v>
      </c>
      <c r="M24" s="17"/>
      <c r="N24" s="30">
        <f t="array" ref="N24">IF($A24="","",IFERROR(IF(OR($L24="BAIXADO",$L24="FURTADO"),0,INDEX(Listas!$J$2:$J$40,MATCH($B24,Listas!$I$2:$I$40,0))),""))</f>
        <v>200</v>
      </c>
      <c r="P24" s="31" t="str">
        <f t="array" ref="P24">IF($A24="","",IFERROR(_xlfn.XLOOKUP($A24,'Movimentação'!$B$7:$B$1006,'Movimentação'!$F$7:$F$1006,"",0,-1),""))</f>
        <v>ENTRADA (NOVA)</v>
      </c>
      <c r="Q24" s="31">
        <f>IF(COUNTIFS('Manutenção'!$B$7:$B$1006,$A24,'Manutenção'!$H$7:$H$1006,"EM CONSERTO")&gt;0,1,0)</f>
        <v>0</v>
      </c>
    </row>
    <row r="25" ht="15.0" hidden="1" customHeight="1">
      <c r="A25" s="15" t="s">
        <v>63</v>
      </c>
      <c r="B25" s="17" t="s">
        <v>35</v>
      </c>
      <c r="C25" s="17" t="s">
        <v>38</v>
      </c>
      <c r="D25" s="17" t="s">
        <v>291</v>
      </c>
      <c r="E25" s="17" t="s">
        <v>293</v>
      </c>
      <c r="F25" s="17" t="s">
        <v>299</v>
      </c>
      <c r="G25" s="34">
        <v>697.9</v>
      </c>
      <c r="H25" s="15" t="s">
        <v>189</v>
      </c>
      <c r="I25" s="15"/>
      <c r="J25" s="24" t="str">
        <f t="array" ref="J25">IF($A25="","",IFERROR(_xlfn.XLOOKUP($A25,'Movimentação'!$B$7:$B$1006,'Movimentação'!$E$7:$E$1006,"",0,-1),""))</f>
        <v>ANGELICA</v>
      </c>
      <c r="K25" s="24" t="s">
        <v>301</v>
      </c>
      <c r="L25" s="24" t="str">
        <f t="shared" si="1"/>
        <v>EM OBRA</v>
      </c>
      <c r="M25" s="17"/>
      <c r="N25" s="30">
        <f t="array" ref="N25">IF($A25="","",IFERROR(IF(OR($L25="BAIXADO",$L25="FURTADO"),0,INDEX(Listas!$J$2:$J$40,MATCH($B25,Listas!$I$2:$I$40,0))),""))</f>
        <v>200</v>
      </c>
      <c r="P25" s="31" t="str">
        <f t="array" ref="P25">IF($A25="","",IFERROR(_xlfn.XLOOKUP($A25,'Movimentação'!$B$7:$B$1006,'Movimentação'!$F$7:$F$1006,"",0,-1),""))</f>
        <v>RETORNO MANUTENÇÃO</v>
      </c>
      <c r="Q25" s="31">
        <f>IF(COUNTIFS('Manutenção'!$B$7:$B$1006,$A25,'Manutenção'!$H$7:$H$1006,"EM CONSERTO")&gt;0,1,0)</f>
        <v>0</v>
      </c>
    </row>
    <row r="26" ht="15.0" hidden="1" customHeight="1">
      <c r="A26" s="15" t="s">
        <v>168</v>
      </c>
      <c r="B26" s="17" t="s">
        <v>35</v>
      </c>
      <c r="C26" s="17" t="s">
        <v>38</v>
      </c>
      <c r="D26" s="17" t="s">
        <v>291</v>
      </c>
      <c r="E26" s="17" t="s">
        <v>293</v>
      </c>
      <c r="F26" s="17" t="s">
        <v>304</v>
      </c>
      <c r="G26" s="34">
        <v>697.9</v>
      </c>
      <c r="H26" s="15" t="s">
        <v>189</v>
      </c>
      <c r="I26" s="15"/>
      <c r="J26" s="24" t="str">
        <f t="array" ref="J26">IF($A26="","",IFERROR(_xlfn.XLOOKUP($A26,'Movimentação'!$B$7:$B$1006,'Movimentação'!$E$7:$E$1006,"",0,-1),""))</f>
        <v>ORIÇANGA</v>
      </c>
      <c r="K26" s="24" t="str">
        <f t="array" ref="K26">IF($A26="","",IFERROR(_xlfn.XLOOKUP($A26,'Movimentação'!$B$7:$B$1006,'Movimentação'!$G$7:$G$1006,"",0,-1),""))</f>
        <v>EICES</v>
      </c>
      <c r="L26" s="24" t="str">
        <f t="shared" si="1"/>
        <v>EM OBRA</v>
      </c>
      <c r="M26" s="17"/>
      <c r="N26" s="30">
        <f t="array" ref="N26">IF($A26="","",IFERROR(IF(OR($L26="BAIXADO",$L26="FURTADO"),0,INDEX(Listas!$J$2:$J$40,MATCH($B26,Listas!$I$2:$I$40,0))),""))</f>
        <v>200</v>
      </c>
      <c r="P26" s="31" t="str">
        <f t="array" ref="P26">IF($A26="","",IFERROR(_xlfn.XLOOKUP($A26,'Movimentação'!$B$7:$B$1006,'Movimentação'!$F$7:$F$1006,"",0,-1),""))</f>
        <v>ENTRADA (NOVA)</v>
      </c>
      <c r="Q26" s="31">
        <f>IF(COUNTIFS('Manutenção'!$B$7:$B$1006,$A26,'Manutenção'!$H$7:$H$1006,"EM CONSERTO")&gt;0,1,0)</f>
        <v>0</v>
      </c>
    </row>
    <row r="27" ht="15.0" hidden="1" customHeight="1">
      <c r="A27" s="15" t="s">
        <v>171</v>
      </c>
      <c r="B27" s="17" t="s">
        <v>35</v>
      </c>
      <c r="C27" s="17" t="s">
        <v>38</v>
      </c>
      <c r="D27" s="17" t="s">
        <v>291</v>
      </c>
      <c r="E27" s="17" t="s">
        <v>293</v>
      </c>
      <c r="F27" s="17" t="s">
        <v>311</v>
      </c>
      <c r="G27" s="34">
        <v>697.9</v>
      </c>
      <c r="H27" s="15" t="s">
        <v>189</v>
      </c>
      <c r="I27" s="15"/>
      <c r="J27" s="24" t="str">
        <f t="array" ref="J27">IF($A27="","",IFERROR(_xlfn.XLOOKUP($A27,'Movimentação'!$B$7:$B$1006,'Movimentação'!$E$7:$E$1006,"",0,-1),""))</f>
        <v>SAMPA CONSOLAÇÃO</v>
      </c>
      <c r="K27" s="24" t="str">
        <f t="array" ref="K27">IF($A27="","",IFERROR(_xlfn.XLOOKUP($A27,'Movimentação'!$B$7:$B$1006,'Movimentação'!$G$7:$G$1006,"",0,-1),""))</f>
        <v>EICES</v>
      </c>
      <c r="L27" s="24" t="str">
        <f t="shared" si="1"/>
        <v>EM OBRA</v>
      </c>
      <c r="M27" s="17"/>
      <c r="N27" s="30">
        <f t="array" ref="N27">IF($A27="","",IFERROR(IF(OR($L27="BAIXADO",$L27="FURTADO"),0,INDEX(Listas!$J$2:$J$40,MATCH($B27,Listas!$I$2:$I$40,0))),""))</f>
        <v>200</v>
      </c>
      <c r="P27" s="31" t="str">
        <f t="array" ref="P27">IF($A27="","",IFERROR(_xlfn.XLOOKUP($A27,'Movimentação'!$B$7:$B$1006,'Movimentação'!$F$7:$F$1006,"",0,-1),""))</f>
        <v>ENTRADA (NOVA)</v>
      </c>
      <c r="Q27" s="31">
        <f>IF(COUNTIFS('Manutenção'!$B$7:$B$1006,$A27,'Manutenção'!$H$7:$H$1006,"EM CONSERTO")&gt;0,1,0)</f>
        <v>0</v>
      </c>
    </row>
    <row r="28" ht="15.0" hidden="1" customHeight="1">
      <c r="A28" s="15" t="s">
        <v>173</v>
      </c>
      <c r="B28" s="17" t="s">
        <v>35</v>
      </c>
      <c r="C28" s="17" t="s">
        <v>38</v>
      </c>
      <c r="D28" s="17" t="s">
        <v>291</v>
      </c>
      <c r="E28" s="17" t="s">
        <v>293</v>
      </c>
      <c r="F28" s="17" t="s">
        <v>316</v>
      </c>
      <c r="G28" s="34">
        <v>697.9</v>
      </c>
      <c r="H28" s="15" t="s">
        <v>189</v>
      </c>
      <c r="I28" s="15"/>
      <c r="J28" s="24" t="str">
        <f t="array" ref="J28">IF($A28="","",IFERROR(_xlfn.XLOOKUP($A28,'Movimentação'!$B$7:$B$1006,'Movimentação'!$E$7:$E$1006,"",0,-1),""))</f>
        <v>PJM</v>
      </c>
      <c r="K28" s="24" t="str">
        <f t="array" ref="K28">IF($A28="","",IFERROR(_xlfn.XLOOKUP($A28,'Movimentação'!$B$7:$B$1006,'Movimentação'!$G$7:$G$1006,"",0,-1),""))</f>
        <v>EICES</v>
      </c>
      <c r="L28" s="24" t="str">
        <f t="shared" si="1"/>
        <v>EM OBRA</v>
      </c>
      <c r="M28" s="17"/>
      <c r="N28" s="30">
        <f t="array" ref="N28">IF($A28="","",IFERROR(IF(OR($L28="BAIXADO",$L28="FURTADO"),0,INDEX(Listas!$J$2:$J$40,MATCH($B28,Listas!$I$2:$I$40,0))),""))</f>
        <v>200</v>
      </c>
      <c r="P28" s="31" t="str">
        <f t="array" ref="P28">IF($A28="","",IFERROR(_xlfn.XLOOKUP($A28,'Movimentação'!$B$7:$B$1006,'Movimentação'!$F$7:$F$1006,"",0,-1),""))</f>
        <v>ENTRADA (NOVA)</v>
      </c>
      <c r="Q28" s="31">
        <f>IF(COUNTIFS('Manutenção'!$B$7:$B$1006,$A28,'Manutenção'!$H$7:$H$1006,"EM CONSERTO")&gt;0,1,0)</f>
        <v>0</v>
      </c>
    </row>
    <row r="29" ht="15.0" hidden="1" customHeight="1">
      <c r="A29" s="15" t="s">
        <v>174</v>
      </c>
      <c r="B29" s="17" t="s">
        <v>79</v>
      </c>
      <c r="C29" s="17" t="s">
        <v>325</v>
      </c>
      <c r="D29" s="17" t="s">
        <v>40</v>
      </c>
      <c r="E29" s="17" t="s">
        <v>326</v>
      </c>
      <c r="F29" s="17" t="s">
        <v>327</v>
      </c>
      <c r="G29" s="18">
        <v>1162.19</v>
      </c>
      <c r="H29" s="15" t="s">
        <v>47</v>
      </c>
      <c r="I29" s="15">
        <v>952463.0</v>
      </c>
      <c r="J29" s="24" t="str">
        <f t="array" ref="J29">IF($A29="","",IFERROR(_xlfn.XLOOKUP($A29,'Movimentação'!$B$7:$B$1006,'Movimentação'!$E$7:$E$1006,"",0,-1),""))</f>
        <v>ORIÇANGA</v>
      </c>
      <c r="K29" s="24" t="str">
        <f t="array" ref="K29">IF($A29="","",IFERROR(_xlfn.XLOOKUP($A29,'Movimentação'!$B$7:$B$1006,'Movimentação'!$G$7:$G$1006,"",0,-1),""))</f>
        <v>EICES</v>
      </c>
      <c r="L29" s="24" t="str">
        <f t="shared" si="1"/>
        <v>EM OBRA</v>
      </c>
      <c r="M29" s="17" t="s">
        <v>332</v>
      </c>
      <c r="N29" s="30">
        <f t="array" ref="N29">IF($A29="","",IFERROR(IF(OR($L29="BAIXADO",$L29="FURTADO"),0,INDEX(Listas!$J$2:$J$40,MATCH($B29,Listas!$I$2:$I$40,0))),""))</f>
        <v>200</v>
      </c>
      <c r="P29" s="31" t="str">
        <f t="array" ref="P29">IF($A29="","",IFERROR(_xlfn.XLOOKUP($A29,'Movimentação'!$B$7:$B$1006,'Movimentação'!$F$7:$F$1006,"",0,-1),""))</f>
        <v>ENTRADA (NOVA)</v>
      </c>
      <c r="Q29" s="31">
        <f>IF(COUNTIFS('Manutenção'!$B$7:$B$1006,$A29,'Manutenção'!$H$7:$H$1006,"EM CONSERTO")&gt;0,1,0)</f>
        <v>0</v>
      </c>
    </row>
    <row r="30" ht="15.0" hidden="1" customHeight="1">
      <c r="A30" s="15" t="s">
        <v>176</v>
      </c>
      <c r="B30" s="17" t="s">
        <v>79</v>
      </c>
      <c r="C30" s="17" t="s">
        <v>325</v>
      </c>
      <c r="D30" s="17" t="s">
        <v>40</v>
      </c>
      <c r="E30" s="17" t="s">
        <v>326</v>
      </c>
      <c r="F30" s="17" t="s">
        <v>340</v>
      </c>
      <c r="G30" s="18">
        <v>903.9</v>
      </c>
      <c r="H30" s="15" t="s">
        <v>47</v>
      </c>
      <c r="I30" s="15">
        <v>1051559.0</v>
      </c>
      <c r="J30" s="24" t="s">
        <v>163</v>
      </c>
      <c r="K30" s="24" t="str">
        <f t="array" ref="K30">IF($A30="","",IFERROR(_xlfn.XLOOKUP($A30,'Movimentação'!$B$7:$B$1006,'Movimentação'!$G$7:$G$1006,"",0,-1),""))</f>
        <v>EICES</v>
      </c>
      <c r="L30" s="24" t="str">
        <f t="shared" si="1"/>
        <v>BAIXADO</v>
      </c>
      <c r="M30" s="17"/>
      <c r="N30" s="30">
        <f t="array" ref="N30">IF($A30="","",IFERROR(IF(OR($L30="BAIXADO",$L30="FURTADO"),0,INDEX(Listas!$J$2:$J$40,MATCH($B30,Listas!$I$2:$I$40,0))),""))</f>
        <v>0</v>
      </c>
      <c r="P30" s="31" t="str">
        <f t="array" ref="P30">IF($A30="","",IFERROR(_xlfn.XLOOKUP($A30,'Movimentação'!$B$7:$B$1006,'Movimentação'!$F$7:$F$1006,"",0,-1),""))</f>
        <v>BAIXA</v>
      </c>
      <c r="Q30" s="31">
        <f>IF(COUNTIFS('Manutenção'!$B$7:$B$1006,$A30,'Manutenção'!$H$7:$H$1006,"EM CONSERTO")&gt;0,1,0)</f>
        <v>0</v>
      </c>
    </row>
    <row r="31" ht="15.0" hidden="1" customHeight="1">
      <c r="A31" s="15" t="s">
        <v>179</v>
      </c>
      <c r="B31" s="17" t="s">
        <v>79</v>
      </c>
      <c r="C31" s="17" t="s">
        <v>325</v>
      </c>
      <c r="D31" s="17" t="s">
        <v>40</v>
      </c>
      <c r="E31" s="17" t="s">
        <v>326</v>
      </c>
      <c r="F31" s="17" t="s">
        <v>353</v>
      </c>
      <c r="G31" s="18">
        <v>903.9</v>
      </c>
      <c r="H31" s="15" t="s">
        <v>47</v>
      </c>
      <c r="I31" s="15">
        <v>1051559.0</v>
      </c>
      <c r="J31" s="24" t="str">
        <f t="array" ref="J31">IF($A31="","",IFERROR(_xlfn.XLOOKUP($A31,'Movimentação'!$B$7:$B$1006,'Movimentação'!$E$7:$E$1006,"",0,-1),""))</f>
        <v>ASSISTENCIA TECNICA</v>
      </c>
      <c r="K31" s="24" t="str">
        <f t="array" ref="K31">IF($A31="","",IFERROR(_xlfn.XLOOKUP($A31,'Movimentação'!$B$7:$B$1006,'Movimentação'!$G$7:$G$1006,"",0,-1),""))</f>
        <v>EICES</v>
      </c>
      <c r="L31" s="24" t="str">
        <f t="shared" si="1"/>
        <v>BAIXADO</v>
      </c>
      <c r="M31" s="17"/>
      <c r="N31" s="30">
        <f t="array" ref="N31">IF($A31="","",IFERROR(IF(OR($L31="BAIXADO",$L31="FURTADO"),0,INDEX(Listas!$J$2:$J$40,MATCH($B31,Listas!$I$2:$I$40,0))),""))</f>
        <v>0</v>
      </c>
      <c r="P31" s="31" t="str">
        <f t="array" ref="P31">IF($A31="","",IFERROR(_xlfn.XLOOKUP($A31,'Movimentação'!$B$7:$B$1006,'Movimentação'!$F$7:$F$1006,"",0,-1),""))</f>
        <v>BAIXA</v>
      </c>
      <c r="Q31" s="31">
        <f>IF(COUNTIFS('Manutenção'!$B$7:$B$1006,$A31,'Manutenção'!$H$7:$H$1006,"EM CONSERTO")&gt;0,1,0)</f>
        <v>0</v>
      </c>
    </row>
    <row r="32" ht="15.0" hidden="1" customHeight="1">
      <c r="A32" s="15" t="s">
        <v>366</v>
      </c>
      <c r="B32" s="17" t="s">
        <v>79</v>
      </c>
      <c r="C32" s="17" t="s">
        <v>325</v>
      </c>
      <c r="D32" s="17"/>
      <c r="E32" s="17"/>
      <c r="F32" s="17">
        <v>6.093618E8</v>
      </c>
      <c r="G32" s="34">
        <v>903.9</v>
      </c>
      <c r="H32" s="15" t="s">
        <v>189</v>
      </c>
      <c r="I32" s="15"/>
      <c r="J32" s="24" t="str">
        <f t="array" ref="J32">IF($A32="","",IFERROR(_xlfn.XLOOKUP($A32,'Movimentação'!$B$7:$B$1006,'Movimentação'!$E$7:$E$1006,"",0,-1),""))</f>
        <v/>
      </c>
      <c r="K32" s="24" t="str">
        <f t="array" ref="K32">IF($A32="","",IFERROR(_xlfn.XLOOKUP($A32,'Movimentação'!$B$7:$B$1006,'Movimentação'!$G$7:$G$1006,"",0,-1),""))</f>
        <v/>
      </c>
      <c r="L32" s="24" t="str">
        <f t="shared" si="1"/>
        <v>PENDENTE-PROCURAR</v>
      </c>
      <c r="M32" s="17"/>
      <c r="N32" s="30">
        <f t="array" ref="N32">IF($A32="","",IFERROR(IF(OR($L32="BAIXADO",$L32="FURTADO"),0,INDEX(Listas!$J$2:$J$40,MATCH($B32,Listas!$I$2:$I$40,0))),""))</f>
        <v>200</v>
      </c>
      <c r="P32" s="31" t="str">
        <f t="array" ref="P32">IF($A32="","",IFERROR(_xlfn.XLOOKUP($A32,'Movimentação'!$B$7:$B$1006,'Movimentação'!$F$7:$F$1006,"",0,-1),""))</f>
        <v/>
      </c>
      <c r="Q32" s="31">
        <f>IF(COUNTIFS('Manutenção'!$B$7:$B$1006,$A32,'Manutenção'!$H$7:$H$1006,"EM CONSERTO")&gt;0,1,0)</f>
        <v>0</v>
      </c>
    </row>
    <row r="33" ht="15.0" hidden="1" customHeight="1">
      <c r="A33" s="15" t="s">
        <v>182</v>
      </c>
      <c r="B33" s="17" t="s">
        <v>79</v>
      </c>
      <c r="C33" s="17" t="s">
        <v>325</v>
      </c>
      <c r="D33" s="17" t="s">
        <v>379</v>
      </c>
      <c r="E33" s="17" t="s">
        <v>380</v>
      </c>
      <c r="F33" s="17">
        <v>2.02400041E8</v>
      </c>
      <c r="G33" s="34">
        <v>903.9</v>
      </c>
      <c r="H33" s="15" t="s">
        <v>189</v>
      </c>
      <c r="I33" s="15"/>
      <c r="J33" s="24" t="str">
        <f t="array" ref="J33">IF($A33="","",IFERROR(_xlfn.XLOOKUP($A33,'Movimentação'!$B$7:$B$1006,'Movimentação'!$E$7:$E$1006,"",0,-1),""))</f>
        <v>TANABI</v>
      </c>
      <c r="K33" s="24" t="str">
        <f t="array" ref="K33">IF($A33="","",IFERROR(_xlfn.XLOOKUP($A33,'Movimentação'!$B$7:$B$1006,'Movimentação'!$G$7:$G$1006,"",0,-1),""))</f>
        <v>EICES</v>
      </c>
      <c r="L33" s="24" t="str">
        <f t="shared" si="1"/>
        <v>EM OBRA</v>
      </c>
      <c r="M33" s="17"/>
      <c r="N33" s="30">
        <f t="array" ref="N33">IF($A33="","",IFERROR(IF(OR($L33="BAIXADO",$L33="FURTADO"),0,INDEX(Listas!$J$2:$J$40,MATCH($B33,Listas!$I$2:$I$40,0))),""))</f>
        <v>200</v>
      </c>
      <c r="P33" s="31" t="str">
        <f t="array" ref="P33">IF($A33="","",IFERROR(_xlfn.XLOOKUP($A33,'Movimentação'!$B$7:$B$1006,'Movimentação'!$F$7:$F$1006,"",0,-1),""))</f>
        <v>ENTRADA (NOVA)</v>
      </c>
      <c r="Q33" s="31">
        <f>IF(COUNTIFS('Manutenção'!$B$7:$B$1006,$A33,'Manutenção'!$H$7:$H$1006,"EM CONSERTO")&gt;0,1,0)</f>
        <v>0</v>
      </c>
    </row>
    <row r="34" ht="15.0" hidden="1" customHeight="1">
      <c r="A34" s="15" t="s">
        <v>138</v>
      </c>
      <c r="B34" s="17" t="s">
        <v>79</v>
      </c>
      <c r="C34" s="17" t="s">
        <v>325</v>
      </c>
      <c r="D34" s="17" t="s">
        <v>379</v>
      </c>
      <c r="E34" s="17" t="s">
        <v>380</v>
      </c>
      <c r="F34" s="17">
        <v>2.02400138E8</v>
      </c>
      <c r="G34" s="34">
        <v>903.9</v>
      </c>
      <c r="H34" s="15" t="s">
        <v>189</v>
      </c>
      <c r="I34" s="15"/>
      <c r="J34" s="24" t="str">
        <f t="array" ref="J34">IF($A34="","",IFERROR(_xlfn.XLOOKUP($A34,'Movimentação'!$B$7:$B$1006,'Movimentação'!$E$7:$E$1006,"",0,-1),""))</f>
        <v>SAMPA CONSOLAÇÃO</v>
      </c>
      <c r="K34" s="24" t="str">
        <f t="array" ref="K34">IF($A34="","",IFERROR(_xlfn.XLOOKUP($A34,'Movimentação'!$B$7:$B$1006,'Movimentação'!$G$7:$G$1006,"",0,-1),""))</f>
        <v>TIAGO</v>
      </c>
      <c r="L34" s="24" t="str">
        <f t="shared" si="1"/>
        <v>EM OBRA</v>
      </c>
      <c r="M34" s="17"/>
      <c r="N34" s="30">
        <f t="array" ref="N34">IF($A34="","",IFERROR(IF(OR($L34="BAIXADO",$L34="FURTADO"),0,INDEX(Listas!$J$2:$J$40,MATCH($B34,Listas!$I$2:$I$40,0))),""))</f>
        <v>200</v>
      </c>
      <c r="P34" s="31" t="str">
        <f t="array" ref="P34">IF($A34="","",IFERROR(_xlfn.XLOOKUP($A34,'Movimentação'!$B$7:$B$1006,'Movimentação'!$F$7:$F$1006,"",0,-1),""))</f>
        <v>RETORNO MANUTENÇÃO</v>
      </c>
      <c r="Q34" s="31">
        <f>IF(COUNTIFS('Manutenção'!$B$7:$B$1006,$A34,'Manutenção'!$H$7:$H$1006,"EM CONSERTO")&gt;0,1,0)</f>
        <v>0</v>
      </c>
    </row>
    <row r="35" ht="15.0" hidden="1" customHeight="1">
      <c r="A35" s="15" t="s">
        <v>185</v>
      </c>
      <c r="B35" s="17" t="s">
        <v>79</v>
      </c>
      <c r="C35" s="17" t="s">
        <v>325</v>
      </c>
      <c r="D35" s="17" t="s">
        <v>379</v>
      </c>
      <c r="E35" s="17" t="s">
        <v>380</v>
      </c>
      <c r="F35" s="17">
        <v>2.0240085E8</v>
      </c>
      <c r="G35" s="34">
        <v>903.9</v>
      </c>
      <c r="H35" s="15" t="s">
        <v>189</v>
      </c>
      <c r="I35" s="15"/>
      <c r="J35" s="24" t="str">
        <f t="array" ref="J35">IF($A35="","",IFERROR(_xlfn.XLOOKUP($A35,'Movimentação'!$B$7:$B$1006,'Movimentação'!$E$7:$E$1006,"",0,-1),""))</f>
        <v>ALPHA ONE</v>
      </c>
      <c r="K35" s="24" t="str">
        <f t="array" ref="K35">IF($A35="","",IFERROR(_xlfn.XLOOKUP($A35,'Movimentação'!$B$7:$B$1006,'Movimentação'!$G$7:$G$1006,"",0,-1),""))</f>
        <v>EICES</v>
      </c>
      <c r="L35" s="24" t="str">
        <f t="shared" si="1"/>
        <v>BAIXADO</v>
      </c>
      <c r="M35" s="17"/>
      <c r="N35" s="30">
        <f t="array" ref="N35">IF($A35="","",IFERROR(IF(OR($L35="BAIXADO",$L35="FURTADO"),0,INDEX(Listas!$J$2:$J$40,MATCH($B35,Listas!$I$2:$I$40,0))),""))</f>
        <v>0</v>
      </c>
      <c r="P35" s="31" t="str">
        <f t="array" ref="P35">IF($A35="","",IFERROR(_xlfn.XLOOKUP($A35,'Movimentação'!$B$7:$B$1006,'Movimentação'!$F$7:$F$1006,"",0,-1),""))</f>
        <v>BAIXA</v>
      </c>
      <c r="Q35" s="31">
        <f>IF(COUNTIFS('Manutenção'!$B$7:$B$1006,$A35,'Manutenção'!$H$7:$H$1006,"EM CONSERTO")&gt;0,1,0)</f>
        <v>0</v>
      </c>
    </row>
    <row r="36" ht="15.0" hidden="1" customHeight="1">
      <c r="A36" s="15" t="s">
        <v>186</v>
      </c>
      <c r="B36" s="17" t="s">
        <v>79</v>
      </c>
      <c r="C36" s="17" t="s">
        <v>325</v>
      </c>
      <c r="D36" s="17" t="s">
        <v>379</v>
      </c>
      <c r="E36" s="17" t="s">
        <v>380</v>
      </c>
      <c r="F36" s="17"/>
      <c r="G36" s="34">
        <v>903.9</v>
      </c>
      <c r="H36" s="15" t="s">
        <v>189</v>
      </c>
      <c r="I36" s="15"/>
      <c r="J36" s="24" t="str">
        <f t="array" ref="J36">IF($A36="","",IFERROR(_xlfn.XLOOKUP($A36,'Movimentação'!$B$7:$B$1006,'Movimentação'!$E$7:$E$1006,"",0,-1),""))</f>
        <v>MAURO</v>
      </c>
      <c r="K36" s="24" t="str">
        <f t="array" ref="K36">IF($A36="","",IFERROR(_xlfn.XLOOKUP($A36,'Movimentação'!$B$7:$B$1006,'Movimentação'!$G$7:$G$1006,"",0,-1),""))</f>
        <v>EICES</v>
      </c>
      <c r="L36" s="24" t="str">
        <f t="shared" si="1"/>
        <v>EM OBRA</v>
      </c>
      <c r="M36" s="17"/>
      <c r="N36" s="30">
        <f t="array" ref="N36">IF($A36="","",IFERROR(IF(OR($L36="BAIXADO",$L36="FURTADO"),0,INDEX(Listas!$J$2:$J$40,MATCH($B36,Listas!$I$2:$I$40,0))),""))</f>
        <v>200</v>
      </c>
      <c r="P36" s="31" t="str">
        <f t="array" ref="P36">IF($A36="","",IFERROR(_xlfn.XLOOKUP($A36,'Movimentação'!$B$7:$B$1006,'Movimentação'!$F$7:$F$1006,"",0,-1),""))</f>
        <v>ENTRADA (NOVA)</v>
      </c>
      <c r="Q36" s="31">
        <f>IF(COUNTIFS('Manutenção'!$B$7:$B$1006,$A36,'Manutenção'!$H$7:$H$1006,"EM CONSERTO")&gt;0,1,0)</f>
        <v>0</v>
      </c>
    </row>
    <row r="37" ht="15.0" hidden="1" customHeight="1">
      <c r="A37" s="15" t="s">
        <v>188</v>
      </c>
      <c r="B37" s="17" t="s">
        <v>79</v>
      </c>
      <c r="C37" s="17" t="s">
        <v>325</v>
      </c>
      <c r="D37" s="17" t="s">
        <v>379</v>
      </c>
      <c r="E37" s="17" t="s">
        <v>380</v>
      </c>
      <c r="F37" s="17">
        <v>2.02401394E8</v>
      </c>
      <c r="G37" s="34">
        <v>903.9</v>
      </c>
      <c r="H37" s="15" t="s">
        <v>189</v>
      </c>
      <c r="I37" s="15"/>
      <c r="J37" s="24" t="str">
        <f t="array" ref="J37">IF($A37="","",IFERROR(_xlfn.XLOOKUP($A37,'Movimentação'!$B$7:$B$1006,'Movimentação'!$E$7:$E$1006,"",0,-1),""))</f>
        <v>MANUTENÇÃO</v>
      </c>
      <c r="K37" s="24" t="str">
        <f t="array" ref="K37">IF($A37="","",IFERROR(_xlfn.XLOOKUP($A37,'Movimentação'!$B$7:$B$1006,'Movimentação'!$G$7:$G$1006,"",0,-1),""))</f>
        <v>LAÉRCIO</v>
      </c>
      <c r="L37" s="24" t="str">
        <f t="shared" si="1"/>
        <v>EM OBRA</v>
      </c>
      <c r="M37" s="17"/>
      <c r="N37" s="30">
        <f t="array" ref="N37">IF($A37="","",IFERROR(IF(OR($L37="BAIXADO",$L37="FURTADO"),0,INDEX(Listas!$J$2:$J$40,MATCH($B37,Listas!$I$2:$I$40,0))),""))</f>
        <v>200</v>
      </c>
      <c r="P37" s="31" t="str">
        <f t="array" ref="P37">IF($A37="","",IFERROR(_xlfn.XLOOKUP($A37,'Movimentação'!$B$7:$B$1006,'Movimentação'!$F$7:$F$1006,"",0,-1),""))</f>
        <v>ENVIO P/ MANUTENÇÃO</v>
      </c>
      <c r="Q37" s="31">
        <f>IF(COUNTIFS('Manutenção'!$B$7:$B$1006,$A37,'Manutenção'!$H$7:$H$1006,"EM CONSERTO")&gt;0,1,0)</f>
        <v>0</v>
      </c>
    </row>
    <row r="38" ht="15.0" hidden="1" customHeight="1">
      <c r="A38" s="15" t="s">
        <v>191</v>
      </c>
      <c r="B38" s="17" t="s">
        <v>79</v>
      </c>
      <c r="C38" s="17" t="s">
        <v>325</v>
      </c>
      <c r="D38" s="17" t="s">
        <v>379</v>
      </c>
      <c r="E38" s="17" t="s">
        <v>380</v>
      </c>
      <c r="F38" s="17">
        <v>2.02402289E8</v>
      </c>
      <c r="G38" s="34">
        <v>903.9</v>
      </c>
      <c r="H38" s="15" t="s">
        <v>189</v>
      </c>
      <c r="I38" s="15"/>
      <c r="J38" s="24" t="str">
        <f t="array" ref="J38">IF($A38="","",IFERROR(_xlfn.XLOOKUP($A38,'Movimentação'!$B$7:$B$1006,'Movimentação'!$E$7:$E$1006,"",0,-1),""))</f>
        <v>JOA</v>
      </c>
      <c r="K38" s="24" t="str">
        <f t="array" ref="K38">IF($A38="","",IFERROR(_xlfn.XLOOKUP($A38,'Movimentação'!$B$7:$B$1006,'Movimentação'!$G$7:$G$1006,"",0,-1),""))</f>
        <v>EICES</v>
      </c>
      <c r="L38" s="24" t="str">
        <f t="shared" si="1"/>
        <v>EM OBRA</v>
      </c>
      <c r="M38" s="17"/>
      <c r="N38" s="30">
        <f t="array" ref="N38">IF($A38="","",IFERROR(IF(OR($L38="BAIXADO",$L38="FURTADO"),0,INDEX(Listas!$J$2:$J$40,MATCH($B38,Listas!$I$2:$I$40,0))),""))</f>
        <v>200</v>
      </c>
      <c r="P38" s="31" t="str">
        <f t="array" ref="P38">IF($A38="","",IFERROR(_xlfn.XLOOKUP($A38,'Movimentação'!$B$7:$B$1006,'Movimentação'!$F$7:$F$1006,"",0,-1),""))</f>
        <v>ENTRADA (NOVA)</v>
      </c>
      <c r="Q38" s="31">
        <f>IF(COUNTIFS('Manutenção'!$B$7:$B$1006,$A38,'Manutenção'!$H$7:$H$1006,"EM CONSERTO")&gt;0,1,0)</f>
        <v>0</v>
      </c>
    </row>
    <row r="39" ht="15.0" hidden="1" customHeight="1">
      <c r="A39" s="15" t="s">
        <v>193</v>
      </c>
      <c r="B39" s="17" t="s">
        <v>79</v>
      </c>
      <c r="C39" s="17" t="s">
        <v>325</v>
      </c>
      <c r="D39" s="17" t="s">
        <v>379</v>
      </c>
      <c r="E39" s="17" t="s">
        <v>380</v>
      </c>
      <c r="F39" s="17">
        <v>2.02402281E8</v>
      </c>
      <c r="G39" s="34">
        <v>903.9</v>
      </c>
      <c r="H39" s="15" t="s">
        <v>189</v>
      </c>
      <c r="I39" s="15"/>
      <c r="J39" s="24" t="str">
        <f t="array" ref="J39">IF($A39="","",IFERROR(_xlfn.XLOOKUP($A39,'Movimentação'!$B$7:$B$1006,'Movimentação'!$E$7:$E$1006,"",0,-1),""))</f>
        <v>PJM</v>
      </c>
      <c r="K39" s="24" t="str">
        <f t="array" ref="K39">IF($A39="","",IFERROR(_xlfn.XLOOKUP($A39,'Movimentação'!$B$7:$B$1006,'Movimentação'!$G$7:$G$1006,"",0,-1),""))</f>
        <v>EICES</v>
      </c>
      <c r="L39" s="24" t="str">
        <f t="shared" si="1"/>
        <v>EM OBRA</v>
      </c>
      <c r="M39" s="17"/>
      <c r="N39" s="30">
        <f t="array" ref="N39">IF($A39="","",IFERROR(IF(OR($L39="BAIXADO",$L39="FURTADO"),0,INDEX(Listas!$J$2:$J$40,MATCH($B39,Listas!$I$2:$I$40,0))),""))</f>
        <v>200</v>
      </c>
      <c r="P39" s="31" t="str">
        <f t="array" ref="P39">IF($A39="","",IFERROR(_xlfn.XLOOKUP($A39,'Movimentação'!$B$7:$B$1006,'Movimentação'!$F$7:$F$1006,"",0,-1),""))</f>
        <v>ENTRADA (NOVA)</v>
      </c>
      <c r="Q39" s="31">
        <f>IF(COUNTIFS('Manutenção'!$B$7:$B$1006,$A39,'Manutenção'!$H$7:$H$1006,"EM CONSERTO")&gt;0,1,0)</f>
        <v>0</v>
      </c>
    </row>
    <row r="40" ht="15.0" hidden="1" customHeight="1">
      <c r="A40" s="15" t="s">
        <v>199</v>
      </c>
      <c r="B40" s="17" t="s">
        <v>79</v>
      </c>
      <c r="C40" s="17" t="s">
        <v>325</v>
      </c>
      <c r="D40" s="17" t="s">
        <v>379</v>
      </c>
      <c r="E40" s="17" t="s">
        <v>380</v>
      </c>
      <c r="F40" s="17">
        <v>2.02402285E8</v>
      </c>
      <c r="G40" s="34">
        <v>903.9</v>
      </c>
      <c r="H40" s="15" t="s">
        <v>189</v>
      </c>
      <c r="I40" s="15"/>
      <c r="J40" s="24" t="str">
        <f t="array" ref="J40">IF($A40="","",IFERROR(_xlfn.XLOOKUP($A40,'Movimentação'!$B$7:$B$1006,'Movimentação'!$E$7:$E$1006,"",0,-1),""))</f>
        <v>SAMPA CONSOLAÇÃO</v>
      </c>
      <c r="K40" s="24" t="str">
        <f t="array" ref="K40">IF($A40="","",IFERROR(_xlfn.XLOOKUP($A40,'Movimentação'!$B$7:$B$1006,'Movimentação'!$G$7:$G$1006,"",0,-1),""))</f>
        <v>EICES</v>
      </c>
      <c r="L40" s="24" t="str">
        <f t="shared" si="1"/>
        <v>EM OBRA</v>
      </c>
      <c r="M40" s="17"/>
      <c r="N40" s="30">
        <f t="array" ref="N40">IF($A40="","",IFERROR(IF(OR($L40="BAIXADO",$L40="FURTADO"),0,INDEX(Listas!$J$2:$J$40,MATCH($B40,Listas!$I$2:$I$40,0))),""))</f>
        <v>200</v>
      </c>
      <c r="P40" s="31" t="str">
        <f t="array" ref="P40">IF($A40="","",IFERROR(_xlfn.XLOOKUP($A40,'Movimentação'!$B$7:$B$1006,'Movimentação'!$F$7:$F$1006,"",0,-1),""))</f>
        <v>ENTRADA (NOVA)</v>
      </c>
      <c r="Q40" s="31">
        <f>IF(COUNTIFS('Manutenção'!$B$7:$B$1006,$A40,'Manutenção'!$H$7:$H$1006,"EM CONSERTO")&gt;0,1,0)</f>
        <v>0</v>
      </c>
    </row>
    <row r="41" ht="15.0" hidden="1" customHeight="1">
      <c r="A41" s="15" t="s">
        <v>443</v>
      </c>
      <c r="B41" s="17" t="s">
        <v>79</v>
      </c>
      <c r="C41" s="17" t="s">
        <v>325</v>
      </c>
      <c r="D41" s="17" t="s">
        <v>379</v>
      </c>
      <c r="E41" s="17" t="s">
        <v>380</v>
      </c>
      <c r="F41" s="17">
        <v>2.02402283E8</v>
      </c>
      <c r="G41" s="34">
        <v>903.9</v>
      </c>
      <c r="H41" s="15" t="s">
        <v>189</v>
      </c>
      <c r="I41" s="15"/>
      <c r="J41" s="24" t="str">
        <f t="array" ref="J41">IF($A41="","",IFERROR(_xlfn.XLOOKUP($A41,'Movimentação'!$B$7:$B$1006,'Movimentação'!$E$7:$E$1006,"",0,-1),""))</f>
        <v/>
      </c>
      <c r="K41" s="24" t="str">
        <f t="array" ref="K41">IF($A41="","",IFERROR(_xlfn.XLOOKUP($A41,'Movimentação'!$B$7:$B$1006,'Movimentação'!$G$7:$G$1006,"",0,-1),""))</f>
        <v/>
      </c>
      <c r="L41" s="24" t="str">
        <f t="shared" si="1"/>
        <v>PENDENTE-PROCURAR</v>
      </c>
      <c r="M41" s="17"/>
      <c r="N41" s="30">
        <f t="array" ref="N41">IF($A41="","",IFERROR(IF(OR($L41="BAIXADO",$L41="FURTADO"),0,INDEX(Listas!$J$2:$J$40,MATCH($B41,Listas!$I$2:$I$40,0))),""))</f>
        <v>200</v>
      </c>
      <c r="P41" s="31" t="str">
        <f t="array" ref="P41">IF($A41="","",IFERROR(_xlfn.XLOOKUP($A41,'Movimentação'!$B$7:$B$1006,'Movimentação'!$F$7:$F$1006,"",0,-1),""))</f>
        <v/>
      </c>
      <c r="Q41" s="31">
        <f>IF(COUNTIFS('Manutenção'!$B$7:$B$1006,$A41,'Manutenção'!$H$7:$H$1006,"EM CONSERTO")&gt;0,1,0)</f>
        <v>0</v>
      </c>
    </row>
    <row r="42" ht="15.0" hidden="1" customHeight="1">
      <c r="A42" s="15" t="s">
        <v>175</v>
      </c>
      <c r="B42" s="17" t="s">
        <v>79</v>
      </c>
      <c r="C42" s="17" t="s">
        <v>325</v>
      </c>
      <c r="D42" s="17" t="s">
        <v>379</v>
      </c>
      <c r="E42" s="17" t="s">
        <v>380</v>
      </c>
      <c r="F42" s="17">
        <v>2.02402282E8</v>
      </c>
      <c r="G42" s="34">
        <v>903.9</v>
      </c>
      <c r="H42" s="15" t="s">
        <v>189</v>
      </c>
      <c r="I42" s="15"/>
      <c r="J42" s="24" t="str">
        <f t="array" ref="J42">IF($A42="","",IFERROR(_xlfn.XLOOKUP($A42,'Movimentação'!$B$7:$B$1006,'Movimentação'!$E$7:$E$1006,"",0,-1),""))</f>
        <v>MANUTENÇÃO</v>
      </c>
      <c r="K42" s="24" t="str">
        <f t="array" ref="K42">IF($A42="","",IFERROR(_xlfn.XLOOKUP($A42,'Movimentação'!$B$7:$B$1006,'Movimentação'!$G$7:$G$1006,"",0,-1),""))</f>
        <v>LAÉRCIO</v>
      </c>
      <c r="L42" s="24" t="str">
        <f t="shared" si="1"/>
        <v>MANUTENÇÃO</v>
      </c>
      <c r="M42" s="17"/>
      <c r="N42" s="30">
        <f t="array" ref="N42">IF($A42="","",IFERROR(IF(OR($L42="BAIXADO",$L42="FURTADO"),0,INDEX(Listas!$J$2:$J$40,MATCH($B42,Listas!$I$2:$I$40,0))),""))</f>
        <v>200</v>
      </c>
      <c r="P42" s="31" t="str">
        <f t="array" ref="P42">IF($A42="","",IFERROR(_xlfn.XLOOKUP($A42,'Movimentação'!$B$7:$B$1006,'Movimentação'!$F$7:$F$1006,"",0,-1),""))</f>
        <v>ENVIO P/ MANUTENÇÃO</v>
      </c>
      <c r="Q42" s="31">
        <f>IF(COUNTIFS('Manutenção'!$B$7:$B$1006,$A42,'Manutenção'!$H$7:$H$1006,"EM CONSERTO")&gt;0,1,0)</f>
        <v>1</v>
      </c>
    </row>
    <row r="43" ht="15.0" hidden="1" customHeight="1">
      <c r="A43" s="15" t="s">
        <v>207</v>
      </c>
      <c r="B43" s="17" t="s">
        <v>82</v>
      </c>
      <c r="C43" s="17" t="s">
        <v>339</v>
      </c>
      <c r="D43" s="17" t="s">
        <v>40</v>
      </c>
      <c r="E43" s="17" t="s">
        <v>451</v>
      </c>
      <c r="F43" s="17" t="s">
        <v>452</v>
      </c>
      <c r="G43" s="18">
        <v>284.11</v>
      </c>
      <c r="H43" s="15" t="s">
        <v>47</v>
      </c>
      <c r="I43" s="15">
        <v>952463.0</v>
      </c>
      <c r="J43" s="24" t="str">
        <f t="array" ref="J43">IF($A43="","",IFERROR(_xlfn.XLOOKUP($A43,'Movimentação'!$B$7:$B$1006,'Movimentação'!$E$7:$E$1006,"",0,-1),""))</f>
        <v>ASSISTENCIA TECNICA</v>
      </c>
      <c r="K43" s="24" t="str">
        <f t="array" ref="K43">IF($A43="","",IFERROR(_xlfn.XLOOKUP($A43,'Movimentação'!$B$7:$B$1006,'Movimentação'!$G$7:$G$1006,"",0,-1),""))</f>
        <v>EICES</v>
      </c>
      <c r="L43" s="24" t="str">
        <f t="shared" si="1"/>
        <v>BAIXADO</v>
      </c>
      <c r="M43" s="17"/>
      <c r="N43" s="30">
        <f t="array" ref="N43">IF($A43="","",IFERROR(IF(OR($L43="BAIXADO",$L43="FURTADO"),0,INDEX(Listas!$J$2:$J$40,MATCH($B43,Listas!$I$2:$I$40,0))),""))</f>
        <v>0</v>
      </c>
      <c r="P43" s="31" t="str">
        <f t="array" ref="P43">IF($A43="","",IFERROR(_xlfn.XLOOKUP($A43,'Movimentação'!$B$7:$B$1006,'Movimentação'!$F$7:$F$1006,"",0,-1),""))</f>
        <v>BAIXA</v>
      </c>
      <c r="Q43" s="31">
        <f>IF(COUNTIFS('Manutenção'!$B$7:$B$1006,$A43,'Manutenção'!$H$7:$H$1006,"EM CONSERTO")&gt;0,1,0)</f>
        <v>0</v>
      </c>
    </row>
    <row r="44" ht="15.0" hidden="1" customHeight="1">
      <c r="A44" s="15" t="s">
        <v>211</v>
      </c>
      <c r="B44" s="17" t="s">
        <v>82</v>
      </c>
      <c r="C44" s="17" t="s">
        <v>339</v>
      </c>
      <c r="D44" s="17" t="s">
        <v>40</v>
      </c>
      <c r="E44" s="17" t="s">
        <v>451</v>
      </c>
      <c r="F44" s="17" t="s">
        <v>454</v>
      </c>
      <c r="G44" s="18">
        <v>284.11</v>
      </c>
      <c r="H44" s="15" t="s">
        <v>47</v>
      </c>
      <c r="I44" s="15">
        <v>952464.0</v>
      </c>
      <c r="J44" s="24" t="str">
        <f t="array" ref="J44">IF($A44="","",IFERROR(_xlfn.XLOOKUP($A44,'Movimentação'!$B$7:$B$1006,'Movimentação'!$E$7:$E$1006,"",0,-1),""))</f>
        <v>MAURO</v>
      </c>
      <c r="K44" s="24" t="str">
        <f t="array" ref="K44">IF($A44="","",IFERROR(_xlfn.XLOOKUP($A44,'Movimentação'!$B$7:$B$1006,'Movimentação'!$G$7:$G$1006,"",0,-1),""))</f>
        <v>EICES</v>
      </c>
      <c r="L44" s="24" t="str">
        <f t="shared" si="1"/>
        <v>EM OBRA</v>
      </c>
      <c r="M44" s="17"/>
      <c r="N44" s="30">
        <f t="array" ref="N44">IF($A44="","",IFERROR(IF(OR($L44="BAIXADO",$L44="FURTADO"),0,INDEX(Listas!$J$2:$J$40,MATCH($B44,Listas!$I$2:$I$40,0))),""))</f>
        <v>200</v>
      </c>
      <c r="P44" s="31" t="str">
        <f t="array" ref="P44">IF($A44="","",IFERROR(_xlfn.XLOOKUP($A44,'Movimentação'!$B$7:$B$1006,'Movimentação'!$F$7:$F$1006,"",0,-1),""))</f>
        <v>ENTRADA (NOVA)</v>
      </c>
      <c r="Q44" s="31">
        <f>IF(COUNTIFS('Manutenção'!$B$7:$B$1006,$A44,'Manutenção'!$H$7:$H$1006,"EM CONSERTO")&gt;0,1,0)</f>
        <v>0</v>
      </c>
    </row>
    <row r="45" ht="15.0" hidden="1" customHeight="1">
      <c r="A45" s="15" t="s">
        <v>214</v>
      </c>
      <c r="B45" s="17" t="s">
        <v>82</v>
      </c>
      <c r="C45" s="17" t="s">
        <v>339</v>
      </c>
      <c r="D45" s="17" t="s">
        <v>40</v>
      </c>
      <c r="E45" s="17" t="s">
        <v>451</v>
      </c>
      <c r="F45" s="17" t="s">
        <v>456</v>
      </c>
      <c r="G45" s="18">
        <v>284.11</v>
      </c>
      <c r="H45" s="15" t="s">
        <v>47</v>
      </c>
      <c r="I45" s="15">
        <v>952465.0</v>
      </c>
      <c r="J45" s="24" t="str">
        <f t="array" ref="J45">IF($A45="","",IFERROR(_xlfn.XLOOKUP($A45,'Movimentação'!$B$7:$B$1006,'Movimentação'!$E$7:$E$1006,"",0,-1),""))</f>
        <v>ASSISTENCIA TECNICA</v>
      </c>
      <c r="K45" s="24" t="str">
        <f t="array" ref="K45">IF($A45="","",IFERROR(_xlfn.XLOOKUP($A45,'Movimentação'!$B$7:$B$1006,'Movimentação'!$G$7:$G$1006,"",0,-1),""))</f>
        <v>GABRIEL</v>
      </c>
      <c r="L45" s="24" t="str">
        <f t="shared" si="1"/>
        <v>BAIXADO</v>
      </c>
      <c r="M45" s="48"/>
      <c r="N45" s="30">
        <f t="array" ref="N45">IF($A45="","",IFERROR(IF(OR($L45="BAIXADO",$L45="FURTADO"),0,INDEX(Listas!$J$2:$J$40,MATCH($B45,Listas!$I$2:$I$40,0))),""))</f>
        <v>0</v>
      </c>
      <c r="P45" s="31" t="str">
        <f t="array" ref="P45">IF($A45="","",IFERROR(_xlfn.XLOOKUP($A45,'Movimentação'!$B$7:$B$1006,'Movimentação'!$F$7:$F$1006,"",0,-1),""))</f>
        <v>BAIXA</v>
      </c>
      <c r="Q45" s="31">
        <f>IF(COUNTIFS('Manutenção'!$B$7:$B$1006,$A45,'Manutenção'!$H$7:$H$1006,"EM CONSERTO")&gt;0,1,0)</f>
        <v>0</v>
      </c>
    </row>
    <row r="46" ht="15.0" hidden="1" customHeight="1">
      <c r="A46" s="15" t="s">
        <v>216</v>
      </c>
      <c r="B46" s="17" t="s">
        <v>82</v>
      </c>
      <c r="C46" s="17" t="s">
        <v>339</v>
      </c>
      <c r="D46" s="17" t="s">
        <v>40</v>
      </c>
      <c r="E46" s="17" t="s">
        <v>451</v>
      </c>
      <c r="F46" s="17" t="s">
        <v>458</v>
      </c>
      <c r="G46" s="18">
        <v>284.11</v>
      </c>
      <c r="H46" s="15" t="s">
        <v>47</v>
      </c>
      <c r="I46" s="15">
        <v>952466.0</v>
      </c>
      <c r="J46" s="24" t="str">
        <f t="array" ref="J46">IF($A46="","",IFERROR(_xlfn.XLOOKUP($A46,'Movimentação'!$B$7:$B$1006,'Movimentação'!$E$7:$E$1006,"",0,-1),""))</f>
        <v>ARENGA (TRISUL)</v>
      </c>
      <c r="K46" s="24" t="str">
        <f t="array" ref="K46">IF($A46="","",IFERROR(_xlfn.XLOOKUP($A46,'Movimentação'!$B$7:$B$1006,'Movimentação'!$G$7:$G$1006,"",0,-1),""))</f>
        <v>EICES</v>
      </c>
      <c r="L46" s="24" t="str">
        <f t="shared" si="1"/>
        <v>EM OBRA</v>
      </c>
      <c r="M46" s="17"/>
      <c r="N46" s="30">
        <f t="array" ref="N46">IF($A46="","",IFERROR(IF(OR($L46="BAIXADO",$L46="FURTADO"),0,INDEX(Listas!$J$2:$J$40,MATCH($B46,Listas!$I$2:$I$40,0))),""))</f>
        <v>200</v>
      </c>
      <c r="P46" s="31" t="str">
        <f t="array" ref="P46">IF($A46="","",IFERROR(_xlfn.XLOOKUP($A46,'Movimentação'!$B$7:$B$1006,'Movimentação'!$F$7:$F$1006,"",0,-1),""))</f>
        <v>ENTRADA (NOVA)</v>
      </c>
      <c r="Q46" s="31">
        <f>IF(COUNTIFS('Manutenção'!$B$7:$B$1006,$A46,'Manutenção'!$H$7:$H$1006,"EM CONSERTO")&gt;0,1,0)</f>
        <v>0</v>
      </c>
    </row>
    <row r="47" ht="15.0" hidden="1" customHeight="1">
      <c r="A47" s="15" t="s">
        <v>461</v>
      </c>
      <c r="B47" s="17" t="s">
        <v>82</v>
      </c>
      <c r="C47" s="17" t="s">
        <v>339</v>
      </c>
      <c r="D47" s="17" t="s">
        <v>40</v>
      </c>
      <c r="E47" s="17" t="s">
        <v>451</v>
      </c>
      <c r="F47" s="17" t="s">
        <v>462</v>
      </c>
      <c r="G47" s="18">
        <v>284.11</v>
      </c>
      <c r="H47" s="15" t="s">
        <v>47</v>
      </c>
      <c r="I47" s="15">
        <v>952467.0</v>
      </c>
      <c r="J47" s="24" t="str">
        <f t="array" ref="J47">IF($A47="","",IFERROR(_xlfn.XLOOKUP($A47,'Movimentação'!$B$7:$B$1006,'Movimentação'!$E$7:$E$1006,"",0,-1),""))</f>
        <v/>
      </c>
      <c r="K47" s="24" t="str">
        <f t="array" ref="K47">IF($A47="","",IFERROR(_xlfn.XLOOKUP($A47,'Movimentação'!$B$7:$B$1006,'Movimentação'!$G$7:$G$1006,"",0,-1),""))</f>
        <v/>
      </c>
      <c r="L47" s="24" t="str">
        <f t="shared" si="1"/>
        <v>PENDENTE-PROCURAR</v>
      </c>
      <c r="M47" s="17"/>
      <c r="N47" s="30">
        <f t="array" ref="N47">IF($A47="","",IFERROR(IF(OR($L47="BAIXADO",$L47="FURTADO"),0,INDEX(Listas!$J$2:$J$40,MATCH($B47,Listas!$I$2:$I$40,0))),""))</f>
        <v>200</v>
      </c>
      <c r="P47" s="31" t="str">
        <f t="array" ref="P47">IF($A47="","",IFERROR(_xlfn.XLOOKUP($A47,'Movimentação'!$B$7:$B$1006,'Movimentação'!$F$7:$F$1006,"",0,-1),""))</f>
        <v/>
      </c>
      <c r="Q47" s="31">
        <f>IF(COUNTIFS('Manutenção'!$B$7:$B$1006,$A47,'Manutenção'!$H$7:$H$1006,"EM CONSERTO")&gt;0,1,0)</f>
        <v>0</v>
      </c>
    </row>
    <row r="48" ht="15.0" hidden="1" customHeight="1">
      <c r="A48" s="15" t="s">
        <v>464</v>
      </c>
      <c r="B48" s="17" t="s">
        <v>82</v>
      </c>
      <c r="C48" s="17" t="s">
        <v>339</v>
      </c>
      <c r="D48" s="17" t="s">
        <v>40</v>
      </c>
      <c r="E48" s="17"/>
      <c r="F48" s="17" t="s">
        <v>465</v>
      </c>
      <c r="G48" s="18">
        <v>300.0</v>
      </c>
      <c r="H48" s="15" t="s">
        <v>47</v>
      </c>
      <c r="I48" s="15">
        <v>1275.0</v>
      </c>
      <c r="J48" s="24" t="str">
        <f t="array" ref="J48">IF($A48="","",IFERROR(_xlfn.XLOOKUP($A48,'Movimentação'!$B$7:$B$1006,'Movimentação'!$E$7:$E$1006,"",0,-1),""))</f>
        <v/>
      </c>
      <c r="K48" s="24" t="str">
        <f t="array" ref="K48">IF($A48="","",IFERROR(_xlfn.XLOOKUP($A48,'Movimentação'!$B$7:$B$1006,'Movimentação'!$G$7:$G$1006,"",0,-1),""))</f>
        <v/>
      </c>
      <c r="L48" s="24" t="str">
        <f t="shared" si="1"/>
        <v>PENDENTE-PROCURAR</v>
      </c>
      <c r="M48" s="17"/>
      <c r="N48" s="30">
        <f t="array" ref="N48">IF($A48="","",IFERROR(IF(OR($L48="BAIXADO",$L48="FURTADO"),0,INDEX(Listas!$J$2:$J$40,MATCH($B48,Listas!$I$2:$I$40,0))),""))</f>
        <v>200</v>
      </c>
      <c r="P48" s="31" t="str">
        <f t="array" ref="P48">IF($A48="","",IFERROR(_xlfn.XLOOKUP($A48,'Movimentação'!$B$7:$B$1006,'Movimentação'!$F$7:$F$1006,"",0,-1),""))</f>
        <v/>
      </c>
      <c r="Q48" s="31">
        <f>IF(COUNTIFS('Manutenção'!$B$7:$B$1006,$A48,'Manutenção'!$H$7:$H$1006,"EM CONSERTO")&gt;0,1,0)</f>
        <v>0</v>
      </c>
    </row>
    <row r="49" ht="15.0" hidden="1" customHeight="1">
      <c r="A49" s="15" t="s">
        <v>220</v>
      </c>
      <c r="B49" s="17" t="s">
        <v>82</v>
      </c>
      <c r="C49" s="17" t="s">
        <v>339</v>
      </c>
      <c r="D49" s="17" t="s">
        <v>40</v>
      </c>
      <c r="E49" s="17"/>
      <c r="F49" s="17" t="s">
        <v>466</v>
      </c>
      <c r="G49" s="18">
        <v>380.0</v>
      </c>
      <c r="H49" s="15" t="s">
        <v>47</v>
      </c>
      <c r="I49" s="15">
        <v>1276.0</v>
      </c>
      <c r="J49" s="24" t="str">
        <f t="array" ref="J49">IF($A49="","",IFERROR(_xlfn.XLOOKUP($A49,'Movimentação'!$B$7:$B$1006,'Movimentação'!$E$7:$E$1006,"",0,-1),""))</f>
        <v>ANGELICA</v>
      </c>
      <c r="K49" s="24" t="s">
        <v>301</v>
      </c>
      <c r="L49" s="24" t="str">
        <f t="shared" si="1"/>
        <v>EM OBRA</v>
      </c>
      <c r="M49" s="17"/>
      <c r="N49" s="30">
        <f t="array" ref="N49">IF($A49="","",IFERROR(IF(OR($L49="BAIXADO",$L49="FURTADO"),0,INDEX(Listas!$J$2:$J$40,MATCH($B49,Listas!$I$2:$I$40,0))),""))</f>
        <v>200</v>
      </c>
      <c r="P49" s="31" t="str">
        <f t="array" ref="P49">IF($A49="","",IFERROR(_xlfn.XLOOKUP($A49,'Movimentação'!$B$7:$B$1006,'Movimentação'!$F$7:$F$1006,"",0,-1),""))</f>
        <v>ENTRADA (NOVA)</v>
      </c>
      <c r="Q49" s="31">
        <f>IF(COUNTIFS('Manutenção'!$B$7:$B$1006,$A49,'Manutenção'!$H$7:$H$1006,"EM CONSERTO")&gt;0,1,0)</f>
        <v>0</v>
      </c>
    </row>
    <row r="50" ht="15.0" hidden="1" customHeight="1">
      <c r="A50" s="15" t="s">
        <v>467</v>
      </c>
      <c r="B50" s="17" t="s">
        <v>82</v>
      </c>
      <c r="C50" s="17" t="s">
        <v>339</v>
      </c>
      <c r="D50" s="17" t="s">
        <v>469</v>
      </c>
      <c r="E50" s="17" t="s">
        <v>470</v>
      </c>
      <c r="F50" s="17" t="s">
        <v>471</v>
      </c>
      <c r="G50" s="18">
        <v>354.44</v>
      </c>
      <c r="H50" s="15" t="s">
        <v>47</v>
      </c>
      <c r="I50" s="15">
        <v>50816.0</v>
      </c>
      <c r="J50" s="24" t="str">
        <f t="array" ref="J50">IF($A50="","",IFERROR(_xlfn.XLOOKUP($A50,'Movimentação'!$B$7:$B$1006,'Movimentação'!$E$7:$E$1006,"",0,-1),""))</f>
        <v/>
      </c>
      <c r="K50" s="24" t="str">
        <f t="array" ref="K50">IF($A50="","",IFERROR(_xlfn.XLOOKUP($A50,'Movimentação'!$B$7:$B$1006,'Movimentação'!$G$7:$G$1006,"",0,-1),""))</f>
        <v/>
      </c>
      <c r="L50" s="24" t="str">
        <f t="shared" si="1"/>
        <v>PENDENTE-PROCURAR</v>
      </c>
      <c r="M50" s="17"/>
      <c r="N50" s="30">
        <f t="array" ref="N50">IF($A50="","",IFERROR(IF(OR($L50="BAIXADO",$L50="FURTADO"),0,INDEX(Listas!$J$2:$J$40,MATCH($B50,Listas!$I$2:$I$40,0))),""))</f>
        <v>200</v>
      </c>
      <c r="P50" s="31" t="str">
        <f t="array" ref="P50">IF($A50="","",IFERROR(_xlfn.XLOOKUP($A50,'Movimentação'!$B$7:$B$1006,'Movimentação'!$F$7:$F$1006,"",0,-1),""))</f>
        <v/>
      </c>
      <c r="Q50" s="31">
        <f>IF(COUNTIFS('Manutenção'!$B$7:$B$1006,$A50,'Manutenção'!$H$7:$H$1006,"EM CONSERTO")&gt;0,1,0)</f>
        <v>0</v>
      </c>
    </row>
    <row r="51" ht="15.0" hidden="1" customHeight="1">
      <c r="A51" s="15" t="s">
        <v>474</v>
      </c>
      <c r="B51" s="17" t="s">
        <v>82</v>
      </c>
      <c r="C51" s="17" t="s">
        <v>339</v>
      </c>
      <c r="D51" s="17" t="s">
        <v>40</v>
      </c>
      <c r="E51" s="17" t="s">
        <v>475</v>
      </c>
      <c r="F51" s="17" t="s">
        <v>475</v>
      </c>
      <c r="G51" s="18">
        <v>300.0</v>
      </c>
      <c r="H51" s="15" t="s">
        <v>47</v>
      </c>
      <c r="I51" s="15"/>
      <c r="J51" s="24" t="str">
        <f t="array" ref="J51">IF($A51="","",IFERROR(_xlfn.XLOOKUP($A51,'Movimentação'!$B$7:$B$1006,'Movimentação'!$E$7:$E$1006,"",0,-1),""))</f>
        <v/>
      </c>
      <c r="K51" s="24" t="str">
        <f t="array" ref="K51">IF($A51="","",IFERROR(_xlfn.XLOOKUP($A51,'Movimentação'!$B$7:$B$1006,'Movimentação'!$G$7:$G$1006,"",0,-1),""))</f>
        <v/>
      </c>
      <c r="L51" s="24" t="str">
        <f t="shared" si="1"/>
        <v>PENDENTE-PROCURAR</v>
      </c>
      <c r="M51" s="17"/>
      <c r="N51" s="30">
        <f t="array" ref="N51">IF($A51="","",IFERROR(IF(OR($L51="BAIXADO",$L51="FURTADO"),0,INDEX(Listas!$J$2:$J$40,MATCH($B51,Listas!$I$2:$I$40,0))),""))</f>
        <v>200</v>
      </c>
      <c r="P51" s="31" t="str">
        <f t="array" ref="P51">IF($A51="","",IFERROR(_xlfn.XLOOKUP($A51,'Movimentação'!$B$7:$B$1006,'Movimentação'!$F$7:$F$1006,"",0,-1),""))</f>
        <v/>
      </c>
      <c r="Q51" s="31">
        <f>IF(COUNTIFS('Manutenção'!$B$7:$B$1006,$A51,'Manutenção'!$H$7:$H$1006,"EM CONSERTO")&gt;0,1,0)</f>
        <v>0</v>
      </c>
    </row>
    <row r="52" ht="15.0" hidden="1" customHeight="1">
      <c r="A52" s="15" t="s">
        <v>223</v>
      </c>
      <c r="B52" s="17" t="s">
        <v>85</v>
      </c>
      <c r="C52" s="17" t="s">
        <v>477</v>
      </c>
      <c r="D52" s="17" t="s">
        <v>40</v>
      </c>
      <c r="E52" s="17" t="s">
        <v>478</v>
      </c>
      <c r="F52" s="17" t="s">
        <v>479</v>
      </c>
      <c r="G52" s="18">
        <v>319.85</v>
      </c>
      <c r="H52" s="15" t="s">
        <v>47</v>
      </c>
      <c r="I52" s="15">
        <v>941194.0</v>
      </c>
      <c r="J52" s="24" t="str">
        <f t="array" ref="J52">IF($A52="","",IFERROR(_xlfn.XLOOKUP($A52,'Movimentação'!$B$7:$B$1006,'Movimentação'!$E$7:$E$1006,"",0,-1),""))</f>
        <v>ASSISTENCIA TECNICA</v>
      </c>
      <c r="K52" s="24" t="str">
        <f t="array" ref="K52">IF($A52="","",IFERROR(_xlfn.XLOOKUP($A52,'Movimentação'!$B$7:$B$1006,'Movimentação'!$G$7:$G$1006,"",0,-1),""))</f>
        <v>EICES</v>
      </c>
      <c r="L52" s="24" t="str">
        <f t="shared" si="1"/>
        <v>BAIXADO</v>
      </c>
      <c r="M52" s="17"/>
      <c r="N52" s="30">
        <f t="array" ref="N52">IF($A52="","",IFERROR(IF(OR($L52="BAIXADO",$L52="FURTADO"),0,INDEX(Listas!$J$2:$J$40,MATCH($B52,Listas!$I$2:$I$40,0))),""))</f>
        <v>0</v>
      </c>
      <c r="P52" s="31" t="str">
        <f t="array" ref="P52">IF($A52="","",IFERROR(_xlfn.XLOOKUP($A52,'Movimentação'!$B$7:$B$1006,'Movimentação'!$F$7:$F$1006,"",0,-1),""))</f>
        <v>BAIXA</v>
      </c>
      <c r="Q52" s="31">
        <f>IF(COUNTIFS('Manutenção'!$B$7:$B$1006,$A52,'Manutenção'!$H$7:$H$1006,"EM CONSERTO")&gt;0,1,0)</f>
        <v>0</v>
      </c>
    </row>
    <row r="53" ht="15.0" hidden="1" customHeight="1">
      <c r="A53" s="15" t="s">
        <v>225</v>
      </c>
      <c r="B53" s="17" t="s">
        <v>85</v>
      </c>
      <c r="C53" s="17" t="s">
        <v>477</v>
      </c>
      <c r="D53" s="17" t="s">
        <v>40</v>
      </c>
      <c r="E53" s="17" t="s">
        <v>478</v>
      </c>
      <c r="F53" s="17" t="s">
        <v>483</v>
      </c>
      <c r="G53" s="18">
        <v>319.85</v>
      </c>
      <c r="H53" s="15" t="s">
        <v>47</v>
      </c>
      <c r="I53" s="15">
        <v>941194.0</v>
      </c>
      <c r="J53" s="24" t="s">
        <v>163</v>
      </c>
      <c r="K53" s="24" t="str">
        <f t="array" ref="K53">IF($A53="","",IFERROR(_xlfn.XLOOKUP($A53,'Movimentação'!$B$7:$B$1006,'Movimentação'!$G$7:$G$1006,"",0,-1),""))</f>
        <v>EICES</v>
      </c>
      <c r="L53" s="24" t="str">
        <f t="shared" si="1"/>
        <v>BAIXADO</v>
      </c>
      <c r="M53" s="17"/>
      <c r="N53" s="30">
        <f t="array" ref="N53">IF($A53="","",IFERROR(IF(OR($L53="BAIXADO",$L53="FURTADO"),0,INDEX(Listas!$J$2:$J$40,MATCH($B53,Listas!$I$2:$I$40,0))),""))</f>
        <v>0</v>
      </c>
      <c r="P53" s="31" t="str">
        <f t="array" ref="P53">IF($A53="","",IFERROR(_xlfn.XLOOKUP($A53,'Movimentação'!$B$7:$B$1006,'Movimentação'!$F$7:$F$1006,"",0,-1),""))</f>
        <v>BAIXA</v>
      </c>
      <c r="Q53" s="31">
        <f>IF(COUNTIFS('Manutenção'!$B$7:$B$1006,$A53,'Manutenção'!$H$7:$H$1006,"EM CONSERTO")&gt;0,1,0)</f>
        <v>0</v>
      </c>
    </row>
    <row r="54" ht="15.0" hidden="1" customHeight="1">
      <c r="A54" s="15" t="s">
        <v>227</v>
      </c>
      <c r="B54" s="17" t="s">
        <v>85</v>
      </c>
      <c r="C54" s="17" t="s">
        <v>477</v>
      </c>
      <c r="D54" s="17" t="s">
        <v>40</v>
      </c>
      <c r="E54" s="17" t="s">
        <v>478</v>
      </c>
      <c r="F54" s="17" t="s">
        <v>485</v>
      </c>
      <c r="G54" s="18">
        <v>319.85</v>
      </c>
      <c r="H54" s="15" t="s">
        <v>47</v>
      </c>
      <c r="I54" s="15">
        <v>941194.0</v>
      </c>
      <c r="J54" s="24" t="s">
        <v>163</v>
      </c>
      <c r="K54" s="24" t="str">
        <f t="array" ref="K54">IF($A54="","",IFERROR(_xlfn.XLOOKUP($A54,'Movimentação'!$B$7:$B$1006,'Movimentação'!$G$7:$G$1006,"",0,-1),""))</f>
        <v>EICES</v>
      </c>
      <c r="L54" s="24" t="str">
        <f t="shared" si="1"/>
        <v>BAIXADO</v>
      </c>
      <c r="M54" s="17"/>
      <c r="N54" s="30">
        <f t="array" ref="N54">IF($A54="","",IFERROR(IF(OR($L54="BAIXADO",$L54="FURTADO"),0,INDEX(Listas!$J$2:$J$40,MATCH($B54,Listas!$I$2:$I$40,0))),""))</f>
        <v>0</v>
      </c>
      <c r="P54" s="31" t="str">
        <f t="array" ref="P54">IF($A54="","",IFERROR(_xlfn.XLOOKUP($A54,'Movimentação'!$B$7:$B$1006,'Movimentação'!$F$7:$F$1006,"",0,-1),""))</f>
        <v>BAIXA</v>
      </c>
      <c r="Q54" s="31">
        <f>IF(COUNTIFS('Manutenção'!$B$7:$B$1006,$A54,'Manutenção'!$H$7:$H$1006,"EM CONSERTO")&gt;0,1,0)</f>
        <v>0</v>
      </c>
    </row>
    <row r="55" ht="15.0" hidden="1" customHeight="1">
      <c r="A55" s="15" t="s">
        <v>228</v>
      </c>
      <c r="B55" s="17" t="s">
        <v>85</v>
      </c>
      <c r="C55" s="17" t="s">
        <v>477</v>
      </c>
      <c r="D55" s="17" t="s">
        <v>40</v>
      </c>
      <c r="E55" s="17" t="s">
        <v>478</v>
      </c>
      <c r="F55" s="17" t="s">
        <v>486</v>
      </c>
      <c r="G55" s="18">
        <v>319.85</v>
      </c>
      <c r="H55" s="15" t="s">
        <v>47</v>
      </c>
      <c r="I55" s="15">
        <v>941194.0</v>
      </c>
      <c r="J55" s="24" t="str">
        <f t="array" ref="J55">IF($A55="","",IFERROR(_xlfn.XLOOKUP($A55,'Movimentação'!$B$7:$B$1006,'Movimentação'!$E$7:$E$1006,"",0,-1),""))</f>
        <v>ORIÇANGA</v>
      </c>
      <c r="K55" s="24" t="str">
        <f t="array" ref="K55">IF($A55="","",IFERROR(_xlfn.XLOOKUP($A55,'Movimentação'!$B$7:$B$1006,'Movimentação'!$G$7:$G$1006,"",0,-1),""))</f>
        <v>LEONARDO</v>
      </c>
      <c r="L55" s="24" t="str">
        <f t="shared" si="1"/>
        <v>EM OBRA</v>
      </c>
      <c r="M55" s="17"/>
      <c r="N55" s="30">
        <f t="array" ref="N55">IF($A55="","",IFERROR(IF(OR($L55="BAIXADO",$L55="FURTADO"),0,INDEX(Listas!$J$2:$J$40,MATCH($B55,Listas!$I$2:$I$40,0))),""))</f>
        <v>300</v>
      </c>
      <c r="P55" s="31" t="str">
        <f t="array" ref="P55">IF($A55="","",IFERROR(_xlfn.XLOOKUP($A55,'Movimentação'!$B$7:$B$1006,'Movimentação'!$F$7:$F$1006,"",0,-1),""))</f>
        <v>TRANSFERÊNCIA</v>
      </c>
      <c r="Q55" s="31">
        <f>IF(COUNTIFS('Manutenção'!$B$7:$B$1006,$A55,'Manutenção'!$H$7:$H$1006,"EM CONSERTO")&gt;0,1,0)</f>
        <v>0</v>
      </c>
    </row>
    <row r="56" ht="15.0" hidden="1" customHeight="1">
      <c r="A56" s="15" t="s">
        <v>231</v>
      </c>
      <c r="B56" s="17" t="s">
        <v>85</v>
      </c>
      <c r="C56" s="17" t="s">
        <v>477</v>
      </c>
      <c r="D56" s="17" t="s">
        <v>40</v>
      </c>
      <c r="E56" s="17" t="s">
        <v>478</v>
      </c>
      <c r="F56" s="17" t="s">
        <v>487</v>
      </c>
      <c r="G56" s="18">
        <v>319.85</v>
      </c>
      <c r="H56" s="15" t="s">
        <v>47</v>
      </c>
      <c r="I56" s="15">
        <v>941194.0</v>
      </c>
      <c r="J56" s="24"/>
      <c r="K56" s="24" t="str">
        <f t="array" ref="K56">IF($A56="","",IFERROR(_xlfn.XLOOKUP($A56,'Movimentação'!$B$7:$B$1006,'Movimentação'!$G$7:$G$1006,"",0,-1),""))</f>
        <v>EICES</v>
      </c>
      <c r="L56" s="24" t="s">
        <v>489</v>
      </c>
      <c r="M56" s="17"/>
      <c r="N56" s="30">
        <f t="array" ref="N56">IF($A56="","",IFERROR(IF(OR($L56="BAIXADO",$L56="FURTADO"),0,INDEX(Listas!$J$2:$J$40,MATCH($B56,Listas!$I$2:$I$40,0))),""))</f>
        <v>300</v>
      </c>
      <c r="P56" s="31" t="str">
        <f t="array" ref="P56">IF($A56="","",IFERROR(_xlfn.XLOOKUP($A56,'Movimentação'!$B$7:$B$1006,'Movimentação'!$F$7:$F$1006,"",0,-1),""))</f>
        <v>ENTRADA (NOVA)</v>
      </c>
      <c r="Q56" s="31">
        <f>IF(COUNTIFS('Manutenção'!$B$7:$B$1006,$A56,'Manutenção'!$H$7:$H$1006,"EM CONSERTO")&gt;0,1,0)</f>
        <v>0</v>
      </c>
    </row>
    <row r="57" ht="15.0" hidden="1" customHeight="1">
      <c r="A57" s="15" t="s">
        <v>232</v>
      </c>
      <c r="B57" s="17" t="s">
        <v>85</v>
      </c>
      <c r="C57" s="17" t="s">
        <v>477</v>
      </c>
      <c r="D57" s="17" t="s">
        <v>469</v>
      </c>
      <c r="E57" s="17" t="s">
        <v>494</v>
      </c>
      <c r="F57" s="17">
        <v>1603340.0</v>
      </c>
      <c r="G57" s="18">
        <v>319.85</v>
      </c>
      <c r="H57" s="15" t="s">
        <v>47</v>
      </c>
      <c r="I57" s="15">
        <v>941194.0</v>
      </c>
      <c r="J57" s="24" t="str">
        <f t="array" ref="J57">IF($A57="","",IFERROR(_xlfn.XLOOKUP($A57,'Movimentação'!$B$7:$B$1006,'Movimentação'!$E$7:$E$1006,"",0,-1),""))</f>
        <v>SAMPA CONSOLAÇÃO</v>
      </c>
      <c r="K57" s="24" t="str">
        <f t="array" ref="K57">IF($A57="","",IFERROR(_xlfn.XLOOKUP($A57,'Movimentação'!$B$7:$B$1006,'Movimentação'!$G$7:$G$1006,"",0,-1),""))</f>
        <v>EICES</v>
      </c>
      <c r="L57" s="24" t="str">
        <f t="shared" ref="L57:L70" si="2">IF($A57="","",IF($Q57=1,"MANUTENÇÃO",IF($P57="BAIXA","BAIXADO",IF($P57="FURTO","FURTADO",IF($J57&lt;&gt;"","EM OBRA","PENDENTE-PROCURAR")))))</f>
        <v>EM OBRA</v>
      </c>
      <c r="M57" s="17"/>
      <c r="N57" s="30">
        <f t="array" ref="N57">IF($A57="","",IFERROR(IF(OR($L57="BAIXADO",$L57="FURTADO"),0,INDEX(Listas!$J$2:$J$40,MATCH($B57,Listas!$I$2:$I$40,0))),""))</f>
        <v>300</v>
      </c>
      <c r="P57" s="31" t="str">
        <f t="array" ref="P57">IF($A57="","",IFERROR(_xlfn.XLOOKUP($A57,'Movimentação'!$B$7:$B$1006,'Movimentação'!$F$7:$F$1006,"",0,-1),""))</f>
        <v>ENTRADA (NOVA)</v>
      </c>
      <c r="Q57" s="31">
        <f>IF(COUNTIFS('Manutenção'!$B$7:$B$1006,$A57,'Manutenção'!$H$7:$H$1006,"EM CONSERTO")&gt;0,1,0)</f>
        <v>0</v>
      </c>
    </row>
    <row r="58" ht="15.0" hidden="1" customHeight="1">
      <c r="A58" s="15" t="s">
        <v>234</v>
      </c>
      <c r="B58" s="17" t="s">
        <v>85</v>
      </c>
      <c r="C58" s="17" t="s">
        <v>477</v>
      </c>
      <c r="D58" s="17" t="s">
        <v>229</v>
      </c>
      <c r="E58" s="17" t="s">
        <v>499</v>
      </c>
      <c r="F58" s="17" t="s">
        <v>500</v>
      </c>
      <c r="G58" s="34">
        <v>319.85</v>
      </c>
      <c r="H58" s="15" t="s">
        <v>189</v>
      </c>
      <c r="I58" s="15"/>
      <c r="J58" s="24" t="str">
        <f t="array" ref="J58">IF($A58="","",IFERROR(_xlfn.XLOOKUP($A58,'Movimentação'!$B$7:$B$1006,'Movimentação'!$E$7:$E$1006,"",0,-1),""))</f>
        <v>MAURO</v>
      </c>
      <c r="K58" s="24" t="str">
        <f t="array" ref="K58">IF($A58="","",IFERROR(_xlfn.XLOOKUP($A58,'Movimentação'!$B$7:$B$1006,'Movimentação'!$G$7:$G$1006,"",0,-1),""))</f>
        <v>EICES</v>
      </c>
      <c r="L58" s="24" t="str">
        <f t="shared" si="2"/>
        <v>EM OBRA</v>
      </c>
      <c r="M58" s="17"/>
      <c r="N58" s="30">
        <f t="array" ref="N58">IF($A58="","",IFERROR(IF(OR($L58="BAIXADO",$L58="FURTADO"),0,INDEX(Listas!$J$2:$J$40,MATCH($B58,Listas!$I$2:$I$40,0))),""))</f>
        <v>300</v>
      </c>
      <c r="P58" s="31" t="str">
        <f t="array" ref="P58">IF($A58="","",IFERROR(_xlfn.XLOOKUP($A58,'Movimentação'!$B$7:$B$1006,'Movimentação'!$F$7:$F$1006,"",0,-1),""))</f>
        <v>ENTRADA (NOVA)</v>
      </c>
      <c r="Q58" s="31">
        <f>IF(COUNTIFS('Manutenção'!$B$7:$B$1006,$A58,'Manutenção'!$H$7:$H$1006,"EM CONSERTO")&gt;0,1,0)</f>
        <v>0</v>
      </c>
    </row>
    <row r="59" ht="15.0" hidden="1" customHeight="1">
      <c r="A59" s="15" t="s">
        <v>506</v>
      </c>
      <c r="B59" s="17" t="s">
        <v>85</v>
      </c>
      <c r="C59" s="17" t="s">
        <v>477</v>
      </c>
      <c r="D59" s="17" t="s">
        <v>229</v>
      </c>
      <c r="E59" s="17" t="s">
        <v>499</v>
      </c>
      <c r="F59" s="17">
        <v>85070.0</v>
      </c>
      <c r="G59" s="34">
        <v>319.85</v>
      </c>
      <c r="H59" s="15" t="s">
        <v>189</v>
      </c>
      <c r="I59" s="15"/>
      <c r="J59" s="24" t="str">
        <f t="array" ref="J59">IF($A59="","",IFERROR(_xlfn.XLOOKUP($A59,'Movimentação'!$B$7:$B$1006,'Movimentação'!$E$7:$E$1006,"",0,-1),""))</f>
        <v/>
      </c>
      <c r="K59" s="24" t="str">
        <f t="array" ref="K59">IF($A59="","",IFERROR(_xlfn.XLOOKUP($A59,'Movimentação'!$B$7:$B$1006,'Movimentação'!$G$7:$G$1006,"",0,-1),""))</f>
        <v/>
      </c>
      <c r="L59" s="24" t="str">
        <f t="shared" si="2"/>
        <v>PENDENTE-PROCURAR</v>
      </c>
      <c r="M59" s="17"/>
      <c r="N59" s="30">
        <f t="array" ref="N59">IF($A59="","",IFERROR(IF(OR($L59="BAIXADO",$L59="FURTADO"),0,INDEX(Listas!$J$2:$J$40,MATCH($B59,Listas!$I$2:$I$40,0))),""))</f>
        <v>300</v>
      </c>
      <c r="P59" s="31" t="str">
        <f t="array" ref="P59">IF($A59="","",IFERROR(_xlfn.XLOOKUP($A59,'Movimentação'!$B$7:$B$1006,'Movimentação'!$F$7:$F$1006,"",0,-1),""))</f>
        <v/>
      </c>
      <c r="Q59" s="31">
        <f>IF(COUNTIFS('Manutenção'!$B$7:$B$1006,$A59,'Manutenção'!$H$7:$H$1006,"EM CONSERTO")&gt;0,1,0)</f>
        <v>0</v>
      </c>
    </row>
    <row r="60" ht="15.0" hidden="1" customHeight="1">
      <c r="A60" s="15" t="s">
        <v>235</v>
      </c>
      <c r="B60" s="17" t="s">
        <v>90</v>
      </c>
      <c r="C60" s="17" t="s">
        <v>372</v>
      </c>
      <c r="D60" s="17" t="s">
        <v>40</v>
      </c>
      <c r="E60" s="17" t="s">
        <v>515</v>
      </c>
      <c r="F60" s="17" t="s">
        <v>516</v>
      </c>
      <c r="G60" s="18">
        <v>2915.42</v>
      </c>
      <c r="H60" s="15" t="s">
        <v>47</v>
      </c>
      <c r="I60" s="15">
        <v>952463.0</v>
      </c>
      <c r="J60" s="24" t="str">
        <f t="array" ref="J60">IF($A60="","",IFERROR(_xlfn.XLOOKUP($A60,'Movimentação'!$B$7:$B$1006,'Movimentação'!$E$7:$E$1006,"",0,-1),""))</f>
        <v>MAURO</v>
      </c>
      <c r="K60" s="49" t="s">
        <v>412</v>
      </c>
      <c r="L60" s="24" t="str">
        <f t="shared" si="2"/>
        <v>EM OBRA</v>
      </c>
      <c r="M60" s="17"/>
      <c r="N60" s="30">
        <f t="array" ref="N60">IF($A60="","",IFERROR(IF(OR($L60="BAIXADO",$L60="FURTADO"),0,INDEX(Listas!$J$2:$J$40,MATCH($B60,Listas!$I$2:$I$40,0))),""))</f>
        <v>350</v>
      </c>
      <c r="P60" s="31" t="str">
        <f t="array" ref="P60">IF($A60="","",IFERROR(_xlfn.XLOOKUP($A60,'Movimentação'!$B$7:$B$1006,'Movimentação'!$F$7:$F$1006,"",0,-1),""))</f>
        <v>ENTRADA (NOVA)</v>
      </c>
      <c r="Q60" s="31">
        <f>IF(COUNTIFS('Manutenção'!$B$7:$B$1006,$A60,'Manutenção'!$H$7:$H$1006,"EM CONSERTO")&gt;0,1,0)</f>
        <v>0</v>
      </c>
    </row>
    <row r="61" ht="15.0" hidden="1" customHeight="1">
      <c r="A61" s="15" t="s">
        <v>236</v>
      </c>
      <c r="B61" s="17" t="s">
        <v>90</v>
      </c>
      <c r="C61" s="17" t="s">
        <v>372</v>
      </c>
      <c r="D61" s="17" t="s">
        <v>519</v>
      </c>
      <c r="E61" s="17" t="s">
        <v>520</v>
      </c>
      <c r="F61" s="17" t="s">
        <v>521</v>
      </c>
      <c r="G61" s="34">
        <v>2915.42</v>
      </c>
      <c r="H61" s="15" t="s">
        <v>189</v>
      </c>
      <c r="I61" s="15" t="s">
        <v>521</v>
      </c>
      <c r="J61" s="24" t="str">
        <f t="array" ref="J61">IF($A61="","",IFERROR(_xlfn.XLOOKUP($A61,'Movimentação'!$B$7:$B$1006,'Movimentação'!$E$7:$E$1006,"",0,-1),""))</f>
        <v>MAURO</v>
      </c>
      <c r="K61" s="24" t="s">
        <v>412</v>
      </c>
      <c r="L61" s="24" t="str">
        <f t="shared" si="2"/>
        <v>EM OBRA</v>
      </c>
      <c r="M61" s="17" t="s">
        <v>522</v>
      </c>
      <c r="N61" s="30">
        <f t="array" ref="N61">IF($A61="","",IFERROR(IF(OR($L61="BAIXADO",$L61="FURTADO"),0,INDEX(Listas!$J$2:$J$40,MATCH($B61,Listas!$I$2:$I$40,0))),""))</f>
        <v>350</v>
      </c>
      <c r="P61" s="31" t="str">
        <f t="array" ref="P61">IF($A61="","",IFERROR(_xlfn.XLOOKUP($A61,'Movimentação'!$B$7:$B$1006,'Movimentação'!$F$7:$F$1006,"",0,-1),""))</f>
        <v>ENTRADA (NOVA)</v>
      </c>
      <c r="Q61" s="31">
        <f>IF(COUNTIFS('Manutenção'!$B$7:$B$1006,$A61,'Manutenção'!$H$7:$H$1006,"EM CONSERTO")&gt;0,1,0)</f>
        <v>0</v>
      </c>
    </row>
    <row r="62" ht="15.0" hidden="1" customHeight="1">
      <c r="A62" s="15" t="s">
        <v>237</v>
      </c>
      <c r="B62" s="17" t="s">
        <v>90</v>
      </c>
      <c r="C62" s="17" t="s">
        <v>372</v>
      </c>
      <c r="D62" s="17" t="s">
        <v>519</v>
      </c>
      <c r="E62" s="17" t="s">
        <v>520</v>
      </c>
      <c r="F62" s="17" t="s">
        <v>523</v>
      </c>
      <c r="G62" s="34">
        <v>2915.42</v>
      </c>
      <c r="H62" s="15" t="s">
        <v>189</v>
      </c>
      <c r="I62" s="15" t="s">
        <v>523</v>
      </c>
      <c r="J62" s="24" t="str">
        <f t="array" ref="J62">IF($A62="","",IFERROR(_xlfn.XLOOKUP($A62,'Movimentação'!$B$7:$B$1006,'Movimentação'!$E$7:$E$1006,"",0,-1),""))</f>
        <v>ANGELICA</v>
      </c>
      <c r="K62" s="24" t="s">
        <v>301</v>
      </c>
      <c r="L62" s="24" t="str">
        <f t="shared" si="2"/>
        <v>EM OBRA</v>
      </c>
      <c r="M62" s="17"/>
      <c r="N62" s="30">
        <f t="array" ref="N62">IF($A62="","",IFERROR(IF(OR($L62="BAIXADO",$L62="FURTADO"),0,INDEX(Listas!$J$2:$J$40,MATCH($B62,Listas!$I$2:$I$40,0))),""))</f>
        <v>350</v>
      </c>
      <c r="P62" s="31" t="str">
        <f t="array" ref="P62">IF($A62="","",IFERROR(_xlfn.XLOOKUP($A62,'Movimentação'!$B$7:$B$1006,'Movimentação'!$F$7:$F$1006,"",0,-1),""))</f>
        <v>TRANSFERÊNCIA</v>
      </c>
      <c r="Q62" s="31">
        <f>IF(COUNTIFS('Manutenção'!$B$7:$B$1006,$A62,'Manutenção'!$H$7:$H$1006,"EM CONSERTO")&gt;0,1,0)</f>
        <v>0</v>
      </c>
    </row>
    <row r="63" ht="15.0" hidden="1" customHeight="1">
      <c r="A63" s="15" t="s">
        <v>239</v>
      </c>
      <c r="B63" s="17" t="s">
        <v>90</v>
      </c>
      <c r="C63" s="17" t="s">
        <v>372</v>
      </c>
      <c r="D63" s="17" t="s">
        <v>519</v>
      </c>
      <c r="E63" s="17" t="s">
        <v>520</v>
      </c>
      <c r="F63" s="17" t="s">
        <v>524</v>
      </c>
      <c r="G63" s="34">
        <v>2915.42</v>
      </c>
      <c r="H63" s="15" t="s">
        <v>189</v>
      </c>
      <c r="I63" s="15" t="s">
        <v>524</v>
      </c>
      <c r="J63" s="24" t="str">
        <f t="array" ref="J63">IF($A63="","",IFERROR(_xlfn.XLOOKUP($A63,'Movimentação'!$B$7:$B$1006,'Movimentação'!$E$7:$E$1006,"",0,-1),""))</f>
        <v>ALTIER</v>
      </c>
      <c r="K63" s="24" t="s">
        <v>460</v>
      </c>
      <c r="L63" s="24" t="str">
        <f t="shared" si="2"/>
        <v>EM OBRA</v>
      </c>
      <c r="M63" s="17" t="s">
        <v>522</v>
      </c>
      <c r="N63" s="30">
        <f t="array" ref="N63">IF($A63="","",IFERROR(IF(OR($L63="BAIXADO",$L63="FURTADO"),0,INDEX(Listas!$J$2:$J$40,MATCH($B63,Listas!$I$2:$I$40,0))),""))</f>
        <v>350</v>
      </c>
      <c r="P63" s="31" t="str">
        <f t="array" ref="P63">IF($A63="","",IFERROR(_xlfn.XLOOKUP($A63,'Movimentação'!$B$7:$B$1006,'Movimentação'!$F$7:$F$1006,"",0,-1),""))</f>
        <v>ENTRADA (NOVA)</v>
      </c>
      <c r="Q63" s="31">
        <f>IF(COUNTIFS('Manutenção'!$B$7:$B$1006,$A63,'Manutenção'!$H$7:$H$1006,"EM CONSERTO")&gt;0,1,0)</f>
        <v>0</v>
      </c>
    </row>
    <row r="64" ht="15.0" hidden="1" customHeight="1">
      <c r="A64" s="15" t="s">
        <v>205</v>
      </c>
      <c r="B64" s="17" t="s">
        <v>90</v>
      </c>
      <c r="C64" s="17" t="s">
        <v>372</v>
      </c>
      <c r="D64" s="17" t="s">
        <v>525</v>
      </c>
      <c r="E64" s="17" t="s">
        <v>526</v>
      </c>
      <c r="F64" s="17" t="s">
        <v>527</v>
      </c>
      <c r="G64" s="34">
        <v>2915.42</v>
      </c>
      <c r="H64" s="15" t="s">
        <v>189</v>
      </c>
      <c r="I64" s="15"/>
      <c r="J64" s="49" t="s">
        <v>151</v>
      </c>
      <c r="K64" s="24" t="str">
        <f t="array" ref="K64">IF($A64="","",IFERROR(_xlfn.XLOOKUP($A64,'Movimentação'!$B$7:$B$1006,'Movimentação'!$G$7:$G$1006,"",0,-1),""))</f>
        <v>LAÉRCIO</v>
      </c>
      <c r="L64" s="24" t="str">
        <f t="shared" si="2"/>
        <v>BAIXADO</v>
      </c>
      <c r="M64" s="17"/>
      <c r="N64" s="30">
        <f t="array" ref="N64">IF($A64="","",IFERROR(IF(OR($L64="BAIXADO",$L64="FURTADO"),0,INDEX(Listas!$J$2:$J$40,MATCH($B64,Listas!$I$2:$I$40,0))),""))</f>
        <v>0</v>
      </c>
      <c r="P64" s="31" t="str">
        <f t="array" ref="P64">IF($A64="","",IFERROR(_xlfn.XLOOKUP($A64,'Movimentação'!$B$7:$B$1006,'Movimentação'!$F$7:$F$1006,"",0,-1),""))</f>
        <v>BAIXA</v>
      </c>
      <c r="Q64" s="31">
        <f>IF(COUNTIFS('Manutenção'!$B$7:$B$1006,$A64,'Manutenção'!$H$7:$H$1006,"EM CONSERTO")&gt;0,1,0)</f>
        <v>0</v>
      </c>
    </row>
    <row r="65" ht="15.0" hidden="1" customHeight="1">
      <c r="A65" s="15" t="s">
        <v>242</v>
      </c>
      <c r="B65" s="17" t="s">
        <v>92</v>
      </c>
      <c r="C65" s="17" t="s">
        <v>352</v>
      </c>
      <c r="D65" s="17" t="s">
        <v>40</v>
      </c>
      <c r="E65" s="17" t="s">
        <v>528</v>
      </c>
      <c r="F65" s="17" t="s">
        <v>529</v>
      </c>
      <c r="G65" s="34">
        <v>850.0</v>
      </c>
      <c r="H65" s="15" t="s">
        <v>189</v>
      </c>
      <c r="I65" s="15">
        <v>952463.0</v>
      </c>
      <c r="J65" s="24" t="str">
        <f t="array" ref="J65">IF($A65="","",IFERROR(_xlfn.XLOOKUP($A65,'Movimentação'!$B$7:$B$1006,'Movimentação'!$E$7:$E$1006,"",0,-1),""))</f>
        <v>BALTAZAR</v>
      </c>
      <c r="K65" s="24" t="s">
        <v>530</v>
      </c>
      <c r="L65" s="24" t="str">
        <f t="shared" si="2"/>
        <v>EM OBRA</v>
      </c>
      <c r="M65" s="17"/>
      <c r="N65" s="30">
        <f t="array" ref="N65">IF($A65="","",IFERROR(IF(OR($L65="BAIXADO",$L65="FURTADO"),0,INDEX(Listas!$J$2:$J$40,MATCH($B65,Listas!$I$2:$I$40,0))),""))</f>
        <v>400</v>
      </c>
      <c r="P65" s="31" t="str">
        <f t="array" ref="P65">IF($A65="","",IFERROR(_xlfn.XLOOKUP($A65,'Movimentação'!$B$7:$B$1006,'Movimentação'!$F$7:$F$1006,"",0,-1),""))</f>
        <v>TRANSFERÊNCIA</v>
      </c>
      <c r="Q65" s="31">
        <f>IF(COUNTIFS('Manutenção'!$B$7:$B$1006,$A65,'Manutenção'!$H$7:$H$1006,"EM CONSERTO")&gt;0,1,0)</f>
        <v>0</v>
      </c>
    </row>
    <row r="66" ht="15.0" hidden="1" customHeight="1">
      <c r="A66" s="15" t="s">
        <v>245</v>
      </c>
      <c r="B66" s="17" t="s">
        <v>94</v>
      </c>
      <c r="C66" s="17" t="s">
        <v>402</v>
      </c>
      <c r="D66" s="17" t="s">
        <v>40</v>
      </c>
      <c r="E66" s="17" t="s">
        <v>531</v>
      </c>
      <c r="F66" s="17">
        <v>2.227001737E9</v>
      </c>
      <c r="G66" s="18">
        <v>720.0</v>
      </c>
      <c r="H66" s="15" t="s">
        <v>47</v>
      </c>
      <c r="I66" s="15">
        <v>1069616.0</v>
      </c>
      <c r="J66" s="24" t="str">
        <f t="array" ref="J66">IF($A66="","",IFERROR(_xlfn.XLOOKUP($A66,'Movimentação'!$B$7:$B$1006,'Movimentação'!$E$7:$E$1006,"",0,-1),""))</f>
        <v>ALPHA ONE</v>
      </c>
      <c r="K66" s="24" t="str">
        <f t="array" ref="K66">IF($A66="","",IFERROR(_xlfn.XLOOKUP($A66,'Movimentação'!$B$7:$B$1006,'Movimentação'!$G$7:$G$1006,"",0,-1),""))</f>
        <v>EICES</v>
      </c>
      <c r="L66" s="24" t="str">
        <f t="shared" si="2"/>
        <v>BAIXADO</v>
      </c>
      <c r="M66" s="17"/>
      <c r="N66" s="30">
        <f t="array" ref="N66">IF($A66="","",IFERROR(IF(OR($L66="BAIXADO",$L66="FURTADO"),0,INDEX(Listas!$J$2:$J$40,MATCH($B66,Listas!$I$2:$I$40,0))),""))</f>
        <v>0</v>
      </c>
      <c r="P66" s="31" t="str">
        <f t="array" ref="P66">IF($A66="","",IFERROR(_xlfn.XLOOKUP($A66,'Movimentação'!$B$7:$B$1006,'Movimentação'!$F$7:$F$1006,"",0,-1),""))</f>
        <v>BAIXA</v>
      </c>
      <c r="Q66" s="31">
        <f>IF(COUNTIFS('Manutenção'!$B$7:$B$1006,$A66,'Manutenção'!$H$7:$H$1006,"EM CONSERTO")&gt;0,1,0)</f>
        <v>0</v>
      </c>
    </row>
    <row r="67" ht="15.0" hidden="1" customHeight="1">
      <c r="A67" s="15" t="s">
        <v>532</v>
      </c>
      <c r="B67" s="17" t="s">
        <v>94</v>
      </c>
      <c r="C67" s="17" t="s">
        <v>402</v>
      </c>
      <c r="D67" s="17" t="s">
        <v>40</v>
      </c>
      <c r="E67" s="17" t="s">
        <v>531</v>
      </c>
      <c r="F67" s="17">
        <v>2.25000803E8</v>
      </c>
      <c r="G67" s="18">
        <v>648.9</v>
      </c>
      <c r="H67" s="15" t="s">
        <v>47</v>
      </c>
      <c r="I67" s="15">
        <v>601494.0</v>
      </c>
      <c r="J67" s="24" t="str">
        <f t="array" ref="J67">IF($A67="","",IFERROR(_xlfn.XLOOKUP($A67,'Movimentação'!$B$7:$B$1006,'Movimentação'!$E$7:$E$1006,"",0,-1),""))</f>
        <v/>
      </c>
      <c r="K67" s="24" t="str">
        <f t="array" ref="K67">IF($A67="","",IFERROR(_xlfn.XLOOKUP($A67,'Movimentação'!$B$7:$B$1006,'Movimentação'!$G$7:$G$1006,"",0,-1),""))</f>
        <v/>
      </c>
      <c r="L67" s="24" t="str">
        <f t="shared" si="2"/>
        <v>PENDENTE-PROCURAR</v>
      </c>
      <c r="M67" s="17"/>
      <c r="N67" s="30">
        <f t="array" ref="N67">IF($A67="","",IFERROR(IF(OR($L67="BAIXADO",$L67="FURTADO"),0,INDEX(Listas!$J$2:$J$40,MATCH($B67,Listas!$I$2:$I$40,0))),""))</f>
        <v>200</v>
      </c>
      <c r="P67" s="31" t="str">
        <f t="array" ref="P67">IF($A67="","",IFERROR(_xlfn.XLOOKUP($A67,'Movimentação'!$B$7:$B$1006,'Movimentação'!$F$7:$F$1006,"",0,-1),""))</f>
        <v/>
      </c>
      <c r="Q67" s="31">
        <f>IF(COUNTIFS('Manutenção'!$B$7:$B$1006,$A67,'Manutenção'!$H$7:$H$1006,"EM CONSERTO")&gt;0,1,0)</f>
        <v>0</v>
      </c>
    </row>
    <row r="68" ht="15.0" hidden="1" customHeight="1">
      <c r="A68" s="15" t="s">
        <v>533</v>
      </c>
      <c r="B68" s="17" t="s">
        <v>94</v>
      </c>
      <c r="C68" s="17" t="s">
        <v>402</v>
      </c>
      <c r="D68" s="17" t="s">
        <v>40</v>
      </c>
      <c r="E68" s="17" t="s">
        <v>531</v>
      </c>
      <c r="F68" s="17" t="s">
        <v>536</v>
      </c>
      <c r="G68" s="18">
        <v>979.9</v>
      </c>
      <c r="H68" s="15" t="s">
        <v>47</v>
      </c>
      <c r="I68" s="15">
        <v>50816.0</v>
      </c>
      <c r="J68" s="24" t="str">
        <f t="array" ref="J68">IF($A68="","",IFERROR(_xlfn.XLOOKUP($A68,'Movimentação'!$B$7:$B$1006,'Movimentação'!$E$7:$E$1006,"",0,-1),""))</f>
        <v/>
      </c>
      <c r="K68" s="24" t="str">
        <f t="array" ref="K68">IF($A68="","",IFERROR(_xlfn.XLOOKUP($A68,'Movimentação'!$B$7:$B$1006,'Movimentação'!$G$7:$G$1006,"",0,-1),""))</f>
        <v/>
      </c>
      <c r="L68" s="24" t="str">
        <f t="shared" si="2"/>
        <v>PENDENTE-PROCURAR</v>
      </c>
      <c r="M68" s="17"/>
      <c r="N68" s="30">
        <f t="array" ref="N68">IF($A68="","",IFERROR(IF(OR($L68="BAIXADO",$L68="FURTADO"),0,INDEX(Listas!$J$2:$J$40,MATCH($B68,Listas!$I$2:$I$40,0))),""))</f>
        <v>200</v>
      </c>
      <c r="P68" s="31" t="str">
        <f t="array" ref="P68">IF($A68="","",IFERROR(_xlfn.XLOOKUP($A68,'Movimentação'!$B$7:$B$1006,'Movimentação'!$F$7:$F$1006,"",0,-1),""))</f>
        <v/>
      </c>
      <c r="Q68" s="31">
        <f>IF(COUNTIFS('Manutenção'!$B$7:$B$1006,$A68,'Manutenção'!$H$7:$H$1006,"EM CONSERTO")&gt;0,1,0)</f>
        <v>0</v>
      </c>
    </row>
    <row r="69" ht="15.0" hidden="1" customHeight="1">
      <c r="A69" s="15" t="s">
        <v>250</v>
      </c>
      <c r="B69" s="17" t="s">
        <v>94</v>
      </c>
      <c r="C69" s="17" t="s">
        <v>402</v>
      </c>
      <c r="D69" s="17" t="s">
        <v>229</v>
      </c>
      <c r="E69" s="17" t="s">
        <v>552</v>
      </c>
      <c r="F69" s="17" t="s">
        <v>553</v>
      </c>
      <c r="G69" s="18">
        <v>834.0</v>
      </c>
      <c r="H69" s="15" t="s">
        <v>47</v>
      </c>
      <c r="I69" s="15">
        <v>50816.0</v>
      </c>
      <c r="J69" s="24" t="str">
        <f t="array" ref="J69">IF($A69="","",IFERROR(_xlfn.XLOOKUP($A69,'Movimentação'!$B$7:$B$1006,'Movimentação'!$E$7:$E$1006,"",0,-1),""))</f>
        <v>ESCRITÓRIO</v>
      </c>
      <c r="K69" s="24" t="str">
        <f t="array" ref="K69">IF($A69="","",IFERROR(_xlfn.XLOOKUP($A69,'Movimentação'!$B$7:$B$1006,'Movimentação'!$G$7:$G$1006,"",0,-1),""))</f>
        <v>EICES</v>
      </c>
      <c r="L69" s="24" t="str">
        <f t="shared" si="2"/>
        <v>EM OBRA</v>
      </c>
      <c r="M69" s="17"/>
      <c r="N69" s="30">
        <f t="array" ref="N69">IF($A69="","",IFERROR(IF(OR($L69="BAIXADO",$L69="FURTADO"),0,INDEX(Listas!$J$2:$J$40,MATCH($B69,Listas!$I$2:$I$40,0))),""))</f>
        <v>200</v>
      </c>
      <c r="P69" s="31" t="str">
        <f t="array" ref="P69">IF($A69="","",IFERROR(_xlfn.XLOOKUP($A69,'Movimentação'!$B$7:$B$1006,'Movimentação'!$F$7:$F$1006,"",0,-1),""))</f>
        <v>ENTRADA (NOVA)</v>
      </c>
      <c r="Q69" s="31">
        <f>IF(COUNTIFS('Manutenção'!$B$7:$B$1006,$A69,'Manutenção'!$H$7:$H$1006,"EM CONSERTO")&gt;0,1,0)</f>
        <v>0</v>
      </c>
    </row>
    <row r="70" ht="15.0" hidden="1" customHeight="1">
      <c r="A70" s="15" t="s">
        <v>251</v>
      </c>
      <c r="B70" s="17" t="s">
        <v>94</v>
      </c>
      <c r="C70" s="17" t="s">
        <v>402</v>
      </c>
      <c r="D70" s="17" t="s">
        <v>40</v>
      </c>
      <c r="E70" s="17" t="s">
        <v>554</v>
      </c>
      <c r="F70" s="17">
        <v>2.32005979E8</v>
      </c>
      <c r="G70" s="18">
        <v>835.0</v>
      </c>
      <c r="H70" s="15" t="s">
        <v>47</v>
      </c>
      <c r="I70" s="15"/>
      <c r="J70" s="24" t="str">
        <f t="array" ref="J70">IF($A70="","",IFERROR(_xlfn.XLOOKUP($A70,'Movimentação'!$B$7:$B$1006,'Movimentação'!$E$7:$E$1006,"",0,-1),""))</f>
        <v>ORIÇANGA</v>
      </c>
      <c r="K70" s="24" t="s">
        <v>472</v>
      </c>
      <c r="L70" s="24" t="str">
        <f t="shared" si="2"/>
        <v>EM OBRA</v>
      </c>
      <c r="M70" s="17"/>
      <c r="N70" s="30">
        <f t="array" ref="N70">IF($A70="","",IFERROR(IF(OR($L70="BAIXADO",$L70="FURTADO"),0,INDEX(Listas!$J$2:$J$40,MATCH($B70,Listas!$I$2:$I$40,0))),""))</f>
        <v>200</v>
      </c>
      <c r="P70" s="31" t="str">
        <f t="array" ref="P70">IF($A70="","",IFERROR(_xlfn.XLOOKUP($A70,'Movimentação'!$B$7:$B$1006,'Movimentação'!$F$7:$F$1006,"",0,-1),""))</f>
        <v>ENTRADA (NOVA)</v>
      </c>
      <c r="Q70" s="31">
        <f>IF(COUNTIFS('Manutenção'!$B$7:$B$1006,$A70,'Manutenção'!$H$7:$H$1006,"EM CONSERTO")&gt;0,1,0)</f>
        <v>0</v>
      </c>
    </row>
    <row r="71" ht="15.0" hidden="1" customHeight="1">
      <c r="A71" s="15" t="s">
        <v>252</v>
      </c>
      <c r="B71" s="17" t="s">
        <v>94</v>
      </c>
      <c r="C71" s="17" t="s">
        <v>402</v>
      </c>
      <c r="D71" s="17" t="s">
        <v>40</v>
      </c>
      <c r="E71" s="17" t="s">
        <v>554</v>
      </c>
      <c r="F71" s="17">
        <v>4.22006889E8</v>
      </c>
      <c r="G71" s="18">
        <v>835.0</v>
      </c>
      <c r="H71" s="15" t="s">
        <v>47</v>
      </c>
      <c r="I71" s="15"/>
      <c r="J71" s="24" t="str">
        <f t="array" ref="J71">IF($A71="","",IFERROR(_xlfn.XLOOKUP($A71,'Movimentação'!$B$7:$B$1006,'Movimentação'!$E$7:$E$1006,"",0,-1),""))</f>
        <v>PJM</v>
      </c>
      <c r="K71" s="24" t="str">
        <f t="array" ref="K71">IF($A71="","",IFERROR(_xlfn.XLOOKUP($A71,'Movimentação'!$B$7:$B$1006,'Movimentação'!$G$7:$G$1006,"",0,-1),""))</f>
        <v>EICES</v>
      </c>
      <c r="L71" s="24" t="s">
        <v>563</v>
      </c>
      <c r="M71" s="17"/>
      <c r="N71" s="30">
        <f t="array" ref="N71">IF($A71="","",IFERROR(IF(OR($L71="BAIXADO",$L71="FURTADO"),0,INDEX(Listas!$J$2:$J$40,MATCH($B71,Listas!$I$2:$I$40,0))),""))</f>
        <v>0</v>
      </c>
      <c r="P71" s="31" t="str">
        <f t="array" ref="P71">IF($A71="","",IFERROR(_xlfn.XLOOKUP($A71,'Movimentação'!$B$7:$B$1006,'Movimentação'!$F$7:$F$1006,"",0,-1),""))</f>
        <v>ENTRADA (NOVA)</v>
      </c>
      <c r="Q71" s="31">
        <f>IF(COUNTIFS('Manutenção'!$B$7:$B$1006,$A71,'Manutenção'!$H$7:$H$1006,"EM CONSERTO")&gt;0,1,0)</f>
        <v>0</v>
      </c>
    </row>
    <row r="72" ht="15.0" hidden="1" customHeight="1">
      <c r="A72" s="15" t="s">
        <v>253</v>
      </c>
      <c r="B72" s="17" t="s">
        <v>94</v>
      </c>
      <c r="C72" s="17" t="s">
        <v>402</v>
      </c>
      <c r="D72" s="17" t="s">
        <v>229</v>
      </c>
      <c r="E72" s="17" t="s">
        <v>564</v>
      </c>
      <c r="F72" s="17">
        <v>69977.0</v>
      </c>
      <c r="G72" s="18">
        <v>770.52</v>
      </c>
      <c r="H72" s="15" t="s">
        <v>47</v>
      </c>
      <c r="I72" s="15"/>
      <c r="J72" s="24" t="str">
        <f t="array" ref="J72">IF($A72="","",IFERROR(_xlfn.XLOOKUP($A72,'Movimentação'!$B$7:$B$1006,'Movimentação'!$E$7:$E$1006,"",0,-1),""))</f>
        <v>SAMPA CONSOLAÇÃO</v>
      </c>
      <c r="K72" s="24" t="str">
        <f t="array" ref="K72">IF($A72="","",IFERROR(_xlfn.XLOOKUP($A72,'Movimentação'!$B$7:$B$1006,'Movimentação'!$G$7:$G$1006,"",0,-1),""))</f>
        <v>EICES</v>
      </c>
      <c r="L72" s="24" t="str">
        <f t="shared" ref="L72:L1003" si="3">IF($A72="","",IF($Q72=1,"MANUTENÇÃO",IF($P72="BAIXA","BAIXADO",IF($P72="FURTO","FURTADO",IF($J72&lt;&gt;"","EM OBRA","PENDENTE-PROCURAR")))))</f>
        <v>EM OBRA</v>
      </c>
      <c r="M72" s="17"/>
      <c r="N72" s="30">
        <f t="array" ref="N72">IF($A72="","",IFERROR(IF(OR($L72="BAIXADO",$L72="FURTADO"),0,INDEX(Listas!$J$2:$J$40,MATCH($B72,Listas!$I$2:$I$40,0))),""))</f>
        <v>200</v>
      </c>
      <c r="P72" s="31" t="str">
        <f t="array" ref="P72">IF($A72="","",IFERROR(_xlfn.XLOOKUP($A72,'Movimentação'!$B$7:$B$1006,'Movimentação'!$F$7:$F$1006,"",0,-1),""))</f>
        <v>ENTRADA (NOVA)</v>
      </c>
      <c r="Q72" s="31">
        <f>IF(COUNTIFS('Manutenção'!$B$7:$B$1006,$A72,'Manutenção'!$H$7:$H$1006,"EM CONSERTO")&gt;0,1,0)</f>
        <v>0</v>
      </c>
    </row>
    <row r="73" ht="15.0" hidden="1" customHeight="1">
      <c r="A73" s="15" t="s">
        <v>257</v>
      </c>
      <c r="B73" s="17" t="s">
        <v>94</v>
      </c>
      <c r="C73" s="17" t="s">
        <v>402</v>
      </c>
      <c r="D73" s="17" t="s">
        <v>229</v>
      </c>
      <c r="E73" s="17" t="s">
        <v>564</v>
      </c>
      <c r="F73" s="17">
        <v>72208.0</v>
      </c>
      <c r="G73" s="18">
        <v>770.52</v>
      </c>
      <c r="H73" s="15" t="s">
        <v>47</v>
      </c>
      <c r="I73" s="15"/>
      <c r="J73" s="24" t="str">
        <f t="array" ref="J73">IF($A73="","",IFERROR(_xlfn.XLOOKUP($A73,'Movimentação'!$B$7:$B$1006,'Movimentação'!$E$7:$E$1006,"",0,-1),""))</f>
        <v>ASSISTENCIA TECNICA</v>
      </c>
      <c r="K73" s="24" t="str">
        <f t="array" ref="K73">IF($A73="","",IFERROR(_xlfn.XLOOKUP($A73,'Movimentação'!$B$7:$B$1006,'Movimentação'!$G$7:$G$1006,"",0,-1),""))</f>
        <v>JOANDERSON</v>
      </c>
      <c r="L73" s="24" t="str">
        <f t="shared" si="3"/>
        <v>FURTADO</v>
      </c>
      <c r="M73" s="17"/>
      <c r="N73" s="30">
        <f t="array" ref="N73">IF($A73="","",IFERROR(IF(OR($L73="BAIXADO",$L73="FURTADO"),0,INDEX(Listas!$J$2:$J$40,MATCH($B73,Listas!$I$2:$I$40,0))),""))</f>
        <v>0</v>
      </c>
      <c r="P73" s="31" t="str">
        <f t="array" ref="P73">IF($A73="","",IFERROR(_xlfn.XLOOKUP($A73,'Movimentação'!$B$7:$B$1006,'Movimentação'!$F$7:$F$1006,"",0,-1),""))</f>
        <v>FURTO</v>
      </c>
      <c r="Q73" s="31">
        <f>IF(COUNTIFS('Manutenção'!$B$7:$B$1006,$A73,'Manutenção'!$H$7:$H$1006,"EM CONSERTO")&gt;0,1,0)</f>
        <v>0</v>
      </c>
    </row>
    <row r="74" ht="15.0" hidden="1" customHeight="1">
      <c r="A74" s="15" t="s">
        <v>258</v>
      </c>
      <c r="B74" s="17" t="s">
        <v>94</v>
      </c>
      <c r="C74" s="17" t="s">
        <v>402</v>
      </c>
      <c r="D74" s="17" t="s">
        <v>229</v>
      </c>
      <c r="E74" s="17" t="s">
        <v>564</v>
      </c>
      <c r="F74" s="17">
        <v>69978.0</v>
      </c>
      <c r="G74" s="18">
        <v>770.52</v>
      </c>
      <c r="H74" s="15" t="s">
        <v>47</v>
      </c>
      <c r="I74" s="15"/>
      <c r="J74" s="24" t="str">
        <f t="array" ref="J74">IF($A74="","",IFERROR(_xlfn.XLOOKUP($A74,'Movimentação'!$B$7:$B$1006,'Movimentação'!$E$7:$E$1006,"",0,-1),""))</f>
        <v>ASSISTENCIA TECNICA</v>
      </c>
      <c r="K74" s="24" t="str">
        <f t="array" ref="K74">IF($A74="","",IFERROR(_xlfn.XLOOKUP($A74,'Movimentação'!$B$7:$B$1006,'Movimentação'!$G$7:$G$1006,"",0,-1),""))</f>
        <v>EICES</v>
      </c>
      <c r="L74" s="24" t="str">
        <f t="shared" si="3"/>
        <v>BAIXADO</v>
      </c>
      <c r="M74" s="17"/>
      <c r="N74" s="30">
        <f t="array" ref="N74">IF($A74="","",IFERROR(IF(OR($L74="BAIXADO",$L74="FURTADO"),0,INDEX(Listas!$J$2:$J$40,MATCH($B74,Listas!$I$2:$I$40,0))),""))</f>
        <v>0</v>
      </c>
      <c r="P74" s="31" t="str">
        <f t="array" ref="P74">IF($A74="","",IFERROR(_xlfn.XLOOKUP($A74,'Movimentação'!$B$7:$B$1006,'Movimentação'!$F$7:$F$1006,"",0,-1),""))</f>
        <v>BAIXA</v>
      </c>
      <c r="Q74" s="31">
        <f>IF(COUNTIFS('Manutenção'!$B$7:$B$1006,$A74,'Manutenção'!$H$7:$H$1006,"EM CONSERTO")&gt;0,1,0)</f>
        <v>0</v>
      </c>
    </row>
    <row r="75" ht="15.0" hidden="1" customHeight="1">
      <c r="A75" s="15" t="s">
        <v>259</v>
      </c>
      <c r="B75" s="17" t="s">
        <v>94</v>
      </c>
      <c r="C75" s="17" t="s">
        <v>402</v>
      </c>
      <c r="D75" s="17" t="s">
        <v>229</v>
      </c>
      <c r="E75" s="17" t="s">
        <v>564</v>
      </c>
      <c r="F75" s="17">
        <v>72207.0</v>
      </c>
      <c r="G75" s="18">
        <v>770.52</v>
      </c>
      <c r="H75" s="15" t="s">
        <v>47</v>
      </c>
      <c r="I75" s="15"/>
      <c r="J75" s="24" t="str">
        <f t="array" ref="J75">IF($A75="","",IFERROR(_xlfn.XLOOKUP($A75,'Movimentação'!$B$7:$B$1006,'Movimentação'!$E$7:$E$1006,"",0,-1),""))</f>
        <v>MAURO</v>
      </c>
      <c r="K75" s="24" t="str">
        <f t="array" ref="K75">IF($A75="","",IFERROR(_xlfn.XLOOKUP($A75,'Movimentação'!$B$7:$B$1006,'Movimentação'!$G$7:$G$1006,"",0,-1),""))</f>
        <v>EICES</v>
      </c>
      <c r="L75" s="24" t="str">
        <f t="shared" si="3"/>
        <v>EM OBRA</v>
      </c>
      <c r="M75" s="17"/>
      <c r="N75" s="30">
        <f t="array" ref="N75">IF($A75="","",IFERROR(IF(OR($L75="BAIXADO",$L75="FURTADO"),0,INDEX(Listas!$J$2:$J$40,MATCH($B75,Listas!$I$2:$I$40,0))),""))</f>
        <v>200</v>
      </c>
      <c r="P75" s="31" t="str">
        <f t="array" ref="P75">IF($A75="","",IFERROR(_xlfn.XLOOKUP($A75,'Movimentação'!$B$7:$B$1006,'Movimentação'!$F$7:$F$1006,"",0,-1),""))</f>
        <v>ENTRADA (NOVA)</v>
      </c>
      <c r="Q75" s="31">
        <f>IF(COUNTIFS('Manutenção'!$B$7:$B$1006,$A75,'Manutenção'!$H$7:$H$1006,"EM CONSERTO")&gt;0,1,0)</f>
        <v>0</v>
      </c>
    </row>
    <row r="76" ht="15.0" hidden="1" customHeight="1">
      <c r="A76" s="15" t="s">
        <v>260</v>
      </c>
      <c r="B76" s="17" t="s">
        <v>99</v>
      </c>
      <c r="C76" s="17" t="s">
        <v>565</v>
      </c>
      <c r="D76" s="17" t="s">
        <v>566</v>
      </c>
      <c r="E76" s="17" t="s">
        <v>567</v>
      </c>
      <c r="F76" s="17" t="s">
        <v>568</v>
      </c>
      <c r="G76" s="18">
        <v>2554.0</v>
      </c>
      <c r="H76" s="15" t="s">
        <v>47</v>
      </c>
      <c r="I76" s="15">
        <v>8869.0</v>
      </c>
      <c r="J76" s="24" t="str">
        <f t="array" ref="J76">IF($A76="","",IFERROR(_xlfn.XLOOKUP($A76,'Movimentação'!$B$7:$B$1006,'Movimentação'!$E$7:$E$1006,"",0,-1),""))</f>
        <v>ASSISTENCIA TECNICA</v>
      </c>
      <c r="K76" s="24" t="str">
        <f t="array" ref="K76">IF($A76="","",IFERROR(_xlfn.XLOOKUP($A76,'Movimentação'!$B$7:$B$1006,'Movimentação'!$G$7:$G$1006,"",0,-1),""))</f>
        <v>EICES</v>
      </c>
      <c r="L76" s="24" t="str">
        <f t="shared" si="3"/>
        <v>BAIXADO</v>
      </c>
      <c r="M76" s="17"/>
      <c r="N76" s="30">
        <f t="array" ref="N76">IF($A76="","",IFERROR(IF(OR($L76="BAIXADO",$L76="FURTADO"),0,INDEX(Listas!$J$2:$J$40,MATCH($B76,Listas!$I$2:$I$40,0))),""))</f>
        <v>0</v>
      </c>
      <c r="P76" s="31" t="str">
        <f t="array" ref="P76">IF($A76="","",IFERROR(_xlfn.XLOOKUP($A76,'Movimentação'!$B$7:$B$1006,'Movimentação'!$F$7:$F$1006,"",0,-1),""))</f>
        <v>BAIXA</v>
      </c>
      <c r="Q76" s="31">
        <f>IF(COUNTIFS('Manutenção'!$B$7:$B$1006,$A76,'Manutenção'!$H$7:$H$1006,"EM CONSERTO")&gt;0,1,0)</f>
        <v>0</v>
      </c>
    </row>
    <row r="77" ht="15.0" hidden="1" customHeight="1">
      <c r="A77" s="15" t="s">
        <v>265</v>
      </c>
      <c r="B77" s="17" t="s">
        <v>99</v>
      </c>
      <c r="C77" s="17" t="s">
        <v>565</v>
      </c>
      <c r="D77" s="17" t="s">
        <v>569</v>
      </c>
      <c r="E77" s="17" t="s">
        <v>570</v>
      </c>
      <c r="F77" s="17" t="s">
        <v>571</v>
      </c>
      <c r="G77" s="34">
        <v>2554.0</v>
      </c>
      <c r="H77" s="15" t="s">
        <v>189</v>
      </c>
      <c r="I77" s="15">
        <v>161.0</v>
      </c>
      <c r="J77" s="24" t="str">
        <f t="array" ref="J77">IF($A77="","",IFERROR(_xlfn.XLOOKUP($A77,'Movimentação'!$B$7:$B$1006,'Movimentação'!$E$7:$E$1006,"",0,-1),""))</f>
        <v>ALTIER</v>
      </c>
      <c r="K77" s="24" t="str">
        <f t="array" ref="K77">IF($A77="","",IFERROR(_xlfn.XLOOKUP($A77,'Movimentação'!$B$7:$B$1006,'Movimentação'!$G$7:$G$1006,"",0,-1),""))</f>
        <v>EICES</v>
      </c>
      <c r="L77" s="24" t="str">
        <f t="shared" si="3"/>
        <v>EM OBRA</v>
      </c>
      <c r="M77" s="17"/>
      <c r="N77" s="30">
        <f t="array" ref="N77">IF($A77="","",IFERROR(IF(OR($L77="BAIXADO",$L77="FURTADO"),0,INDEX(Listas!$J$2:$J$40,MATCH($B77,Listas!$I$2:$I$40,0))),""))</f>
        <v>300</v>
      </c>
      <c r="P77" s="31" t="str">
        <f t="array" ref="P77">IF($A77="","",IFERROR(_xlfn.XLOOKUP($A77,'Movimentação'!$B$7:$B$1006,'Movimentação'!$F$7:$F$1006,"",0,-1),""))</f>
        <v>ENTRADA (NOVA)</v>
      </c>
      <c r="Q77" s="31">
        <f>IF(COUNTIFS('Manutenção'!$B$7:$B$1006,$A77,'Manutenção'!$H$7:$H$1006,"EM CONSERTO")&gt;0,1,0)</f>
        <v>0</v>
      </c>
    </row>
    <row r="78" ht="15.0" hidden="1" customHeight="1">
      <c r="A78" s="15" t="s">
        <v>184</v>
      </c>
      <c r="B78" s="17" t="s">
        <v>99</v>
      </c>
      <c r="C78" s="17" t="s">
        <v>565</v>
      </c>
      <c r="D78" s="17" t="s">
        <v>566</v>
      </c>
      <c r="E78" s="17" t="s">
        <v>567</v>
      </c>
      <c r="F78" s="17" t="s">
        <v>572</v>
      </c>
      <c r="G78" s="18">
        <v>2517.47</v>
      </c>
      <c r="H78" s="15" t="s">
        <v>47</v>
      </c>
      <c r="I78" s="15">
        <v>8912.0</v>
      </c>
      <c r="J78" s="24" t="str">
        <f t="array" ref="J78">IF($A78="","",IFERROR(_xlfn.XLOOKUP($A78,'Movimentação'!$B$7:$B$1006,'Movimentação'!$E$7:$E$1006,"",0,-1),""))</f>
        <v>JERONIMO</v>
      </c>
      <c r="K78" s="24" t="str">
        <f t="array" ref="K78">IF($A78="","",IFERROR(_xlfn.XLOOKUP($A78,'Movimentação'!$B$7:$B$1006,'Movimentação'!$G$7:$G$1006,"",0,-1),""))</f>
        <v>ANA</v>
      </c>
      <c r="L78" s="24" t="str">
        <f t="shared" si="3"/>
        <v>EM OBRA</v>
      </c>
      <c r="M78" s="17"/>
      <c r="N78" s="30">
        <f t="array" ref="N78">IF($A78="","",IFERROR(IF(OR($L78="BAIXADO",$L78="FURTADO"),0,INDEX(Listas!$J$2:$J$40,MATCH($B78,Listas!$I$2:$I$40,0))),""))</f>
        <v>300</v>
      </c>
      <c r="P78" s="31" t="str">
        <f t="array" ref="P78">IF($A78="","",IFERROR(_xlfn.XLOOKUP($A78,'Movimentação'!$B$7:$B$1006,'Movimentação'!$F$7:$F$1006,"",0,-1),""))</f>
        <v>TRANSFERÊNCIA</v>
      </c>
      <c r="Q78" s="31">
        <f>IF(COUNTIFS('Manutenção'!$B$7:$B$1006,$A78,'Manutenção'!$H$7:$H$1006,"EM CONSERTO")&gt;0,1,0)</f>
        <v>0</v>
      </c>
    </row>
    <row r="79" ht="15.0" hidden="1" customHeight="1">
      <c r="A79" s="15" t="s">
        <v>264</v>
      </c>
      <c r="B79" s="17" t="s">
        <v>99</v>
      </c>
      <c r="C79" s="17" t="s">
        <v>565</v>
      </c>
      <c r="D79" s="17" t="s">
        <v>569</v>
      </c>
      <c r="E79" s="17" t="s">
        <v>570</v>
      </c>
      <c r="F79" s="17" t="s">
        <v>573</v>
      </c>
      <c r="G79" s="34">
        <v>2554.0</v>
      </c>
      <c r="H79" s="15" t="s">
        <v>189</v>
      </c>
      <c r="I79" s="15">
        <v>485.0</v>
      </c>
      <c r="J79" s="24" t="str">
        <f t="array" ref="J79">IF($A79="","",IFERROR(_xlfn.XLOOKUP($A79,'Movimentação'!$B$7:$B$1006,'Movimentação'!$E$7:$E$1006,"",0,-1),""))</f>
        <v>MAURO</v>
      </c>
      <c r="K79" s="24" t="str">
        <f t="array" ref="K79">IF($A79="","",IFERROR(_xlfn.XLOOKUP($A79,'Movimentação'!$B$7:$B$1006,'Movimentação'!$G$7:$G$1006,"",0,-1),""))</f>
        <v>JUNIOR</v>
      </c>
      <c r="L79" s="24" t="str">
        <f t="shared" si="3"/>
        <v>EM OBRA</v>
      </c>
      <c r="M79" s="17"/>
      <c r="N79" s="30">
        <f t="array" ref="N79">IF($A79="","",IFERROR(IF(OR($L79="BAIXADO",$L79="FURTADO"),0,INDEX(Listas!$J$2:$J$40,MATCH($B79,Listas!$I$2:$I$40,0))),""))</f>
        <v>300</v>
      </c>
      <c r="P79" s="31" t="str">
        <f t="array" ref="P79">IF($A79="","",IFERROR(_xlfn.XLOOKUP($A79,'Movimentação'!$B$7:$B$1006,'Movimentação'!$F$7:$F$1006,"",0,-1),""))</f>
        <v>TRANSFERÊNCIA</v>
      </c>
      <c r="Q79" s="31">
        <f>IF(COUNTIFS('Manutenção'!$B$7:$B$1006,$A79,'Manutenção'!$H$7:$H$1006,"EM CONSERTO")&gt;0,1,0)</f>
        <v>0</v>
      </c>
    </row>
    <row r="80" ht="15.0" hidden="1" customHeight="1">
      <c r="A80" s="15" t="s">
        <v>574</v>
      </c>
      <c r="B80" s="17" t="s">
        <v>99</v>
      </c>
      <c r="C80" s="17" t="s">
        <v>565</v>
      </c>
      <c r="D80" s="17" t="s">
        <v>566</v>
      </c>
      <c r="E80" s="17" t="s">
        <v>567</v>
      </c>
      <c r="F80" s="17" t="s">
        <v>575</v>
      </c>
      <c r="G80" s="18">
        <v>2554.0</v>
      </c>
      <c r="H80" s="15" t="s">
        <v>47</v>
      </c>
      <c r="I80" s="15"/>
      <c r="J80" s="24" t="str">
        <f t="array" ref="J80">IF($A80="","",IFERROR(_xlfn.XLOOKUP($A80,'Movimentação'!$B$7:$B$1006,'Movimentação'!$E$7:$E$1006,"",0,-1),""))</f>
        <v/>
      </c>
      <c r="K80" s="24" t="str">
        <f t="array" ref="K80">IF($A80="","",IFERROR(_xlfn.XLOOKUP($A80,'Movimentação'!$B$7:$B$1006,'Movimentação'!$G$7:$G$1006,"",0,-1),""))</f>
        <v/>
      </c>
      <c r="L80" s="24" t="str">
        <f t="shared" si="3"/>
        <v>PENDENTE-PROCURAR</v>
      </c>
      <c r="M80" s="17"/>
      <c r="N80" s="30">
        <f t="array" ref="N80">IF($A80="","",IFERROR(IF(OR($L80="BAIXADO",$L80="FURTADO"),0,INDEX(Listas!$J$2:$J$40,MATCH($B80,Listas!$I$2:$I$40,0))),""))</f>
        <v>300</v>
      </c>
      <c r="P80" s="31" t="str">
        <f t="array" ref="P80">IF($A80="","",IFERROR(_xlfn.XLOOKUP($A80,'Movimentação'!$B$7:$B$1006,'Movimentação'!$F$7:$F$1006,"",0,-1),""))</f>
        <v/>
      </c>
      <c r="Q80" s="31">
        <f>IF(COUNTIFS('Manutenção'!$B$7:$B$1006,$A80,'Manutenção'!$H$7:$H$1006,"EM CONSERTO")&gt;0,1,0)</f>
        <v>0</v>
      </c>
    </row>
    <row r="81" ht="15.0" hidden="1" customHeight="1">
      <c r="A81" s="15" t="s">
        <v>576</v>
      </c>
      <c r="B81" s="17" t="s">
        <v>99</v>
      </c>
      <c r="C81" s="17" t="s">
        <v>565</v>
      </c>
      <c r="D81" s="17" t="s">
        <v>566</v>
      </c>
      <c r="E81" s="17" t="s">
        <v>567</v>
      </c>
      <c r="F81" s="17" t="s">
        <v>577</v>
      </c>
      <c r="G81" s="18">
        <v>2554.0</v>
      </c>
      <c r="H81" s="15" t="s">
        <v>47</v>
      </c>
      <c r="I81" s="15">
        <v>9525.0</v>
      </c>
      <c r="J81" s="24" t="str">
        <f t="array" ref="J81">IF($A81="","",IFERROR(_xlfn.XLOOKUP($A81,'Movimentação'!$B$7:$B$1006,'Movimentação'!$E$7:$E$1006,"",0,-1),""))</f>
        <v/>
      </c>
      <c r="K81" s="24" t="str">
        <f t="array" ref="K81">IF($A81="","",IFERROR(_xlfn.XLOOKUP($A81,'Movimentação'!$B$7:$B$1006,'Movimentação'!$G$7:$G$1006,"",0,-1),""))</f>
        <v/>
      </c>
      <c r="L81" s="24" t="str">
        <f t="shared" si="3"/>
        <v>PENDENTE-PROCURAR</v>
      </c>
      <c r="M81" s="17"/>
      <c r="N81" s="30">
        <f t="array" ref="N81">IF($A81="","",IFERROR(IF(OR($L81="BAIXADO",$L81="FURTADO"),0,INDEX(Listas!$J$2:$J$40,MATCH($B81,Listas!$I$2:$I$40,0))),""))</f>
        <v>300</v>
      </c>
      <c r="P81" s="31" t="str">
        <f t="array" ref="P81">IF($A81="","",IFERROR(_xlfn.XLOOKUP($A81,'Movimentação'!$B$7:$B$1006,'Movimentação'!$F$7:$F$1006,"",0,-1),""))</f>
        <v/>
      </c>
      <c r="Q81" s="31">
        <f>IF(COUNTIFS('Manutenção'!$B$7:$B$1006,$A81,'Manutenção'!$H$7:$H$1006,"EM CONSERTO")&gt;0,1,0)</f>
        <v>0</v>
      </c>
    </row>
    <row r="82" ht="15.0" hidden="1" customHeight="1">
      <c r="A82" s="15" t="s">
        <v>172</v>
      </c>
      <c r="B82" s="17" t="s">
        <v>99</v>
      </c>
      <c r="C82" s="17" t="s">
        <v>565</v>
      </c>
      <c r="D82" s="17" t="s">
        <v>569</v>
      </c>
      <c r="E82" s="17" t="s">
        <v>570</v>
      </c>
      <c r="F82" s="17" t="s">
        <v>578</v>
      </c>
      <c r="G82" s="34">
        <v>2554.0</v>
      </c>
      <c r="H82" s="15" t="s">
        <v>189</v>
      </c>
      <c r="I82" s="15">
        <v>697.0</v>
      </c>
      <c r="J82" s="24" t="str">
        <f t="array" ref="J82">IF($A82="","",IFERROR(_xlfn.XLOOKUP($A82,'Movimentação'!$B$7:$B$1006,'Movimentação'!$E$7:$E$1006,"",0,-1),""))</f>
        <v>ANGELICA</v>
      </c>
      <c r="K82" s="24" t="str">
        <f t="array" ref="K82">IF($A82="","",IFERROR(_xlfn.XLOOKUP($A82,'Movimentação'!$B$7:$B$1006,'Movimentação'!$G$7:$G$1006,"",0,-1),""))</f>
        <v>THIAGO</v>
      </c>
      <c r="L82" s="24" t="str">
        <f t="shared" si="3"/>
        <v>EM OBRA</v>
      </c>
      <c r="M82" s="17"/>
      <c r="N82" s="30">
        <f t="array" ref="N82">IF($A82="","",IFERROR(IF(OR($L82="BAIXADO",$L82="FURTADO"),0,INDEX(Listas!$J$2:$J$40,MATCH($B82,Listas!$I$2:$I$40,0))),""))</f>
        <v>300</v>
      </c>
      <c r="P82" s="31" t="str">
        <f t="array" ref="P82">IF($A82="","",IFERROR(_xlfn.XLOOKUP($A82,'Movimentação'!$B$7:$B$1006,'Movimentação'!$F$7:$F$1006,"",0,-1),""))</f>
        <v>TRANSFERÊNCIA</v>
      </c>
      <c r="Q82" s="31">
        <f>IF(COUNTIFS('Manutenção'!$B$7:$B$1006,$A82,'Manutenção'!$H$7:$H$1006,"EM CONSERTO")&gt;0,1,0)</f>
        <v>0</v>
      </c>
    </row>
    <row r="83" ht="15.0" hidden="1" customHeight="1">
      <c r="A83" s="15" t="s">
        <v>143</v>
      </c>
      <c r="B83" s="17" t="s">
        <v>99</v>
      </c>
      <c r="C83" s="17" t="s">
        <v>565</v>
      </c>
      <c r="D83" s="17" t="s">
        <v>566</v>
      </c>
      <c r="E83" s="17" t="s">
        <v>567</v>
      </c>
      <c r="F83" s="17" t="s">
        <v>579</v>
      </c>
      <c r="G83" s="18">
        <v>2517.47</v>
      </c>
      <c r="H83" s="15" t="s">
        <v>47</v>
      </c>
      <c r="I83" s="15">
        <v>8869.0</v>
      </c>
      <c r="J83" s="24" t="str">
        <f t="array" ref="J83">IF($A83="","",IFERROR(_xlfn.XLOOKUP($A83,'Movimentação'!$B$7:$B$1006,'Movimentação'!$E$7:$E$1006,"",0,-1),""))</f>
        <v>ORIÇANGA</v>
      </c>
      <c r="K83" s="24" t="s">
        <v>472</v>
      </c>
      <c r="L83" s="24" t="str">
        <f t="shared" si="3"/>
        <v>EM OBRA</v>
      </c>
      <c r="M83" s="17"/>
      <c r="N83" s="30">
        <f t="array" ref="N83">IF($A83="","",IFERROR(IF(OR($L83="BAIXADO",$L83="FURTADO"),0,INDEX(Listas!$J$2:$J$40,MATCH($B83,Listas!$I$2:$I$40,0))),""))</f>
        <v>300</v>
      </c>
      <c r="P83" s="31" t="str">
        <f t="array" ref="P83">IF($A83="","",IFERROR(_xlfn.XLOOKUP($A83,'Movimentação'!$B$7:$B$1006,'Movimentação'!$F$7:$F$1006,"",0,-1),""))</f>
        <v>ENTRADA (NOVA)</v>
      </c>
      <c r="Q83" s="31">
        <f>IF(COUNTIFS('Manutenção'!$B$7:$B$1006,$A83,'Manutenção'!$H$7:$H$1006,"EM CONSERTO")&gt;0,1,0)</f>
        <v>0</v>
      </c>
    </row>
    <row r="84" ht="15.0" hidden="1" customHeight="1">
      <c r="A84" s="15" t="s">
        <v>268</v>
      </c>
      <c r="B84" s="17" t="s">
        <v>99</v>
      </c>
      <c r="C84" s="17" t="s">
        <v>565</v>
      </c>
      <c r="D84" s="17" t="s">
        <v>569</v>
      </c>
      <c r="E84" s="17" t="s">
        <v>570</v>
      </c>
      <c r="F84" s="17" t="s">
        <v>580</v>
      </c>
      <c r="G84" s="34">
        <v>2554.0</v>
      </c>
      <c r="H84" s="15" t="s">
        <v>189</v>
      </c>
      <c r="I84" s="15">
        <v>314.0</v>
      </c>
      <c r="J84" s="24" t="str">
        <f t="array" ref="J84">IF($A84="","",IFERROR(_xlfn.XLOOKUP($A84,'Movimentação'!$B$7:$B$1006,'Movimentação'!$E$7:$E$1006,"",0,-1),""))</f>
        <v>SAMPA CONSOLAÇÃO</v>
      </c>
      <c r="K84" s="49" t="s">
        <v>423</v>
      </c>
      <c r="L84" s="24" t="str">
        <f t="shared" si="3"/>
        <v>EM OBRA</v>
      </c>
      <c r="M84" s="17"/>
      <c r="N84" s="30">
        <f t="array" ref="N84">IF($A84="","",IFERROR(IF(OR($L84="BAIXADO",$L84="FURTADO"),0,INDEX(Listas!$J$2:$J$40,MATCH($B84,Listas!$I$2:$I$40,0))),""))</f>
        <v>300</v>
      </c>
      <c r="P84" s="31" t="str">
        <f t="array" ref="P84">IF($A84="","",IFERROR(_xlfn.XLOOKUP($A84,'Movimentação'!$B$7:$B$1006,'Movimentação'!$F$7:$F$1006,"",0,-1),""))</f>
        <v>TRANSFERÊNCIA</v>
      </c>
      <c r="Q84" s="31">
        <f>IF(COUNTIFS('Manutenção'!$B$7:$B$1006,$A84,'Manutenção'!$H$7:$H$1006,"EM CONSERTO")&gt;0,1,0)</f>
        <v>0</v>
      </c>
    </row>
    <row r="85" ht="15.0" hidden="1" customHeight="1">
      <c r="A85" s="15" t="s">
        <v>263</v>
      </c>
      <c r="B85" s="17" t="s">
        <v>99</v>
      </c>
      <c r="C85" s="17" t="s">
        <v>565</v>
      </c>
      <c r="D85" s="17" t="s">
        <v>566</v>
      </c>
      <c r="E85" s="17" t="s">
        <v>567</v>
      </c>
      <c r="F85" s="17" t="s">
        <v>581</v>
      </c>
      <c r="G85" s="18">
        <v>2554.0</v>
      </c>
      <c r="H85" s="15" t="s">
        <v>47</v>
      </c>
      <c r="I85" s="15">
        <v>9980.0</v>
      </c>
      <c r="J85" s="24" t="str">
        <f t="array" ref="J85">IF($A85="","",IFERROR(_xlfn.XLOOKUP($A85,'Movimentação'!$B$7:$B$1006,'Movimentação'!$E$7:$E$1006,"",0,-1),""))</f>
        <v>PJM</v>
      </c>
      <c r="K85" s="49" t="s">
        <v>473</v>
      </c>
      <c r="L85" s="24" t="str">
        <f t="shared" si="3"/>
        <v>EM OBRA</v>
      </c>
      <c r="M85" s="17"/>
      <c r="N85" s="30">
        <f t="array" ref="N85">IF($A85="","",IFERROR(IF(OR($L85="BAIXADO",$L85="FURTADO"),0,INDEX(Listas!$J$2:$J$40,MATCH($B85,Listas!$I$2:$I$40,0))),""))</f>
        <v>300</v>
      </c>
      <c r="P85" s="31" t="str">
        <f t="array" ref="P85">IF($A85="","",IFERROR(_xlfn.XLOOKUP($A85,'Movimentação'!$B$7:$B$1006,'Movimentação'!$F$7:$F$1006,"",0,-1),""))</f>
        <v>TRANSFERÊNCIA</v>
      </c>
      <c r="Q85" s="31">
        <f>IF(COUNTIFS('Manutenção'!$B$7:$B$1006,$A85,'Manutenção'!$H$7:$H$1006,"EM CONSERTO")&gt;0,1,0)</f>
        <v>0</v>
      </c>
    </row>
    <row r="86" ht="15.0" hidden="1" customHeight="1">
      <c r="A86" s="15" t="s">
        <v>262</v>
      </c>
      <c r="B86" s="17" t="s">
        <v>99</v>
      </c>
      <c r="C86" s="17" t="s">
        <v>565</v>
      </c>
      <c r="D86" s="17" t="s">
        <v>566</v>
      </c>
      <c r="E86" s="17" t="s">
        <v>567</v>
      </c>
      <c r="F86" s="17" t="s">
        <v>582</v>
      </c>
      <c r="G86" s="18">
        <v>2517.47</v>
      </c>
      <c r="H86" s="15" t="s">
        <v>47</v>
      </c>
      <c r="I86" s="15">
        <v>9525.0</v>
      </c>
      <c r="J86" s="24" t="str">
        <f t="array" ref="J86">IF($A86="","",IFERROR(_xlfn.XLOOKUP($A86,'Movimentação'!$B$7:$B$1006,'Movimentação'!$E$7:$E$1006,"",0,-1),""))</f>
        <v>SAMPA CONSOLAÇÃO</v>
      </c>
      <c r="K86" s="49" t="s">
        <v>423</v>
      </c>
      <c r="L86" s="24" t="str">
        <f t="shared" si="3"/>
        <v>EM OBRA</v>
      </c>
      <c r="M86" s="17"/>
      <c r="N86" s="30">
        <f t="array" ref="N86">IF($A86="","",IFERROR(IF(OR($L86="BAIXADO",$L86="FURTADO"),0,INDEX(Listas!$J$2:$J$40,MATCH($B86,Listas!$I$2:$I$40,0))),""))</f>
        <v>300</v>
      </c>
      <c r="P86" s="31" t="str">
        <f t="array" ref="P86">IF($A86="","",IFERROR(_xlfn.XLOOKUP($A86,'Movimentação'!$B$7:$B$1006,'Movimentação'!$F$7:$F$1006,"",0,-1),""))</f>
        <v>ENTRADA (NOVA)</v>
      </c>
      <c r="Q86" s="31">
        <f>IF(COUNTIFS('Manutenção'!$B$7:$B$1006,$A86,'Manutenção'!$H$7:$H$1006,"EM CONSERTO")&gt;0,1,0)</f>
        <v>0</v>
      </c>
    </row>
    <row r="87" ht="15.0" hidden="1" customHeight="1">
      <c r="A87" s="15" t="s">
        <v>146</v>
      </c>
      <c r="B87" s="17" t="s">
        <v>99</v>
      </c>
      <c r="C87" s="17" t="s">
        <v>565</v>
      </c>
      <c r="D87" s="17" t="s">
        <v>583</v>
      </c>
      <c r="E87" s="17" t="s">
        <v>583</v>
      </c>
      <c r="F87" s="17">
        <v>28382.0</v>
      </c>
      <c r="G87" s="34">
        <v>2554.0</v>
      </c>
      <c r="H87" s="15" t="s">
        <v>189</v>
      </c>
      <c r="I87" s="15"/>
      <c r="J87" s="24" t="str">
        <f t="array" ref="J87">IF($A87="","",IFERROR(_xlfn.XLOOKUP($A87,'Movimentação'!$B$7:$B$1006,'Movimentação'!$E$7:$E$1006,"",0,-1),""))</f>
        <v>MANUTENÇÃO</v>
      </c>
      <c r="K87" s="24" t="str">
        <f t="array" ref="K87">IF($A87="","",IFERROR(_xlfn.XLOOKUP($A87,'Movimentação'!$B$7:$B$1006,'Movimentação'!$G$7:$G$1006,"",0,-1),""))</f>
        <v>LAÉRCIO</v>
      </c>
      <c r="L87" s="24" t="str">
        <f t="shared" si="3"/>
        <v>MANUTENÇÃO</v>
      </c>
      <c r="M87" s="17"/>
      <c r="N87" s="30">
        <f t="array" ref="N87">IF($A87="","",IFERROR(IF(OR($L87="BAIXADO",$L87="FURTADO"),0,INDEX(Listas!$J$2:$J$40,MATCH($B87,Listas!$I$2:$I$40,0))),""))</f>
        <v>300</v>
      </c>
      <c r="P87" s="31" t="str">
        <f t="array" ref="P87">IF($A87="","",IFERROR(_xlfn.XLOOKUP($A87,'Movimentação'!$B$7:$B$1006,'Movimentação'!$F$7:$F$1006,"",0,-1),""))</f>
        <v>ENVIO P/ MANUTENÇÃO</v>
      </c>
      <c r="Q87" s="31">
        <f>IF(COUNTIFS('Manutenção'!$B$7:$B$1006,$A87,'Manutenção'!$H$7:$H$1006,"EM CONSERTO")&gt;0,1,0)</f>
        <v>1</v>
      </c>
    </row>
    <row r="88" ht="15.0" hidden="1" customHeight="1">
      <c r="A88" s="15" t="s">
        <v>269</v>
      </c>
      <c r="B88" s="17" t="s">
        <v>103</v>
      </c>
      <c r="C88" s="17" t="s">
        <v>584</v>
      </c>
      <c r="D88" s="17" t="s">
        <v>585</v>
      </c>
      <c r="E88" s="17" t="s">
        <v>586</v>
      </c>
      <c r="F88" s="17" t="s">
        <v>587</v>
      </c>
      <c r="G88" s="18">
        <v>449.66</v>
      </c>
      <c r="H88" s="15" t="s">
        <v>47</v>
      </c>
      <c r="I88" s="15">
        <v>1051559.0</v>
      </c>
      <c r="J88" s="24" t="str">
        <f t="array" ref="J88">IF($A88="","",IFERROR(_xlfn.XLOOKUP($A88,'Movimentação'!$B$7:$B$1006,'Movimentação'!$E$7:$E$1006,"",0,-1),""))</f>
        <v>MAURO</v>
      </c>
      <c r="K88" s="49" t="s">
        <v>412</v>
      </c>
      <c r="L88" s="24" t="str">
        <f t="shared" si="3"/>
        <v>EM OBRA</v>
      </c>
      <c r="M88" s="17"/>
      <c r="N88" s="30">
        <f t="array" ref="N88">IF($A88="","",IFERROR(IF(OR($L88="BAIXADO",$L88="FURTADO"),0,INDEX(Listas!$J$2:$J$40,MATCH($B88,Listas!$I$2:$I$40,0))),""))</f>
        <v>50</v>
      </c>
      <c r="P88" s="31" t="str">
        <f t="array" ref="P88">IF($A88="","",IFERROR(_xlfn.XLOOKUP($A88,'Movimentação'!$B$7:$B$1006,'Movimentação'!$F$7:$F$1006,"",0,-1),""))</f>
        <v>ENTRADA (NOVA)</v>
      </c>
      <c r="Q88" s="31">
        <f>IF(COUNTIFS('Manutenção'!$B$7:$B$1006,$A88,'Manutenção'!$H$7:$H$1006,"EM CONSERTO")&gt;0,1,0)</f>
        <v>0</v>
      </c>
    </row>
    <row r="89" ht="15.0" hidden="1" customHeight="1">
      <c r="A89" s="15" t="s">
        <v>273</v>
      </c>
      <c r="B89" s="17" t="s">
        <v>103</v>
      </c>
      <c r="C89" s="17" t="s">
        <v>584</v>
      </c>
      <c r="D89" s="17" t="s">
        <v>588</v>
      </c>
      <c r="E89" s="17"/>
      <c r="F89" s="17" t="s">
        <v>588</v>
      </c>
      <c r="G89" s="18">
        <v>800.0</v>
      </c>
      <c r="H89" s="15" t="s">
        <v>47</v>
      </c>
      <c r="I89" s="15" t="s">
        <v>589</v>
      </c>
      <c r="J89" s="24" t="str">
        <f t="array" ref="J89">IF($A89="","",IFERROR(_xlfn.XLOOKUP($A89,'Movimentação'!$B$7:$B$1006,'Movimentação'!$E$7:$E$1006,"",0,-1),""))</f>
        <v>PJM</v>
      </c>
      <c r="K89" s="49" t="s">
        <v>473</v>
      </c>
      <c r="L89" s="24" t="str">
        <f t="shared" si="3"/>
        <v>EM OBRA</v>
      </c>
      <c r="M89" s="17"/>
      <c r="N89" s="30">
        <f t="array" ref="N89">IF($A89="","",IFERROR(IF(OR($L89="BAIXADO",$L89="FURTADO"),0,INDEX(Listas!$J$2:$J$40,MATCH($B89,Listas!$I$2:$I$40,0))),""))</f>
        <v>50</v>
      </c>
      <c r="P89" s="31" t="str">
        <f t="array" ref="P89">IF($A89="","",IFERROR(_xlfn.XLOOKUP($A89,'Movimentação'!$B$7:$B$1006,'Movimentação'!$F$7:$F$1006,"",0,-1),""))</f>
        <v>TRANSFERÊNCIA</v>
      </c>
      <c r="Q89" s="31">
        <f>IF(COUNTIFS('Manutenção'!$B$7:$B$1006,$A89,'Manutenção'!$H$7:$H$1006,"EM CONSERTO")&gt;0,1,0)</f>
        <v>0</v>
      </c>
    </row>
    <row r="90" ht="15.0" customHeight="1">
      <c r="A90" s="15" t="s">
        <v>274</v>
      </c>
      <c r="B90" s="17" t="s">
        <v>105</v>
      </c>
      <c r="C90" s="17" t="s">
        <v>590</v>
      </c>
      <c r="D90" s="17" t="s">
        <v>591</v>
      </c>
      <c r="E90" s="17"/>
      <c r="F90" s="17" t="s">
        <v>592</v>
      </c>
      <c r="G90" s="18">
        <v>1220.0</v>
      </c>
      <c r="H90" s="15" t="s">
        <v>47</v>
      </c>
      <c r="I90" s="15"/>
      <c r="J90" s="24" t="str">
        <f t="array" ref="J90">IF($A90="","",IFERROR(_xlfn.XLOOKUP($A90,'Movimentação'!$B$7:$B$1006,'Movimentação'!$E$7:$E$1006,"",0,-1),""))</f>
        <v>ALPHA ONE</v>
      </c>
      <c r="K90" s="24" t="str">
        <f t="array" ref="K90">IF($A90="","",IFERROR(_xlfn.XLOOKUP($A90,'Movimentação'!$B$7:$B$1006,'Movimentação'!$G$7:$G$1006,"",0,-1),""))</f>
        <v>EICES</v>
      </c>
      <c r="L90" s="24" t="str">
        <f t="shared" si="3"/>
        <v>BAIXADO</v>
      </c>
      <c r="M90" s="17"/>
      <c r="N90" s="30">
        <f t="array" ref="N90">IF($A90="","",IFERROR(IF(OR($L90="BAIXADO",$L90="FURTADO"),0,INDEX(Listas!$J$2:$J$40,MATCH($B90,Listas!$I$2:$I$40,0))),""))</f>
        <v>0</v>
      </c>
      <c r="P90" s="31" t="str">
        <f t="array" ref="P90">IF($A90="","",IFERROR(_xlfn.XLOOKUP($A90,'Movimentação'!$B$7:$B$1006,'Movimentação'!$F$7:$F$1006,"",0,-1),""))</f>
        <v>BAIXA</v>
      </c>
      <c r="Q90" s="31">
        <f>IF(COUNTIFS('Manutenção'!$B$7:$B$1006,$A90,'Manutenção'!$H$7:$H$1006,"EM CONSERTO")&gt;0,1,0)</f>
        <v>0</v>
      </c>
    </row>
    <row r="91" ht="15.0" customHeight="1">
      <c r="A91" s="15" t="s">
        <v>276</v>
      </c>
      <c r="B91" s="17" t="s">
        <v>105</v>
      </c>
      <c r="C91" s="17" t="s">
        <v>590</v>
      </c>
      <c r="D91" s="17" t="s">
        <v>593</v>
      </c>
      <c r="E91" s="17" t="s">
        <v>594</v>
      </c>
      <c r="F91" s="17" t="s">
        <v>595</v>
      </c>
      <c r="G91" s="18">
        <v>963.8</v>
      </c>
      <c r="H91" s="15" t="s">
        <v>47</v>
      </c>
      <c r="I91" s="15"/>
      <c r="J91" s="24" t="str">
        <f t="array" ref="J91">IF($A91="","",IFERROR(_xlfn.XLOOKUP($A91,'Movimentação'!$B$7:$B$1006,'Movimentação'!$E$7:$E$1006,"",0,-1),""))</f>
        <v>ASSISTENCIA TECNICA</v>
      </c>
      <c r="K91" s="24" t="str">
        <f t="array" ref="K91">IF($A91="","",IFERROR(_xlfn.XLOOKUP($A91,'Movimentação'!$B$7:$B$1006,'Movimentação'!$G$7:$G$1006,"",0,-1),""))</f>
        <v>LAÉRCIO</v>
      </c>
      <c r="L91" s="24" t="str">
        <f t="shared" si="3"/>
        <v>BAIXADO</v>
      </c>
      <c r="M91" s="17"/>
      <c r="N91" s="30">
        <f t="array" ref="N91">IF($A91="","",IFERROR(IF(OR($L91="BAIXADO",$L91="FURTADO"),0,INDEX(Listas!$J$2:$J$40,MATCH($B91,Listas!$I$2:$I$40,0))),""))</f>
        <v>0</v>
      </c>
      <c r="P91" s="31" t="str">
        <f t="array" ref="P91">IF($A91="","",IFERROR(_xlfn.XLOOKUP($A91,'Movimentação'!$B$7:$B$1006,'Movimentação'!$F$7:$F$1006,"",0,-1),""))</f>
        <v>BAIXA</v>
      </c>
      <c r="Q91" s="31">
        <f>IF(COUNTIFS('Manutenção'!$B$7:$B$1006,$A91,'Manutenção'!$H$7:$H$1006,"EM CONSERTO")&gt;0,1,0)</f>
        <v>0</v>
      </c>
    </row>
    <row r="92" ht="15.0" customHeight="1">
      <c r="A92" s="15" t="s">
        <v>278</v>
      </c>
      <c r="B92" s="17" t="s">
        <v>105</v>
      </c>
      <c r="C92" s="17" t="s">
        <v>590</v>
      </c>
      <c r="D92" s="17" t="s">
        <v>593</v>
      </c>
      <c r="E92" s="17" t="s">
        <v>594</v>
      </c>
      <c r="F92" s="17" t="s">
        <v>596</v>
      </c>
      <c r="G92" s="18">
        <v>919.28</v>
      </c>
      <c r="H92" s="15" t="s">
        <v>47</v>
      </c>
      <c r="I92" s="15">
        <v>30789.0</v>
      </c>
      <c r="J92" s="24" t="str">
        <f t="array" ref="J92">IF($A92="","",IFERROR(_xlfn.XLOOKUP($A92,'Movimentação'!$B$7:$B$1006,'Movimentação'!$E$7:$E$1006,"",0,-1),""))</f>
        <v>MAURO</v>
      </c>
      <c r="K92" s="49" t="s">
        <v>412</v>
      </c>
      <c r="L92" s="24" t="str">
        <f t="shared" si="3"/>
        <v>EM OBRA</v>
      </c>
      <c r="M92" s="17"/>
      <c r="N92" s="30">
        <f t="array" ref="N92">IF($A92="","",IFERROR(IF(OR($L92="BAIXADO",$L92="FURTADO"),0,INDEX(Listas!$J$2:$J$40,MATCH($B92,Listas!$I$2:$I$40,0))),""))</f>
        <v>200</v>
      </c>
      <c r="P92" s="31" t="str">
        <f t="array" ref="P92">IF($A92="","",IFERROR(_xlfn.XLOOKUP($A92,'Movimentação'!$B$7:$B$1006,'Movimentação'!$F$7:$F$1006,"",0,-1),""))</f>
        <v>TRANSFERÊNCIA</v>
      </c>
      <c r="Q92" s="31">
        <f>IF(COUNTIFS('Manutenção'!$B$7:$B$1006,$A92,'Manutenção'!$H$7:$H$1006,"EM CONSERTO")&gt;0,1,0)</f>
        <v>0</v>
      </c>
    </row>
    <row r="93" ht="15.0" customHeight="1">
      <c r="A93" s="15" t="s">
        <v>153</v>
      </c>
      <c r="B93" s="17" t="s">
        <v>105</v>
      </c>
      <c r="C93" s="17" t="s">
        <v>590</v>
      </c>
      <c r="D93" s="17" t="s">
        <v>593</v>
      </c>
      <c r="E93" s="17" t="s">
        <v>597</v>
      </c>
      <c r="F93" s="17" t="s">
        <v>598</v>
      </c>
      <c r="G93" s="18">
        <v>674.6</v>
      </c>
      <c r="H93" s="15" t="s">
        <v>47</v>
      </c>
      <c r="I93" s="15">
        <v>30789.0</v>
      </c>
      <c r="J93" s="24" t="str">
        <f t="array" ref="J93">IF($A93="","",IFERROR(_xlfn.XLOOKUP($A93,'Movimentação'!$B$7:$B$1006,'Movimentação'!$E$7:$E$1006,"",0,-1),""))</f>
        <v>SAMPA CONSOLAÇÃO</v>
      </c>
      <c r="K93" s="49" t="s">
        <v>423</v>
      </c>
      <c r="L93" s="24" t="str">
        <f t="shared" si="3"/>
        <v>EM OBRA</v>
      </c>
      <c r="M93" s="17"/>
      <c r="N93" s="30">
        <f t="array" ref="N93">IF($A93="","",IFERROR(IF(OR($L93="BAIXADO",$L93="FURTADO"),0,INDEX(Listas!$J$2:$J$40,MATCH($B93,Listas!$I$2:$I$40,0))),""))</f>
        <v>200</v>
      </c>
      <c r="P93" s="31" t="str">
        <f t="array" ref="P93">IF($A93="","",IFERROR(_xlfn.XLOOKUP($A93,'Movimentação'!$B$7:$B$1006,'Movimentação'!$F$7:$F$1006,"",0,-1),""))</f>
        <v>ENTRADA (NOVA)</v>
      </c>
      <c r="Q93" s="31">
        <f>IF(COUNTIFS('Manutenção'!$B$7:$B$1006,$A93,'Manutenção'!$H$7:$H$1006,"EM CONSERTO")&gt;0,1,0)</f>
        <v>0</v>
      </c>
    </row>
    <row r="94" ht="15.0" customHeight="1">
      <c r="A94" s="15" t="s">
        <v>280</v>
      </c>
      <c r="B94" s="17" t="s">
        <v>105</v>
      </c>
      <c r="C94" s="17" t="s">
        <v>590</v>
      </c>
      <c r="D94" s="17" t="s">
        <v>593</v>
      </c>
      <c r="E94" s="17" t="s">
        <v>597</v>
      </c>
      <c r="F94" s="17" t="s">
        <v>599</v>
      </c>
      <c r="G94" s="18">
        <v>674.6</v>
      </c>
      <c r="H94" s="15" t="s">
        <v>47</v>
      </c>
      <c r="I94" s="15"/>
      <c r="J94" s="24" t="str">
        <f t="array" ref="J94">IF($A94="","",IFERROR(_xlfn.XLOOKUP($A94,'Movimentação'!$B$7:$B$1006,'Movimentação'!$E$7:$E$1006,"",0,-1),""))</f>
        <v>TANABI</v>
      </c>
      <c r="K94" s="49" t="s">
        <v>473</v>
      </c>
      <c r="L94" s="24" t="str">
        <f t="shared" si="3"/>
        <v>EM OBRA</v>
      </c>
      <c r="M94" s="17"/>
      <c r="N94" s="30">
        <f t="array" ref="N94">IF($A94="","",IFERROR(IF(OR($L94="BAIXADO",$L94="FURTADO"),0,INDEX(Listas!$J$2:$J$40,MATCH($B94,Listas!$I$2:$I$40,0))),""))</f>
        <v>200</v>
      </c>
      <c r="P94" s="31" t="str">
        <f t="array" ref="P94">IF($A94="","",IFERROR(_xlfn.XLOOKUP($A94,'Movimentação'!$B$7:$B$1006,'Movimentação'!$F$7:$F$1006,"",0,-1),""))</f>
        <v>TRANSFERÊNCIA</v>
      </c>
      <c r="Q94" s="31">
        <f>IF(COUNTIFS('Manutenção'!$B$7:$B$1006,$A94,'Manutenção'!$H$7:$H$1006,"EM CONSERTO")&gt;0,1,0)</f>
        <v>0</v>
      </c>
    </row>
    <row r="95" ht="15.0" customHeight="1">
      <c r="A95" s="15" t="s">
        <v>157</v>
      </c>
      <c r="B95" s="17" t="s">
        <v>105</v>
      </c>
      <c r="C95" s="17" t="s">
        <v>590</v>
      </c>
      <c r="D95" s="17" t="s">
        <v>593</v>
      </c>
      <c r="E95" s="17" t="s">
        <v>597</v>
      </c>
      <c r="F95" s="17"/>
      <c r="G95" s="18">
        <v>674.6</v>
      </c>
      <c r="H95" s="15" t="s">
        <v>47</v>
      </c>
      <c r="I95" s="15"/>
      <c r="J95" s="24" t="str">
        <f t="array" ref="J95">IF($A95="","",IFERROR(_xlfn.XLOOKUP($A95,'Movimentação'!$B$7:$B$1006,'Movimentação'!$E$7:$E$1006,"",0,-1),""))</f>
        <v>ASSISTENCIA TECNICA</v>
      </c>
      <c r="K95" s="49" t="s">
        <v>423</v>
      </c>
      <c r="L95" s="24" t="str">
        <f t="shared" si="3"/>
        <v>BAIXADO</v>
      </c>
      <c r="M95" s="17"/>
      <c r="N95" s="30">
        <f t="array" ref="N95">IF($A95="","",IFERROR(IF(OR($L95="BAIXADO",$L95="FURTADO"),0,INDEX(Listas!$J$2:$J$40,MATCH($B95,Listas!$I$2:$I$40,0))),""))</f>
        <v>0</v>
      </c>
      <c r="P95" s="31" t="str">
        <f t="array" ref="P95">IF($A95="","",IFERROR(_xlfn.XLOOKUP($A95,'Movimentação'!$B$7:$B$1006,'Movimentação'!$F$7:$F$1006,"",0,-1),""))</f>
        <v>BAIXA</v>
      </c>
      <c r="Q95" s="31">
        <f>IF(COUNTIFS('Manutenção'!$B$7:$B$1006,$A95,'Manutenção'!$H$7:$H$1006,"EM CONSERTO")&gt;0,1,0)</f>
        <v>0</v>
      </c>
    </row>
    <row r="96" ht="15.0" hidden="1" customHeight="1">
      <c r="A96" s="15" t="s">
        <v>600</v>
      </c>
      <c r="B96" s="17" t="s">
        <v>107</v>
      </c>
      <c r="C96" s="17" t="s">
        <v>601</v>
      </c>
      <c r="D96" s="17" t="s">
        <v>602</v>
      </c>
      <c r="E96" s="17"/>
      <c r="F96" s="17" t="s">
        <v>603</v>
      </c>
      <c r="G96" s="18">
        <v>285.9</v>
      </c>
      <c r="H96" s="15" t="s">
        <v>47</v>
      </c>
      <c r="I96" s="15"/>
      <c r="J96" s="24" t="str">
        <f t="array" ref="J96">IF($A96="","",IFERROR(_xlfn.XLOOKUP($A96,'Movimentação'!$B$7:$B$1006,'Movimentação'!$E$7:$E$1006,"",0,-1),""))</f>
        <v/>
      </c>
      <c r="K96" s="24" t="str">
        <f t="array" ref="K96">IF($A96="","",IFERROR(_xlfn.XLOOKUP($A96,'Movimentação'!$B$7:$B$1006,'Movimentação'!$G$7:$G$1006,"",0,-1),""))</f>
        <v/>
      </c>
      <c r="L96" s="24" t="str">
        <f t="shared" si="3"/>
        <v>PENDENTE-PROCURAR</v>
      </c>
      <c r="M96" s="17"/>
      <c r="N96" s="30">
        <f t="array" ref="N96">IF($A96="","",IFERROR(IF(OR($L96="BAIXADO",$L96="FURTADO"),0,INDEX(Listas!$J$2:$J$40,MATCH($B96,Listas!$I$2:$I$40,0))),""))</f>
        <v>100</v>
      </c>
      <c r="P96" s="31" t="str">
        <f t="array" ref="P96">IF($A96="","",IFERROR(_xlfn.XLOOKUP($A96,'Movimentação'!$B$7:$B$1006,'Movimentação'!$F$7:$F$1006,"",0,-1),""))</f>
        <v/>
      </c>
      <c r="Q96" s="31">
        <f>IF(COUNTIFS('Manutenção'!$B$7:$B$1006,$A96,'Manutenção'!$H$7:$H$1006,"EM CONSERTO")&gt;0,1,0)</f>
        <v>0</v>
      </c>
    </row>
    <row r="97" ht="15.0" hidden="1" customHeight="1">
      <c r="A97" s="15" t="s">
        <v>281</v>
      </c>
      <c r="B97" s="17" t="s">
        <v>107</v>
      </c>
      <c r="C97" s="17" t="s">
        <v>601</v>
      </c>
      <c r="D97" s="17" t="s">
        <v>602</v>
      </c>
      <c r="E97" s="17"/>
      <c r="F97" s="17" t="s">
        <v>603</v>
      </c>
      <c r="G97" s="18">
        <v>285.9</v>
      </c>
      <c r="H97" s="15" t="s">
        <v>47</v>
      </c>
      <c r="I97" s="15"/>
      <c r="J97" s="24" t="str">
        <f t="array" ref="J97">IF($A97="","",IFERROR(_xlfn.XLOOKUP($A97,'Movimentação'!$B$7:$B$1006,'Movimentação'!$E$7:$E$1006,"",0,-1),""))</f>
        <v>PJM</v>
      </c>
      <c r="K97" s="24" t="str">
        <f t="array" ref="K97">IF($A97="","",IFERROR(_xlfn.XLOOKUP($A97,'Movimentação'!$B$7:$B$1006,'Movimentação'!$G$7:$G$1006,"",0,-1),""))</f>
        <v>CAMILA</v>
      </c>
      <c r="L97" s="24" t="str">
        <f t="shared" si="3"/>
        <v>EM OBRA</v>
      </c>
      <c r="M97" s="17"/>
      <c r="N97" s="30">
        <f t="array" ref="N97">IF($A97="","",IFERROR(IF(OR($L97="BAIXADO",$L97="FURTADO"),0,INDEX(Listas!$J$2:$J$40,MATCH($B97,Listas!$I$2:$I$40,0))),""))</f>
        <v>100</v>
      </c>
      <c r="P97" s="31" t="str">
        <f t="array" ref="P97">IF($A97="","",IFERROR(_xlfn.XLOOKUP($A97,'Movimentação'!$B$7:$B$1006,'Movimentação'!$F$7:$F$1006,"",0,-1),""))</f>
        <v>TRANSFERÊNCIA</v>
      </c>
      <c r="Q97" s="31">
        <f>IF(COUNTIFS('Manutenção'!$B$7:$B$1006,$A97,'Manutenção'!$H$7:$H$1006,"EM CONSERTO")&gt;0,1,0)</f>
        <v>0</v>
      </c>
    </row>
    <row r="98" ht="15.0" hidden="1" customHeight="1">
      <c r="A98" s="15" t="s">
        <v>282</v>
      </c>
      <c r="B98" s="17" t="s">
        <v>109</v>
      </c>
      <c r="C98" s="17" t="s">
        <v>604</v>
      </c>
      <c r="D98" s="17" t="s">
        <v>605</v>
      </c>
      <c r="E98" s="17" t="s">
        <v>606</v>
      </c>
      <c r="F98" s="17"/>
      <c r="G98" s="18">
        <v>1601.43</v>
      </c>
      <c r="H98" s="15" t="s">
        <v>47</v>
      </c>
      <c r="I98" s="15">
        <v>65016.0</v>
      </c>
      <c r="J98" s="24" t="str">
        <f t="array" ref="J98">IF($A98="","",IFERROR(_xlfn.XLOOKUP($A98,'Movimentação'!$B$7:$B$1006,'Movimentação'!$E$7:$E$1006,"",0,-1),""))</f>
        <v>BALTAZAR</v>
      </c>
      <c r="K98" s="49" t="s">
        <v>530</v>
      </c>
      <c r="L98" s="24" t="str">
        <f t="shared" si="3"/>
        <v>EM OBRA</v>
      </c>
      <c r="M98" s="17"/>
      <c r="N98" s="30">
        <f t="array" ref="N98">IF($A98="","",IFERROR(IF(OR($L98="BAIXADO",$L98="FURTADO"),0,INDEX(Listas!$J$2:$J$40,MATCH($B98,Listas!$I$2:$I$40,0))),""))</f>
        <v>300</v>
      </c>
      <c r="P98" s="31" t="str">
        <f t="array" ref="P98">IF($A98="","",IFERROR(_xlfn.XLOOKUP($A98,'Movimentação'!$B$7:$B$1006,'Movimentação'!$F$7:$F$1006,"",0,-1),""))</f>
        <v>ENTRADA (NOVA)</v>
      </c>
      <c r="Q98" s="31">
        <f>IF(COUNTIFS('Manutenção'!$B$7:$B$1006,$A98,'Manutenção'!$H$7:$H$1006,"EM CONSERTO")&gt;0,1,0)</f>
        <v>0</v>
      </c>
    </row>
    <row r="99" ht="15.0" hidden="1" customHeight="1">
      <c r="A99" s="15" t="s">
        <v>283</v>
      </c>
      <c r="B99" s="17" t="s">
        <v>109</v>
      </c>
      <c r="C99" s="17" t="s">
        <v>604</v>
      </c>
      <c r="D99" s="17" t="s">
        <v>605</v>
      </c>
      <c r="E99" s="17" t="s">
        <v>606</v>
      </c>
      <c r="F99" s="17"/>
      <c r="G99" s="18">
        <v>1735.22</v>
      </c>
      <c r="H99" s="15" t="s">
        <v>47</v>
      </c>
      <c r="I99" s="15">
        <v>25756.0</v>
      </c>
      <c r="J99" s="24" t="str">
        <f t="array" ref="J99">IF($A99="","",IFERROR(_xlfn.XLOOKUP($A99,'Movimentação'!$B$7:$B$1006,'Movimentação'!$E$7:$E$1006,"",0,-1),""))</f>
        <v>ESCRITÓRIO</v>
      </c>
      <c r="K99" s="49" t="s">
        <v>530</v>
      </c>
      <c r="L99" s="24" t="str">
        <f t="shared" si="3"/>
        <v>EM OBRA</v>
      </c>
      <c r="M99" s="17"/>
      <c r="N99" s="30">
        <f t="array" ref="N99">IF($A99="","",IFERROR(IF(OR($L99="BAIXADO",$L99="FURTADO"),0,INDEX(Listas!$J$2:$J$40,MATCH($B99,Listas!$I$2:$I$40,0))),""))</f>
        <v>300</v>
      </c>
      <c r="P99" s="31" t="str">
        <f t="array" ref="P99">IF($A99="","",IFERROR(_xlfn.XLOOKUP($A99,'Movimentação'!$B$7:$B$1006,'Movimentação'!$F$7:$F$1006,"",0,-1),""))</f>
        <v>ENTRADA (NOVA)</v>
      </c>
      <c r="Q99" s="31">
        <f>IF(COUNTIFS('Manutenção'!$B$7:$B$1006,$A99,'Manutenção'!$H$7:$H$1006,"EM CONSERTO")&gt;0,1,0)</f>
        <v>0</v>
      </c>
    </row>
    <row r="100" ht="15.0" hidden="1" customHeight="1">
      <c r="A100" s="15" t="s">
        <v>284</v>
      </c>
      <c r="B100" s="17" t="s">
        <v>111</v>
      </c>
      <c r="C100" s="17" t="s">
        <v>394</v>
      </c>
      <c r="D100" s="17" t="s">
        <v>607</v>
      </c>
      <c r="E100" s="17" t="s">
        <v>608</v>
      </c>
      <c r="F100" s="17" t="s">
        <v>607</v>
      </c>
      <c r="G100" s="18">
        <v>832.07</v>
      </c>
      <c r="H100" s="15" t="s">
        <v>47</v>
      </c>
      <c r="I100" s="15">
        <v>387327.0</v>
      </c>
      <c r="J100" s="24" t="str">
        <f t="array" ref="J100">IF($A100="","",IFERROR(_xlfn.XLOOKUP($A100,'Movimentação'!$B$7:$B$1006,'Movimentação'!$E$7:$E$1006,"",0,-1),""))</f>
        <v>ASSISTENCIA TECNICA</v>
      </c>
      <c r="K100" s="24" t="str">
        <f t="array" ref="K100">IF($A100="","",IFERROR(_xlfn.XLOOKUP($A100,'Movimentação'!$B$7:$B$1006,'Movimentação'!$G$7:$G$1006,"",0,-1),""))</f>
        <v>EICES</v>
      </c>
      <c r="L100" s="24" t="str">
        <f t="shared" si="3"/>
        <v>BAIXADO</v>
      </c>
      <c r="M100" s="17"/>
      <c r="N100" s="30">
        <f t="array" ref="N100">IF($A100="","",IFERROR(IF(OR($L100="BAIXADO",$L100="FURTADO"),0,INDEX(Listas!$J$2:$J$40,MATCH($B100,Listas!$I$2:$I$40,0))),""))</f>
        <v>0</v>
      </c>
      <c r="P100" s="31" t="str">
        <f t="array" ref="P100">IF($A100="","",IFERROR(_xlfn.XLOOKUP($A100,'Movimentação'!$B$7:$B$1006,'Movimentação'!$F$7:$F$1006,"",0,-1),""))</f>
        <v>BAIXA</v>
      </c>
      <c r="Q100" s="31">
        <f>IF(COUNTIFS('Manutenção'!$B$7:$B$1006,$A100,'Manutenção'!$H$7:$H$1006,"EM CONSERTO")&gt;0,1,0)</f>
        <v>0</v>
      </c>
    </row>
    <row r="101" ht="15.0" hidden="1" customHeight="1">
      <c r="A101" s="15" t="s">
        <v>287</v>
      </c>
      <c r="B101" s="17" t="s">
        <v>111</v>
      </c>
      <c r="C101" s="17" t="s">
        <v>394</v>
      </c>
      <c r="D101" s="17" t="s">
        <v>607</v>
      </c>
      <c r="E101" s="17" t="s">
        <v>608</v>
      </c>
      <c r="F101" s="17" t="s">
        <v>607</v>
      </c>
      <c r="G101" s="18">
        <v>832.07</v>
      </c>
      <c r="H101" s="15" t="s">
        <v>47</v>
      </c>
      <c r="I101" s="15">
        <v>387327.0</v>
      </c>
      <c r="J101" s="24" t="s">
        <v>163</v>
      </c>
      <c r="K101" s="24" t="str">
        <f t="array" ref="K101">IF($A101="","",IFERROR(_xlfn.XLOOKUP($A101,'Movimentação'!$B$7:$B$1006,'Movimentação'!$G$7:$G$1006,"",0,-1),""))</f>
        <v>EICES</v>
      </c>
      <c r="L101" s="24" t="str">
        <f t="shared" si="3"/>
        <v>BAIXADO</v>
      </c>
      <c r="M101" s="17"/>
      <c r="N101" s="30">
        <f t="array" ref="N101">IF($A101="","",IFERROR(IF(OR($L101="BAIXADO",$L101="FURTADO"),0,INDEX(Listas!$J$2:$J$40,MATCH($B101,Listas!$I$2:$I$40,0))),""))</f>
        <v>0</v>
      </c>
      <c r="P101" s="31" t="str">
        <f t="array" ref="P101">IF($A101="","",IFERROR(_xlfn.XLOOKUP($A101,'Movimentação'!$B$7:$B$1006,'Movimentação'!$F$7:$F$1006,"",0,-1),""))</f>
        <v>BAIXA</v>
      </c>
      <c r="Q101" s="31">
        <f>IF(COUNTIFS('Manutenção'!$B$7:$B$1006,$A101,'Manutenção'!$H$7:$H$1006,"EM CONSERTO")&gt;0,1,0)</f>
        <v>0</v>
      </c>
    </row>
    <row r="102" ht="15.0" hidden="1" customHeight="1">
      <c r="A102" s="15" t="s">
        <v>288</v>
      </c>
      <c r="B102" s="17" t="s">
        <v>111</v>
      </c>
      <c r="C102" s="17" t="s">
        <v>394</v>
      </c>
      <c r="D102" s="17" t="s">
        <v>607</v>
      </c>
      <c r="E102" s="17" t="s">
        <v>608</v>
      </c>
      <c r="F102" s="17" t="s">
        <v>607</v>
      </c>
      <c r="G102" s="18">
        <v>832.07</v>
      </c>
      <c r="H102" s="15" t="s">
        <v>47</v>
      </c>
      <c r="I102" s="15">
        <v>387327.0</v>
      </c>
      <c r="J102" s="24" t="s">
        <v>163</v>
      </c>
      <c r="K102" s="24" t="str">
        <f t="array" ref="K102">IF($A102="","",IFERROR(_xlfn.XLOOKUP($A102,'Movimentação'!$B$7:$B$1006,'Movimentação'!$G$7:$G$1006,"",0,-1),""))</f>
        <v>EICES</v>
      </c>
      <c r="L102" s="24" t="str">
        <f t="shared" si="3"/>
        <v>BAIXADO</v>
      </c>
      <c r="M102" s="17"/>
      <c r="N102" s="30">
        <f t="array" ref="N102">IF($A102="","",IFERROR(IF(OR($L102="BAIXADO",$L102="FURTADO"),0,INDEX(Listas!$J$2:$J$40,MATCH($B102,Listas!$I$2:$I$40,0))),""))</f>
        <v>0</v>
      </c>
      <c r="P102" s="31" t="str">
        <f t="array" ref="P102">IF($A102="","",IFERROR(_xlfn.XLOOKUP($A102,'Movimentação'!$B$7:$B$1006,'Movimentação'!$F$7:$F$1006,"",0,-1),""))</f>
        <v>BAIXA</v>
      </c>
      <c r="Q102" s="31">
        <f>IF(COUNTIFS('Manutenção'!$B$7:$B$1006,$A102,'Manutenção'!$H$7:$H$1006,"EM CONSERTO")&gt;0,1,0)</f>
        <v>0</v>
      </c>
    </row>
    <row r="103" ht="15.0" hidden="1" customHeight="1">
      <c r="A103" s="15" t="s">
        <v>289</v>
      </c>
      <c r="B103" s="17" t="s">
        <v>111</v>
      </c>
      <c r="C103" s="17" t="s">
        <v>394</v>
      </c>
      <c r="D103" s="17" t="s">
        <v>605</v>
      </c>
      <c r="E103" s="17" t="s">
        <v>609</v>
      </c>
      <c r="F103" s="17" t="s">
        <v>605</v>
      </c>
      <c r="G103" s="18">
        <v>1000.0</v>
      </c>
      <c r="H103" s="15" t="s">
        <v>47</v>
      </c>
      <c r="I103" s="15">
        <v>25756.0</v>
      </c>
      <c r="J103" s="24" t="s">
        <v>163</v>
      </c>
      <c r="K103" s="24" t="str">
        <f t="array" ref="K103">IF($A103="","",IFERROR(_xlfn.XLOOKUP($A103,'Movimentação'!$B$7:$B$1006,'Movimentação'!$G$7:$G$1006,"",0,-1),""))</f>
        <v>EICES</v>
      </c>
      <c r="L103" s="24" t="str">
        <f t="shared" si="3"/>
        <v>BAIXADO</v>
      </c>
      <c r="M103" s="17"/>
      <c r="N103" s="30">
        <f t="array" ref="N103">IF($A103="","",IFERROR(IF(OR($L103="BAIXADO",$L103="FURTADO"),0,INDEX(Listas!$J$2:$J$40,MATCH($B103,Listas!$I$2:$I$40,0))),""))</f>
        <v>0</v>
      </c>
      <c r="P103" s="31" t="str">
        <f t="array" ref="P103">IF($A103="","",IFERROR(_xlfn.XLOOKUP($A103,'Movimentação'!$B$7:$B$1006,'Movimentação'!$F$7:$F$1006,"",0,-1),""))</f>
        <v>BAIXA</v>
      </c>
      <c r="Q103" s="31">
        <f>IF(COUNTIFS('Manutenção'!$B$7:$B$1006,$A103,'Manutenção'!$H$7:$H$1006,"EM CONSERTO")&gt;0,1,0)</f>
        <v>0</v>
      </c>
    </row>
    <row r="104" ht="15.0" hidden="1" customHeight="1">
      <c r="A104" s="15" t="s">
        <v>290</v>
      </c>
      <c r="B104" s="17" t="s">
        <v>111</v>
      </c>
      <c r="C104" s="17" t="s">
        <v>394</v>
      </c>
      <c r="D104" s="17" t="s">
        <v>605</v>
      </c>
      <c r="E104" s="17" t="s">
        <v>609</v>
      </c>
      <c r="F104" s="17" t="s">
        <v>605</v>
      </c>
      <c r="G104" s="18">
        <v>1028.6</v>
      </c>
      <c r="H104" s="15" t="s">
        <v>47</v>
      </c>
      <c r="I104" s="15">
        <v>84342.0</v>
      </c>
      <c r="J104" s="24" t="s">
        <v>163</v>
      </c>
      <c r="K104" s="24" t="str">
        <f t="array" ref="K104">IF($A104="","",IFERROR(_xlfn.XLOOKUP($A104,'Movimentação'!$B$7:$B$1006,'Movimentação'!$G$7:$G$1006,"",0,-1),""))</f>
        <v>EICES</v>
      </c>
      <c r="L104" s="24" t="str">
        <f t="shared" si="3"/>
        <v>BAIXADO</v>
      </c>
      <c r="M104" s="17"/>
      <c r="N104" s="30">
        <f t="array" ref="N104">IF($A104="","",IFERROR(IF(OR($L104="BAIXADO",$L104="FURTADO"),0,INDEX(Listas!$J$2:$J$40,MATCH($B104,Listas!$I$2:$I$40,0))),""))</f>
        <v>0</v>
      </c>
      <c r="P104" s="31" t="str">
        <f t="array" ref="P104">IF($A104="","",IFERROR(_xlfn.XLOOKUP($A104,'Movimentação'!$B$7:$B$1006,'Movimentação'!$F$7:$F$1006,"",0,-1),""))</f>
        <v>BAIXA</v>
      </c>
      <c r="Q104" s="31">
        <f>IF(COUNTIFS('Manutenção'!$B$7:$B$1006,$A104,'Manutenção'!$H$7:$H$1006,"EM CONSERTO")&gt;0,1,0)</f>
        <v>0</v>
      </c>
    </row>
    <row r="105" ht="15.0" hidden="1" customHeight="1">
      <c r="A105" s="15" t="s">
        <v>292</v>
      </c>
      <c r="B105" s="17" t="s">
        <v>111</v>
      </c>
      <c r="C105" s="17" t="s">
        <v>394</v>
      </c>
      <c r="D105" s="17" t="s">
        <v>605</v>
      </c>
      <c r="E105" s="17"/>
      <c r="F105" s="17"/>
      <c r="G105" s="34">
        <v>832.07</v>
      </c>
      <c r="H105" s="15" t="s">
        <v>189</v>
      </c>
      <c r="I105" s="15"/>
      <c r="J105" s="24" t="s">
        <v>163</v>
      </c>
      <c r="K105" s="24" t="str">
        <f t="array" ref="K105">IF($A105="","",IFERROR(_xlfn.XLOOKUP($A105,'Movimentação'!$B$7:$B$1006,'Movimentação'!$G$7:$G$1006,"",0,-1),""))</f>
        <v>EICES</v>
      </c>
      <c r="L105" s="24" t="str">
        <f t="shared" si="3"/>
        <v>BAIXADO</v>
      </c>
      <c r="M105" s="17"/>
      <c r="N105" s="30">
        <f t="array" ref="N105">IF($A105="","",IFERROR(IF(OR($L105="BAIXADO",$L105="FURTADO"),0,INDEX(Listas!$J$2:$J$40,MATCH($B105,Listas!$I$2:$I$40,0))),""))</f>
        <v>0</v>
      </c>
      <c r="P105" s="31" t="str">
        <f t="array" ref="P105">IF($A105="","",IFERROR(_xlfn.XLOOKUP($A105,'Movimentação'!$B$7:$B$1006,'Movimentação'!$F$7:$F$1006,"",0,-1),""))</f>
        <v>BAIXA</v>
      </c>
      <c r="Q105" s="31">
        <f>IF(COUNTIFS('Manutenção'!$B$7:$B$1006,$A105,'Manutenção'!$H$7:$H$1006,"EM CONSERTO")&gt;0,1,0)</f>
        <v>0</v>
      </c>
    </row>
    <row r="106" ht="15.0" hidden="1" customHeight="1">
      <c r="A106" s="15" t="s">
        <v>295</v>
      </c>
      <c r="B106" s="17" t="s">
        <v>111</v>
      </c>
      <c r="C106" s="17" t="s">
        <v>394</v>
      </c>
      <c r="D106" s="17" t="s">
        <v>605</v>
      </c>
      <c r="E106" s="17" t="s">
        <v>610</v>
      </c>
      <c r="F106" s="17">
        <v>1.41250759E8</v>
      </c>
      <c r="G106" s="34">
        <v>832.07</v>
      </c>
      <c r="H106" s="15" t="s">
        <v>189</v>
      </c>
      <c r="I106" s="15"/>
      <c r="J106" s="24" t="str">
        <f t="array" ref="J106">IF($A106="","",IFERROR(_xlfn.XLOOKUP($A106,'Movimentação'!$B$7:$B$1006,'Movimentação'!$E$7:$E$1006,"",0,-1),""))</f>
        <v>ESCRITÓRIO</v>
      </c>
      <c r="K106" s="24" t="str">
        <f t="array" ref="K106">IF($A106="","",IFERROR(_xlfn.XLOOKUP($A106,'Movimentação'!$B$7:$B$1006,'Movimentação'!$G$7:$G$1006,"",0,-1),""))</f>
        <v>EICES</v>
      </c>
      <c r="L106" s="24" t="str">
        <f t="shared" si="3"/>
        <v>EM OBRA</v>
      </c>
      <c r="M106" s="17"/>
      <c r="N106" s="30">
        <f t="array" ref="N106">IF($A106="","",IFERROR(IF(OR($L106="BAIXADO",$L106="FURTADO"),0,INDEX(Listas!$J$2:$J$40,MATCH($B106,Listas!$I$2:$I$40,0))),""))</f>
        <v>300</v>
      </c>
      <c r="P106" s="31" t="str">
        <f t="array" ref="P106">IF($A106="","",IFERROR(_xlfn.XLOOKUP($A106,'Movimentação'!$B$7:$B$1006,'Movimentação'!$F$7:$F$1006,"",0,-1),""))</f>
        <v>ENTRADA (NOVA)</v>
      </c>
      <c r="Q106" s="31">
        <f>IF(COUNTIFS('Manutenção'!$B$7:$B$1006,$A106,'Manutenção'!$H$7:$H$1006,"EM CONSERTO")&gt;0,1,0)</f>
        <v>0</v>
      </c>
    </row>
    <row r="107" ht="15.0" hidden="1" customHeight="1">
      <c r="A107" s="15" t="s">
        <v>296</v>
      </c>
      <c r="B107" s="17" t="s">
        <v>111</v>
      </c>
      <c r="C107" s="17" t="s">
        <v>394</v>
      </c>
      <c r="D107" s="17" t="s">
        <v>605</v>
      </c>
      <c r="E107" s="17" t="s">
        <v>610</v>
      </c>
      <c r="F107" s="17">
        <v>1.41250786E8</v>
      </c>
      <c r="G107" s="34">
        <v>832.07</v>
      </c>
      <c r="H107" s="15" t="s">
        <v>189</v>
      </c>
      <c r="I107" s="15"/>
      <c r="J107" s="24" t="str">
        <f t="array" ref="J107">IF($A107="","",IFERROR(_xlfn.XLOOKUP($A107,'Movimentação'!$B$7:$B$1006,'Movimentação'!$E$7:$E$1006,"",0,-1),""))</f>
        <v>ASSISTENCIA TECNICA</v>
      </c>
      <c r="K107" s="24" t="str">
        <f t="array" ref="K107">IF($A107="","",IFERROR(_xlfn.XLOOKUP($A107,'Movimentação'!$B$7:$B$1006,'Movimentação'!$G$7:$G$1006,"",0,-1),""))</f>
        <v>EICES</v>
      </c>
      <c r="L107" s="24" t="str">
        <f t="shared" si="3"/>
        <v>BAIXADO</v>
      </c>
      <c r="M107" s="17"/>
      <c r="N107" s="30">
        <f t="array" ref="N107">IF($A107="","",IFERROR(IF(OR($L107="BAIXADO",$L107="FURTADO"),0,INDEX(Listas!$J$2:$J$40,MATCH($B107,Listas!$I$2:$I$40,0))),""))</f>
        <v>0</v>
      </c>
      <c r="P107" s="31" t="str">
        <f t="array" ref="P107">IF($A107="","",IFERROR(_xlfn.XLOOKUP($A107,'Movimentação'!$B$7:$B$1006,'Movimentação'!$F$7:$F$1006,"",0,-1),""))</f>
        <v>BAIXA</v>
      </c>
      <c r="Q107" s="31">
        <f>IF(COUNTIFS('Manutenção'!$B$7:$B$1006,$A107,'Manutenção'!$H$7:$H$1006,"EM CONSERTO")&gt;0,1,0)</f>
        <v>0</v>
      </c>
    </row>
    <row r="108" ht="15.0" hidden="1" customHeight="1">
      <c r="A108" s="15" t="s">
        <v>297</v>
      </c>
      <c r="B108" s="17" t="s">
        <v>111</v>
      </c>
      <c r="C108" s="17" t="s">
        <v>394</v>
      </c>
      <c r="D108" s="17" t="s">
        <v>605</v>
      </c>
      <c r="E108" s="17"/>
      <c r="F108" s="17"/>
      <c r="G108" s="34">
        <v>832.07</v>
      </c>
      <c r="H108" s="15" t="s">
        <v>189</v>
      </c>
      <c r="I108" s="15"/>
      <c r="J108" s="24" t="str">
        <f t="array" ref="J108">IF($A108="","",IFERROR(_xlfn.XLOOKUP($A108,'Movimentação'!$B$7:$B$1006,'Movimentação'!$E$7:$E$1006,"",0,-1),""))</f>
        <v>ARTHUR PRADO</v>
      </c>
      <c r="K108" s="24" t="str">
        <f t="array" ref="K108">IF($A108="","",IFERROR(_xlfn.XLOOKUP($A108,'Movimentação'!$B$7:$B$1006,'Movimentação'!$G$7:$G$1006,"",0,-1),""))</f>
        <v>LUCAS</v>
      </c>
      <c r="L108" s="24" t="str">
        <f t="shared" si="3"/>
        <v>BAIXADO</v>
      </c>
      <c r="M108" s="17"/>
      <c r="N108" s="30">
        <f t="array" ref="N108">IF($A108="","",IFERROR(IF(OR($L108="BAIXADO",$L108="FURTADO"),0,INDEX(Listas!$J$2:$J$40,MATCH($B108,Listas!$I$2:$I$40,0))),""))</f>
        <v>0</v>
      </c>
      <c r="P108" s="31" t="str">
        <f t="array" ref="P108">IF($A108="","",IFERROR(_xlfn.XLOOKUP($A108,'Movimentação'!$B$7:$B$1006,'Movimentação'!$F$7:$F$1006,"",0,-1),""))</f>
        <v>BAIXA</v>
      </c>
      <c r="Q108" s="31">
        <f>IF(COUNTIFS('Manutenção'!$B$7:$B$1006,$A108,'Manutenção'!$H$7:$H$1006,"EM CONSERTO")&gt;0,1,0)</f>
        <v>0</v>
      </c>
    </row>
    <row r="109" ht="15.0" hidden="1" customHeight="1">
      <c r="A109" s="15" t="s">
        <v>298</v>
      </c>
      <c r="B109" s="17" t="s">
        <v>111</v>
      </c>
      <c r="C109" s="17" t="s">
        <v>394</v>
      </c>
      <c r="D109" s="17" t="s">
        <v>605</v>
      </c>
      <c r="E109" s="17"/>
      <c r="F109" s="17"/>
      <c r="G109" s="34">
        <v>832.07</v>
      </c>
      <c r="H109" s="15" t="s">
        <v>189</v>
      </c>
      <c r="I109" s="15"/>
      <c r="J109" s="24" t="str">
        <f t="array" ref="J109">IF($A109="","",IFERROR(_xlfn.XLOOKUP($A109,'Movimentação'!$B$7:$B$1006,'Movimentação'!$E$7:$E$1006,"",0,-1),""))</f>
        <v>JOA</v>
      </c>
      <c r="K109" s="24" t="str">
        <f t="array" ref="K109">IF($A109="","",IFERROR(_xlfn.XLOOKUP($A109,'Movimentação'!$B$7:$B$1006,'Movimentação'!$G$7:$G$1006,"",0,-1),""))</f>
        <v>EICES</v>
      </c>
      <c r="L109" s="24" t="str">
        <f t="shared" si="3"/>
        <v>EM OBRA</v>
      </c>
      <c r="M109" s="17"/>
      <c r="N109" s="30">
        <f t="array" ref="N109">IF($A109="","",IFERROR(IF(OR($L109="BAIXADO",$L109="FURTADO"),0,INDEX(Listas!$J$2:$J$40,MATCH($B109,Listas!$I$2:$I$40,0))),""))</f>
        <v>300</v>
      </c>
      <c r="P109" s="31" t="str">
        <f t="array" ref="P109">IF($A109="","",IFERROR(_xlfn.XLOOKUP($A109,'Movimentação'!$B$7:$B$1006,'Movimentação'!$F$7:$F$1006,"",0,-1),""))</f>
        <v>ENTRADA (NOVA)</v>
      </c>
      <c r="Q109" s="31">
        <f>IF(COUNTIFS('Manutenção'!$B$7:$B$1006,$A109,'Manutenção'!$H$7:$H$1006,"EM CONSERTO")&gt;0,1,0)</f>
        <v>0</v>
      </c>
    </row>
    <row r="110" ht="15.0" hidden="1" customHeight="1">
      <c r="A110" s="15" t="s">
        <v>300</v>
      </c>
      <c r="B110" s="17" t="s">
        <v>111</v>
      </c>
      <c r="C110" s="17" t="s">
        <v>394</v>
      </c>
      <c r="D110" s="17" t="s">
        <v>605</v>
      </c>
      <c r="E110" s="17" t="s">
        <v>610</v>
      </c>
      <c r="F110" s="17">
        <v>1.22452749E8</v>
      </c>
      <c r="G110" s="34">
        <v>832.07</v>
      </c>
      <c r="H110" s="15" t="s">
        <v>189</v>
      </c>
      <c r="I110" s="15">
        <v>22867.0</v>
      </c>
      <c r="J110" s="24" t="str">
        <f t="array" ref="J110">IF($A110="","",IFERROR(_xlfn.XLOOKUP($A110,'Movimentação'!$B$7:$B$1006,'Movimentação'!$E$7:$E$1006,"",0,-1),""))</f>
        <v>MAURO</v>
      </c>
      <c r="K110" s="24" t="str">
        <f t="array" ref="K110">IF($A110="","",IFERROR(_xlfn.XLOOKUP($A110,'Movimentação'!$B$7:$B$1006,'Movimentação'!$G$7:$G$1006,"",0,-1),""))</f>
        <v>EICES</v>
      </c>
      <c r="L110" s="24" t="str">
        <f t="shared" si="3"/>
        <v>EM OBRA</v>
      </c>
      <c r="M110" s="17"/>
      <c r="N110" s="30">
        <f t="array" ref="N110">IF($A110="","",IFERROR(IF(OR($L110="BAIXADO",$L110="FURTADO"),0,INDEX(Listas!$J$2:$J$40,MATCH($B110,Listas!$I$2:$I$40,0))),""))</f>
        <v>300</v>
      </c>
      <c r="P110" s="31" t="str">
        <f t="array" ref="P110">IF($A110="","",IFERROR(_xlfn.XLOOKUP($A110,'Movimentação'!$B$7:$B$1006,'Movimentação'!$F$7:$F$1006,"",0,-1),""))</f>
        <v>ENTRADA (NOVA)</v>
      </c>
      <c r="Q110" s="31">
        <f>IF(COUNTIFS('Manutenção'!$B$7:$B$1006,$A110,'Manutenção'!$H$7:$H$1006,"EM CONSERTO")&gt;0,1,0)</f>
        <v>0</v>
      </c>
    </row>
    <row r="111" ht="15.0" hidden="1" customHeight="1">
      <c r="A111" s="15" t="s">
        <v>162</v>
      </c>
      <c r="B111" s="17" t="s">
        <v>111</v>
      </c>
      <c r="C111" s="17" t="s">
        <v>394</v>
      </c>
      <c r="D111" s="17" t="s">
        <v>605</v>
      </c>
      <c r="E111" s="17" t="s">
        <v>610</v>
      </c>
      <c r="F111" s="17">
        <v>1.22452859E8</v>
      </c>
      <c r="G111" s="34">
        <v>832.07</v>
      </c>
      <c r="H111" s="15" t="s">
        <v>189</v>
      </c>
      <c r="I111" s="15">
        <v>22899.0</v>
      </c>
      <c r="J111" s="24" t="str">
        <f t="array" ref="J111">IF($A111="","",IFERROR(_xlfn.XLOOKUP($A111,'Movimentação'!$B$7:$B$1006,'Movimentação'!$E$7:$E$1006,"",0,-1),""))</f>
        <v>ASSISTENCIA TECNICA</v>
      </c>
      <c r="K111" s="24" t="str">
        <f t="array" ref="K111">IF($A111="","",IFERROR(_xlfn.XLOOKUP($A111,'Movimentação'!$B$7:$B$1006,'Movimentação'!$G$7:$G$1006,"",0,-1),""))</f>
        <v>EICES</v>
      </c>
      <c r="L111" s="24" t="str">
        <f t="shared" si="3"/>
        <v>BAIXADO</v>
      </c>
      <c r="M111" s="17"/>
      <c r="N111" s="30">
        <f t="array" ref="N111">IF($A111="","",IFERROR(IF(OR($L111="BAIXADO",$L111="FURTADO"),0,INDEX(Listas!$J$2:$J$40,MATCH($B111,Listas!$I$2:$I$40,0))),""))</f>
        <v>0</v>
      </c>
      <c r="P111" s="31" t="str">
        <f t="array" ref="P111">IF($A111="","",IFERROR(_xlfn.XLOOKUP($A111,'Movimentação'!$B$7:$B$1006,'Movimentação'!$F$7:$F$1006,"",0,-1),""))</f>
        <v>BAIXA</v>
      </c>
      <c r="Q111" s="31">
        <f>IF(COUNTIFS('Manutenção'!$B$7:$B$1006,$A111,'Manutenção'!$H$7:$H$1006,"EM CONSERTO")&gt;0,1,0)</f>
        <v>0</v>
      </c>
    </row>
    <row r="112" ht="15.0" hidden="1" customHeight="1">
      <c r="A112" s="15" t="s">
        <v>302</v>
      </c>
      <c r="B112" s="17" t="s">
        <v>111</v>
      </c>
      <c r="C112" s="17" t="s">
        <v>394</v>
      </c>
      <c r="D112" s="17" t="s">
        <v>605</v>
      </c>
      <c r="E112" s="17" t="s">
        <v>610</v>
      </c>
      <c r="F112" s="17">
        <v>1.22452782E8</v>
      </c>
      <c r="G112" s="34">
        <v>832.07</v>
      </c>
      <c r="H112" s="15" t="s">
        <v>189</v>
      </c>
      <c r="I112" s="15">
        <v>22889.0</v>
      </c>
      <c r="J112" s="24" t="str">
        <f t="array" ref="J112">IF($A112="","",IFERROR(_xlfn.XLOOKUP($A112,'Movimentação'!$B$7:$B$1006,'Movimentação'!$E$7:$E$1006,"",0,-1),""))</f>
        <v>ANGELICA</v>
      </c>
      <c r="K112" s="24" t="s">
        <v>301</v>
      </c>
      <c r="L112" s="24" t="str">
        <f t="shared" si="3"/>
        <v>EM OBRA</v>
      </c>
      <c r="M112" s="17"/>
      <c r="N112" s="30">
        <f t="array" ref="N112">IF($A112="","",IFERROR(IF(OR($L112="BAIXADO",$L112="FURTADO"),0,INDEX(Listas!$J$2:$J$40,MATCH($B112,Listas!$I$2:$I$40,0))),""))</f>
        <v>300</v>
      </c>
      <c r="P112" s="31" t="str">
        <f t="array" ref="P112">IF($A112="","",IFERROR(_xlfn.XLOOKUP($A112,'Movimentação'!$B$7:$B$1006,'Movimentação'!$F$7:$F$1006,"",0,-1),""))</f>
        <v>ENTRADA (NOVA)</v>
      </c>
      <c r="Q112" s="31">
        <f>IF(COUNTIFS('Manutenção'!$B$7:$B$1006,$A112,'Manutenção'!$H$7:$H$1006,"EM CONSERTO")&gt;0,1,0)</f>
        <v>0</v>
      </c>
    </row>
    <row r="113" ht="15.0" hidden="1" customHeight="1">
      <c r="A113" s="15" t="s">
        <v>303</v>
      </c>
      <c r="B113" s="17" t="s">
        <v>113</v>
      </c>
      <c r="C113" s="17" t="s">
        <v>611</v>
      </c>
      <c r="D113" s="17" t="s">
        <v>612</v>
      </c>
      <c r="E113" s="17" t="s">
        <v>613</v>
      </c>
      <c r="F113" s="17"/>
      <c r="G113" s="18">
        <v>20192.0</v>
      </c>
      <c r="H113" s="15" t="s">
        <v>47</v>
      </c>
      <c r="I113" s="15">
        <v>16178.0</v>
      </c>
      <c r="J113" s="24" t="str">
        <f t="array" ref="J113">IF($A113="","",IFERROR(_xlfn.XLOOKUP($A113,'Movimentação'!$B$7:$B$1006,'Movimentação'!$E$7:$E$1006,"",0,-1),""))</f>
        <v>ALTIER</v>
      </c>
      <c r="K113" s="24" t="str">
        <f t="array" ref="K113">IF($A113="","",IFERROR(_xlfn.XLOOKUP($A113,'Movimentação'!$B$7:$B$1006,'Movimentação'!$G$7:$G$1006,"",0,-1),""))</f>
        <v>EICES</v>
      </c>
      <c r="L113" s="24" t="str">
        <f t="shared" si="3"/>
        <v>EM OBRA</v>
      </c>
      <c r="M113" s="17"/>
      <c r="N113" s="30">
        <f t="array" ref="N113">IF($A113="","",IFERROR(IF(OR($L113="BAIXADO",$L113="FURTADO"),0,INDEX(Listas!$J$2:$J$40,MATCH($B113,Listas!$I$2:$I$40,0))),""))</f>
        <v>300</v>
      </c>
      <c r="P113" s="31" t="str">
        <f t="array" ref="P113">IF($A113="","",IFERROR(_xlfn.XLOOKUP($A113,'Movimentação'!$B$7:$B$1006,'Movimentação'!$F$7:$F$1006,"",0,-1),""))</f>
        <v>ENTRADA (NOVA)</v>
      </c>
      <c r="Q113" s="31">
        <f>IF(COUNTIFS('Manutenção'!$B$7:$B$1006,$A113,'Manutenção'!$H$7:$H$1006,"EM CONSERTO")&gt;0,1,0)</f>
        <v>0</v>
      </c>
    </row>
    <row r="114" ht="15.0" hidden="1" customHeight="1">
      <c r="A114" s="15" t="s">
        <v>305</v>
      </c>
      <c r="B114" s="17" t="s">
        <v>113</v>
      </c>
      <c r="C114" s="17" t="s">
        <v>611</v>
      </c>
      <c r="D114" s="17" t="s">
        <v>614</v>
      </c>
      <c r="E114" s="17" t="s">
        <v>615</v>
      </c>
      <c r="F114" s="17"/>
      <c r="G114" s="18">
        <v>4700.0</v>
      </c>
      <c r="H114" s="15" t="s">
        <v>47</v>
      </c>
      <c r="I114" s="15">
        <v>10203.0</v>
      </c>
      <c r="J114" s="24" t="str">
        <f t="array" ref="J114">IF($A114="","",IFERROR(_xlfn.XLOOKUP($A114,'Movimentação'!$B$7:$B$1006,'Movimentação'!$E$7:$E$1006,"",0,-1),""))</f>
        <v>ARENGA (TRISUL)</v>
      </c>
      <c r="K114" s="24" t="str">
        <f t="array" ref="K114">IF($A114="","",IFERROR(_xlfn.XLOOKUP($A114,'Movimentação'!$B$7:$B$1006,'Movimentação'!$G$7:$G$1006,"",0,-1),""))</f>
        <v>EICES</v>
      </c>
      <c r="L114" s="24" t="str">
        <f t="shared" si="3"/>
        <v>EM OBRA</v>
      </c>
      <c r="M114" s="17"/>
      <c r="N114" s="30">
        <f t="array" ref="N114">IF($A114="","",IFERROR(IF(OR($L114="BAIXADO",$L114="FURTADO"),0,INDEX(Listas!$J$2:$J$40,MATCH($B114,Listas!$I$2:$I$40,0))),""))</f>
        <v>300</v>
      </c>
      <c r="P114" s="31" t="str">
        <f t="array" ref="P114">IF($A114="","",IFERROR(_xlfn.XLOOKUP($A114,'Movimentação'!$B$7:$B$1006,'Movimentação'!$F$7:$F$1006,"",0,-1),""))</f>
        <v>ENTRADA (NOVA)</v>
      </c>
      <c r="Q114" s="31">
        <f>IF(COUNTIFS('Manutenção'!$B$7:$B$1006,$A114,'Manutenção'!$H$7:$H$1006,"EM CONSERTO")&gt;0,1,0)</f>
        <v>0</v>
      </c>
    </row>
    <row r="115" ht="15.0" hidden="1" customHeight="1">
      <c r="A115" s="15" t="s">
        <v>306</v>
      </c>
      <c r="B115" s="17" t="s">
        <v>113</v>
      </c>
      <c r="C115" s="17" t="s">
        <v>611</v>
      </c>
      <c r="D115" s="17" t="s">
        <v>614</v>
      </c>
      <c r="E115" s="17" t="s">
        <v>615</v>
      </c>
      <c r="F115" s="17"/>
      <c r="G115" s="18">
        <v>4700.0</v>
      </c>
      <c r="H115" s="15" t="s">
        <v>47</v>
      </c>
      <c r="I115" s="15"/>
      <c r="J115" s="24" t="str">
        <f t="array" ref="J115">IF($A115="","",IFERROR(_xlfn.XLOOKUP($A115,'Movimentação'!$B$7:$B$1006,'Movimentação'!$E$7:$E$1006,"",0,-1),""))</f>
        <v>BALTAZAR</v>
      </c>
      <c r="K115" s="24" t="str">
        <f t="array" ref="K115">IF($A115="","",IFERROR(_xlfn.XLOOKUP($A115,'Movimentação'!$B$7:$B$1006,'Movimentação'!$G$7:$G$1006,"",0,-1),""))</f>
        <v>EICES</v>
      </c>
      <c r="L115" s="24" t="str">
        <f t="shared" si="3"/>
        <v>EM OBRA</v>
      </c>
      <c r="M115" s="17" t="s">
        <v>616</v>
      </c>
      <c r="N115" s="30">
        <f t="array" ref="N115">IF($A115="","",IFERROR(IF(OR($L115="BAIXADO",$L115="FURTADO"),0,INDEX(Listas!$J$2:$J$40,MATCH($B115,Listas!$I$2:$I$40,0))),""))</f>
        <v>300</v>
      </c>
      <c r="P115" s="31" t="str">
        <f t="array" ref="P115">IF($A115="","",IFERROR(_xlfn.XLOOKUP($A115,'Movimentação'!$B$7:$B$1006,'Movimentação'!$F$7:$F$1006,"",0,-1),""))</f>
        <v>ENTRADA (NOVA)</v>
      </c>
      <c r="Q115" s="31">
        <f>IF(COUNTIFS('Manutenção'!$B$7:$B$1006,$A115,'Manutenção'!$H$7:$H$1006,"EM CONSERTO")&gt;0,1,0)</f>
        <v>0</v>
      </c>
    </row>
    <row r="116" ht="15.0" hidden="1" customHeight="1">
      <c r="A116" s="15" t="s">
        <v>307</v>
      </c>
      <c r="B116" s="17" t="s">
        <v>113</v>
      </c>
      <c r="C116" s="17" t="s">
        <v>611</v>
      </c>
      <c r="D116" s="17" t="s">
        <v>617</v>
      </c>
      <c r="E116" s="17"/>
      <c r="F116" s="17" t="s">
        <v>618</v>
      </c>
      <c r="G116" s="34">
        <v>4700.0</v>
      </c>
      <c r="H116" s="15" t="s">
        <v>189</v>
      </c>
      <c r="I116" s="15"/>
      <c r="J116" s="24" t="str">
        <f t="array" ref="J116">IF($A116="","",IFERROR(_xlfn.XLOOKUP($A116,'Movimentação'!$B$7:$B$1006,'Movimentação'!$E$7:$E$1006,"",0,-1),""))</f>
        <v>ORIÇANGA</v>
      </c>
      <c r="K116" s="24" t="str">
        <f t="array" ref="K116">IF($A116="","",IFERROR(_xlfn.XLOOKUP($A116,'Movimentação'!$B$7:$B$1006,'Movimentação'!$G$7:$G$1006,"",0,-1),""))</f>
        <v>LEONARDO</v>
      </c>
      <c r="L116" s="24" t="str">
        <f t="shared" si="3"/>
        <v>EM OBRA</v>
      </c>
      <c r="M116" s="17" t="s">
        <v>616</v>
      </c>
      <c r="N116" s="30">
        <f t="array" ref="N116">IF($A116="","",IFERROR(IF(OR($L116="BAIXADO",$L116="FURTADO"),0,INDEX(Listas!$J$2:$J$40,MATCH($B116,Listas!$I$2:$I$40,0))),""))</f>
        <v>300</v>
      </c>
      <c r="P116" s="31" t="str">
        <f t="array" ref="P116">IF($A116="","",IFERROR(_xlfn.XLOOKUP($A116,'Movimentação'!$B$7:$B$1006,'Movimentação'!$F$7:$F$1006,"",0,-1),""))</f>
        <v>TRANSFERÊNCIA</v>
      </c>
      <c r="Q116" s="31">
        <f>IF(COUNTIFS('Manutenção'!$B$7:$B$1006,$A116,'Manutenção'!$H$7:$H$1006,"EM CONSERTO")&gt;0,1,0)</f>
        <v>0</v>
      </c>
    </row>
    <row r="117" ht="15.0" hidden="1" customHeight="1">
      <c r="A117" s="15" t="s">
        <v>308</v>
      </c>
      <c r="B117" s="17" t="s">
        <v>115</v>
      </c>
      <c r="C117" s="17" t="s">
        <v>619</v>
      </c>
      <c r="D117" s="17" t="s">
        <v>620</v>
      </c>
      <c r="E117" s="17" t="s">
        <v>621</v>
      </c>
      <c r="F117" s="17">
        <v>2.2031058E7</v>
      </c>
      <c r="G117" s="18">
        <v>12680.0</v>
      </c>
      <c r="H117" s="15" t="s">
        <v>47</v>
      </c>
      <c r="I117" s="15" t="s">
        <v>622</v>
      </c>
      <c r="J117" s="24" t="str">
        <f t="array" ref="J117">IF($A117="","",IFERROR(_xlfn.XLOOKUP($A117,'Movimentação'!$B$7:$B$1006,'Movimentação'!$E$7:$E$1006,"",0,-1),""))</f>
        <v>INFRA</v>
      </c>
      <c r="K117" s="24" t="str">
        <f t="array" ref="K117">IF($A117="","",IFERROR(_xlfn.XLOOKUP($A117,'Movimentação'!$B$7:$B$1006,'Movimentação'!$G$7:$G$1006,"",0,-1),""))</f>
        <v>EICES</v>
      </c>
      <c r="L117" s="24" t="str">
        <f t="shared" si="3"/>
        <v>EM OBRA</v>
      </c>
      <c r="M117" s="17"/>
      <c r="N117" s="30" t="str">
        <f t="array" ref="N117">IF($A117="","",IFERROR(IF(OR($L117="BAIXADO",$L117="FURTADO"),0,INDEX(Listas!$J$2:$J$40,MATCH($B117,Listas!$I$2:$I$40,0))),""))</f>
        <v/>
      </c>
      <c r="P117" s="31" t="str">
        <f t="array" ref="P117">IF($A117="","",IFERROR(_xlfn.XLOOKUP($A117,'Movimentação'!$B$7:$B$1006,'Movimentação'!$F$7:$F$1006,"",0,-1),""))</f>
        <v>ENTRADA (NOVA)</v>
      </c>
      <c r="Q117" s="31">
        <f>IF(COUNTIFS('Manutenção'!$B$7:$B$1006,$A117,'Manutenção'!$H$7:$H$1006,"EM CONSERTO")&gt;0,1,0)</f>
        <v>0</v>
      </c>
    </row>
    <row r="118" ht="15.0" hidden="1" customHeight="1">
      <c r="A118" s="15" t="s">
        <v>310</v>
      </c>
      <c r="B118" s="17" t="s">
        <v>115</v>
      </c>
      <c r="C118" s="17" t="s">
        <v>619</v>
      </c>
      <c r="D118" s="17" t="s">
        <v>623</v>
      </c>
      <c r="E118" s="17" t="s">
        <v>623</v>
      </c>
      <c r="F118" s="17" t="s">
        <v>624</v>
      </c>
      <c r="G118" s="18">
        <v>2399.0</v>
      </c>
      <c r="H118" s="15" t="s">
        <v>47</v>
      </c>
      <c r="I118" s="15"/>
      <c r="J118" s="24" t="str">
        <f t="array" ref="J118">IF($A118="","",IFERROR(_xlfn.XLOOKUP($A118,'Movimentação'!$B$7:$B$1006,'Movimentação'!$E$7:$E$1006,"",0,-1),""))</f>
        <v>INFRA</v>
      </c>
      <c r="K118" s="24" t="str">
        <f t="array" ref="K118">IF($A118="","",IFERROR(_xlfn.XLOOKUP($A118,'Movimentação'!$B$7:$B$1006,'Movimentação'!$G$7:$G$1006,"",0,-1),""))</f>
        <v>EICES</v>
      </c>
      <c r="L118" s="24" t="str">
        <f t="shared" si="3"/>
        <v>EM OBRA</v>
      </c>
      <c r="M118" s="17"/>
      <c r="N118" s="30" t="str">
        <f t="array" ref="N118">IF($A118="","",IFERROR(IF(OR($L118="BAIXADO",$L118="FURTADO"),0,INDEX(Listas!$J$2:$J$40,MATCH($B118,Listas!$I$2:$I$40,0))),""))</f>
        <v/>
      </c>
      <c r="P118" s="31" t="str">
        <f t="array" ref="P118">IF($A118="","",IFERROR(_xlfn.XLOOKUP($A118,'Movimentação'!$B$7:$B$1006,'Movimentação'!$F$7:$F$1006,"",0,-1),""))</f>
        <v>ENTRADA (NOVA)</v>
      </c>
      <c r="Q118" s="31">
        <f>IF(COUNTIFS('Manutenção'!$B$7:$B$1006,$A118,'Manutenção'!$H$7:$H$1006,"EM CONSERTO")&gt;0,1,0)</f>
        <v>0</v>
      </c>
    </row>
    <row r="119" ht="15.0" hidden="1" customHeight="1">
      <c r="A119" s="15" t="s">
        <v>312</v>
      </c>
      <c r="B119" s="17" t="s">
        <v>117</v>
      </c>
      <c r="C119" s="17" t="s">
        <v>625</v>
      </c>
      <c r="D119" s="17" t="s">
        <v>588</v>
      </c>
      <c r="E119" s="17" t="s">
        <v>626</v>
      </c>
      <c r="F119" s="17" t="s">
        <v>627</v>
      </c>
      <c r="G119" s="18">
        <v>1016.46</v>
      </c>
      <c r="H119" s="15" t="s">
        <v>47</v>
      </c>
      <c r="I119" s="15"/>
      <c r="J119" s="24" t="str">
        <f t="array" ref="J119">IF($A119="","",IFERROR(_xlfn.XLOOKUP($A119,'Movimentação'!$B$7:$B$1006,'Movimentação'!$E$7:$E$1006,"",0,-1),""))</f>
        <v>MAURO</v>
      </c>
      <c r="K119" s="24" t="str">
        <f t="array" ref="K119">IF($A119="","",IFERROR(_xlfn.XLOOKUP($A119,'Movimentação'!$B$7:$B$1006,'Movimentação'!$G$7:$G$1006,"",0,-1),""))</f>
        <v>EICES</v>
      </c>
      <c r="L119" s="24" t="str">
        <f t="shared" si="3"/>
        <v>EM OBRA</v>
      </c>
      <c r="M119" s="17"/>
      <c r="N119" s="30">
        <f t="array" ref="N119">IF($A119="","",IFERROR(IF(OR($L119="BAIXADO",$L119="FURTADO"),0,INDEX(Listas!$J$2:$J$40,MATCH($B119,Listas!$I$2:$I$40,0))),""))</f>
        <v>300</v>
      </c>
      <c r="P119" s="31" t="str">
        <f t="array" ref="P119">IF($A119="","",IFERROR(_xlfn.XLOOKUP($A119,'Movimentação'!$B$7:$B$1006,'Movimentação'!$F$7:$F$1006,"",0,-1),""))</f>
        <v>ENTRADA (NOVA)</v>
      </c>
      <c r="Q119" s="31">
        <f>IF(COUNTIFS('Manutenção'!$B$7:$B$1006,$A119,'Manutenção'!$H$7:$H$1006,"EM CONSERTO")&gt;0,1,0)</f>
        <v>0</v>
      </c>
    </row>
    <row r="120" ht="15.0" hidden="1" customHeight="1">
      <c r="A120" s="15" t="s">
        <v>313</v>
      </c>
      <c r="B120" s="17" t="s">
        <v>117</v>
      </c>
      <c r="C120" s="17" t="s">
        <v>625</v>
      </c>
      <c r="D120" s="17" t="s">
        <v>628</v>
      </c>
      <c r="E120" s="17"/>
      <c r="F120" s="17"/>
      <c r="G120" s="18">
        <v>1016.46</v>
      </c>
      <c r="H120" s="15" t="s">
        <v>47</v>
      </c>
      <c r="I120" s="15"/>
      <c r="J120" s="24" t="str">
        <f t="array" ref="J120">IF($A120="","",IFERROR(_xlfn.XLOOKUP($A120,'Movimentação'!$B$7:$B$1006,'Movimentação'!$E$7:$E$1006,"",0,-1),""))</f>
        <v>ARENGA (TRISUL)</v>
      </c>
      <c r="K120" s="24" t="str">
        <f t="array" ref="K120">IF($A120="","",IFERROR(_xlfn.XLOOKUP($A120,'Movimentação'!$B$7:$B$1006,'Movimentação'!$G$7:$G$1006,"",0,-1),""))</f>
        <v>EICES</v>
      </c>
      <c r="L120" s="24" t="str">
        <f t="shared" si="3"/>
        <v>EM OBRA</v>
      </c>
      <c r="M120" s="17"/>
      <c r="N120" s="30">
        <f t="array" ref="N120">IF($A120="","",IFERROR(IF(OR($L120="BAIXADO",$L120="FURTADO"),0,INDEX(Listas!$J$2:$J$40,MATCH($B120,Listas!$I$2:$I$40,0))),""))</f>
        <v>300</v>
      </c>
      <c r="P120" s="31" t="str">
        <f t="array" ref="P120">IF($A120="","",IFERROR(_xlfn.XLOOKUP($A120,'Movimentação'!$B$7:$B$1006,'Movimentação'!$F$7:$F$1006,"",0,-1),""))</f>
        <v>ENTRADA (NOVA)</v>
      </c>
      <c r="Q120" s="31">
        <f>IF(COUNTIFS('Manutenção'!$B$7:$B$1006,$A120,'Manutenção'!$H$7:$H$1006,"EM CONSERTO")&gt;0,1,0)</f>
        <v>0</v>
      </c>
    </row>
    <row r="121" ht="15.0" hidden="1" customHeight="1">
      <c r="A121" s="15" t="s">
        <v>314</v>
      </c>
      <c r="B121" s="17" t="s">
        <v>117</v>
      </c>
      <c r="C121" s="17" t="s">
        <v>625</v>
      </c>
      <c r="D121" s="17" t="s">
        <v>628</v>
      </c>
      <c r="E121" s="17"/>
      <c r="F121" s="17"/>
      <c r="G121" s="18">
        <v>1188.78</v>
      </c>
      <c r="H121" s="15" t="s">
        <v>47</v>
      </c>
      <c r="I121" s="15">
        <v>308486.0</v>
      </c>
      <c r="J121" s="24" t="str">
        <f t="array" ref="J121">IF($A121="","",IFERROR(_xlfn.XLOOKUP($A121,'Movimentação'!$B$7:$B$1006,'Movimentação'!$E$7:$E$1006,"",0,-1),""))</f>
        <v>ESCRITÓRIO</v>
      </c>
      <c r="K121" s="24" t="str">
        <f t="array" ref="K121">IF($A121="","",IFERROR(_xlfn.XLOOKUP($A121,'Movimentação'!$B$7:$B$1006,'Movimentação'!$G$7:$G$1006,"",0,-1),""))</f>
        <v>LAÉRCIO</v>
      </c>
      <c r="L121" s="24" t="str">
        <f t="shared" si="3"/>
        <v>EM OBRA</v>
      </c>
      <c r="M121" s="17"/>
      <c r="N121" s="30">
        <f t="array" ref="N121">IF($A121="","",IFERROR(IF(OR($L121="BAIXADO",$L121="FURTADO"),0,INDEX(Listas!$J$2:$J$40,MATCH($B121,Listas!$I$2:$I$40,0))),""))</f>
        <v>300</v>
      </c>
      <c r="P121" s="31" t="str">
        <f t="array" ref="P121">IF($A121="","",IFERROR(_xlfn.XLOOKUP($A121,'Movimentação'!$B$7:$B$1006,'Movimentação'!$F$7:$F$1006,"",0,-1),""))</f>
        <v>TRANSFERÊNCIA</v>
      </c>
      <c r="Q121" s="31">
        <f>IF(COUNTIFS('Manutenção'!$B$7:$B$1006,$A121,'Manutenção'!$H$7:$H$1006,"EM CONSERTO")&gt;0,1,0)</f>
        <v>0</v>
      </c>
    </row>
    <row r="122" ht="15.0" hidden="1" customHeight="1">
      <c r="A122" s="15" t="s">
        <v>315</v>
      </c>
      <c r="B122" s="17" t="s">
        <v>119</v>
      </c>
      <c r="C122" s="17" t="s">
        <v>629</v>
      </c>
      <c r="D122" s="17" t="s">
        <v>630</v>
      </c>
      <c r="E122" s="17"/>
      <c r="F122" s="17" t="s">
        <v>631</v>
      </c>
      <c r="G122" s="18">
        <v>968.0</v>
      </c>
      <c r="H122" s="15" t="s">
        <v>47</v>
      </c>
      <c r="I122" s="15"/>
      <c r="J122" s="24" t="str">
        <f t="array" ref="J122">IF($A122="","",IFERROR(_xlfn.XLOOKUP($A122,'Movimentação'!$B$7:$B$1006,'Movimentação'!$E$7:$E$1006,"",0,-1),""))</f>
        <v>ANGELICA</v>
      </c>
      <c r="K122" s="24" t="s">
        <v>301</v>
      </c>
      <c r="L122" s="24" t="str">
        <f t="shared" si="3"/>
        <v>EM OBRA</v>
      </c>
      <c r="M122" s="17"/>
      <c r="N122" s="30">
        <f t="array" ref="N122">IF($A122="","",IFERROR(IF(OR($L122="BAIXADO",$L122="FURTADO"),0,INDEX(Listas!$J$2:$J$40,MATCH($B122,Listas!$I$2:$I$40,0))),""))</f>
        <v>200</v>
      </c>
      <c r="P122" s="31" t="str">
        <f t="array" ref="P122">IF($A122="","",IFERROR(_xlfn.XLOOKUP($A122,'Movimentação'!$B$7:$B$1006,'Movimentação'!$F$7:$F$1006,"",0,-1),""))</f>
        <v>ENTRADA (NOVA)</v>
      </c>
      <c r="Q122" s="31">
        <f>IF(COUNTIFS('Manutenção'!$B$7:$B$1006,$A122,'Manutenção'!$H$7:$H$1006,"EM CONSERTO")&gt;0,1,0)</f>
        <v>0</v>
      </c>
    </row>
    <row r="123" ht="15.0" hidden="1" customHeight="1">
      <c r="A123" s="15" t="s">
        <v>167</v>
      </c>
      <c r="B123" s="17" t="s">
        <v>119</v>
      </c>
      <c r="C123" s="17" t="s">
        <v>629</v>
      </c>
      <c r="D123" s="17" t="s">
        <v>630</v>
      </c>
      <c r="E123" s="17"/>
      <c r="F123" s="17"/>
      <c r="G123" s="18">
        <v>968.0</v>
      </c>
      <c r="H123" s="15" t="s">
        <v>47</v>
      </c>
      <c r="I123" s="15"/>
      <c r="J123" s="24" t="str">
        <f t="array" ref="J123">IF($A123="","",IFERROR(_xlfn.XLOOKUP($A123,'Movimentação'!$B$7:$B$1006,'Movimentação'!$E$7:$E$1006,"",0,-1),""))</f>
        <v>ANGELICA</v>
      </c>
      <c r="K123" s="24" t="str">
        <f t="array" ref="K123">IF($A123="","",IFERROR(_xlfn.XLOOKUP($A123,'Movimentação'!$B$7:$B$1006,'Movimentação'!$G$7:$G$1006,"",0,-1),""))</f>
        <v>THIAGO</v>
      </c>
      <c r="L123" s="24" t="str">
        <f t="shared" si="3"/>
        <v>EM OBRA</v>
      </c>
      <c r="M123" s="17"/>
      <c r="N123" s="30">
        <f t="array" ref="N123">IF($A123="","",IFERROR(IF(OR($L123="BAIXADO",$L123="FURTADO"),0,INDEX(Listas!$J$2:$J$40,MATCH($B123,Listas!$I$2:$I$40,0))),""))</f>
        <v>200</v>
      </c>
      <c r="P123" s="31" t="str">
        <f t="array" ref="P123">IF($A123="","",IFERROR(_xlfn.XLOOKUP($A123,'Movimentação'!$B$7:$B$1006,'Movimentação'!$F$7:$F$1006,"",0,-1),""))</f>
        <v>TRANSFERÊNCIA</v>
      </c>
      <c r="Q123" s="31">
        <f>IF(COUNTIFS('Manutenção'!$B$7:$B$1006,$A123,'Manutenção'!$H$7:$H$1006,"EM CONSERTO")&gt;0,1,0)</f>
        <v>0</v>
      </c>
    </row>
    <row r="124" ht="15.0" hidden="1" customHeight="1">
      <c r="A124" s="15" t="s">
        <v>317</v>
      </c>
      <c r="B124" s="17" t="s">
        <v>119</v>
      </c>
      <c r="C124" s="17" t="s">
        <v>629</v>
      </c>
      <c r="D124" s="17" t="s">
        <v>630</v>
      </c>
      <c r="E124" s="17"/>
      <c r="F124" s="17"/>
      <c r="G124" s="18">
        <v>968.0</v>
      </c>
      <c r="H124" s="15" t="s">
        <v>47</v>
      </c>
      <c r="I124" s="15"/>
      <c r="J124" s="24" t="str">
        <f t="array" ref="J124">IF($A124="","",IFERROR(_xlfn.XLOOKUP($A124,'Movimentação'!$B$7:$B$1006,'Movimentação'!$E$7:$E$1006,"",0,-1),""))</f>
        <v>ARENGA (TRISUL)</v>
      </c>
      <c r="K124" s="24" t="str">
        <f t="array" ref="K124">IF($A124="","",IFERROR(_xlfn.XLOOKUP($A124,'Movimentação'!$B$7:$B$1006,'Movimentação'!$G$7:$G$1006,"",0,-1),""))</f>
        <v>EICES</v>
      </c>
      <c r="L124" s="24" t="str">
        <f t="shared" si="3"/>
        <v>EM OBRA</v>
      </c>
      <c r="M124" s="17"/>
      <c r="N124" s="30">
        <f t="array" ref="N124">IF($A124="","",IFERROR(IF(OR($L124="BAIXADO",$L124="FURTADO"),0,INDEX(Listas!$J$2:$J$40,MATCH($B124,Listas!$I$2:$I$40,0))),""))</f>
        <v>200</v>
      </c>
      <c r="P124" s="31" t="str">
        <f t="array" ref="P124">IF($A124="","",IFERROR(_xlfn.XLOOKUP($A124,'Movimentação'!$B$7:$B$1006,'Movimentação'!$F$7:$F$1006,"",0,-1),""))</f>
        <v>ENTRADA (NOVA)</v>
      </c>
      <c r="Q124" s="31">
        <f>IF(COUNTIFS('Manutenção'!$B$7:$B$1006,$A124,'Manutenção'!$H$7:$H$1006,"EM CONSERTO")&gt;0,1,0)</f>
        <v>0</v>
      </c>
    </row>
    <row r="125" ht="15.0" hidden="1" customHeight="1">
      <c r="A125" s="15" t="s">
        <v>318</v>
      </c>
      <c r="B125" s="17" t="s">
        <v>119</v>
      </c>
      <c r="C125" s="17" t="s">
        <v>629</v>
      </c>
      <c r="D125" s="17" t="s">
        <v>630</v>
      </c>
      <c r="E125" s="17"/>
      <c r="F125" s="17"/>
      <c r="G125" s="18">
        <v>968.0</v>
      </c>
      <c r="H125" s="15" t="s">
        <v>47</v>
      </c>
      <c r="I125" s="15"/>
      <c r="J125" s="24" t="str">
        <f t="array" ref="J125">IF($A125="","",IFERROR(_xlfn.XLOOKUP($A125,'Movimentação'!$B$7:$B$1006,'Movimentação'!$E$7:$E$1006,"",0,-1),""))</f>
        <v>MAURO</v>
      </c>
      <c r="K125" s="24" t="str">
        <f t="array" ref="K125">IF($A125="","",IFERROR(_xlfn.XLOOKUP($A125,'Movimentação'!$B$7:$B$1006,'Movimentação'!$G$7:$G$1006,"",0,-1),""))</f>
        <v>TAYANE</v>
      </c>
      <c r="L125" s="24" t="str">
        <f t="shared" si="3"/>
        <v>EM OBRA</v>
      </c>
      <c r="M125" s="17"/>
      <c r="N125" s="30">
        <f t="array" ref="N125">IF($A125="","",IFERROR(IF(OR($L125="BAIXADO",$L125="FURTADO"),0,INDEX(Listas!$J$2:$J$40,MATCH($B125,Listas!$I$2:$I$40,0))),""))</f>
        <v>200</v>
      </c>
      <c r="P125" s="31" t="str">
        <f t="array" ref="P125">IF($A125="","",IFERROR(_xlfn.XLOOKUP($A125,'Movimentação'!$B$7:$B$1006,'Movimentação'!$F$7:$F$1006,"",0,-1),""))</f>
        <v>TRANSFERÊNCIA</v>
      </c>
      <c r="Q125" s="31">
        <f>IF(COUNTIFS('Manutenção'!$B$7:$B$1006,$A125,'Manutenção'!$H$7:$H$1006,"EM CONSERTO")&gt;0,1,0)</f>
        <v>0</v>
      </c>
    </row>
    <row r="126" ht="15.0" hidden="1" customHeight="1">
      <c r="A126" s="15" t="s">
        <v>320</v>
      </c>
      <c r="B126" s="17" t="s">
        <v>119</v>
      </c>
      <c r="C126" s="17" t="s">
        <v>629</v>
      </c>
      <c r="D126" s="17" t="s">
        <v>630</v>
      </c>
      <c r="E126" s="17"/>
      <c r="F126" s="17" t="s">
        <v>632</v>
      </c>
      <c r="G126" s="34">
        <v>968.0</v>
      </c>
      <c r="H126" s="15" t="s">
        <v>189</v>
      </c>
      <c r="I126" s="15"/>
      <c r="J126" s="24" t="str">
        <f t="array" ref="J126">IF($A126="","",IFERROR(_xlfn.XLOOKUP($A126,'Movimentação'!$B$7:$B$1006,'Movimentação'!$E$7:$E$1006,"",0,-1),""))</f>
        <v>TANABI</v>
      </c>
      <c r="K126" s="24" t="str">
        <f t="array" ref="K126">IF($A126="","",IFERROR(_xlfn.XLOOKUP($A126,'Movimentação'!$B$7:$B$1006,'Movimentação'!$G$7:$G$1006,"",0,-1),""))</f>
        <v>MAYARA</v>
      </c>
      <c r="L126" s="24" t="str">
        <f t="shared" si="3"/>
        <v>EM OBRA</v>
      </c>
      <c r="M126" s="17"/>
      <c r="N126" s="30">
        <f t="array" ref="N126">IF($A126="","",IFERROR(IF(OR($L126="BAIXADO",$L126="FURTADO"),0,INDEX(Listas!$J$2:$J$40,MATCH($B126,Listas!$I$2:$I$40,0))),""))</f>
        <v>200</v>
      </c>
      <c r="P126" s="31" t="str">
        <f t="array" ref="P126">IF($A126="","",IFERROR(_xlfn.XLOOKUP($A126,'Movimentação'!$B$7:$B$1006,'Movimentação'!$F$7:$F$1006,"",0,-1),""))</f>
        <v>TRANSFERÊNCIA</v>
      </c>
      <c r="Q126" s="31">
        <f>IF(COUNTIFS('Manutenção'!$B$7:$B$1006,$A126,'Manutenção'!$H$7:$H$1006,"EM CONSERTO")&gt;0,1,0)</f>
        <v>0</v>
      </c>
    </row>
    <row r="127" ht="15.0" hidden="1" customHeight="1">
      <c r="A127" s="15" t="s">
        <v>322</v>
      </c>
      <c r="B127" s="17" t="s">
        <v>119</v>
      </c>
      <c r="C127" s="17" t="s">
        <v>629</v>
      </c>
      <c r="D127" s="17" t="s">
        <v>630</v>
      </c>
      <c r="E127" s="17"/>
      <c r="F127" s="17"/>
      <c r="G127" s="34">
        <v>968.0</v>
      </c>
      <c r="H127" s="15" t="s">
        <v>189</v>
      </c>
      <c r="I127" s="15"/>
      <c r="J127" s="24" t="str">
        <f t="array" ref="J127">IF($A127="","",IFERROR(_xlfn.XLOOKUP($A127,'Movimentação'!$B$7:$B$1006,'Movimentação'!$E$7:$E$1006,"",0,-1),""))</f>
        <v>ASSISTENCIA TECNICA</v>
      </c>
      <c r="K127" s="24" t="str">
        <f t="array" ref="K127">IF($A127="","",IFERROR(_xlfn.XLOOKUP($A127,'Movimentação'!$B$7:$B$1006,'Movimentação'!$G$7:$G$1006,"",0,-1),""))</f>
        <v>LAÉRCIO</v>
      </c>
      <c r="L127" s="24" t="str">
        <f t="shared" si="3"/>
        <v>BAIXADO</v>
      </c>
      <c r="M127" s="17"/>
      <c r="N127" s="30">
        <f t="array" ref="N127">IF($A127="","",IFERROR(IF(OR($L127="BAIXADO",$L127="FURTADO"),0,INDEX(Listas!$J$2:$J$40,MATCH($B127,Listas!$I$2:$I$40,0))),""))</f>
        <v>0</v>
      </c>
      <c r="P127" s="31" t="str">
        <f t="array" ref="P127">IF($A127="","",IFERROR(_xlfn.XLOOKUP($A127,'Movimentação'!$B$7:$B$1006,'Movimentação'!$F$7:$F$1006,"",0,-1),""))</f>
        <v>BAIXA</v>
      </c>
      <c r="Q127" s="31">
        <f>IF(COUNTIFS('Manutenção'!$B$7:$B$1006,$A127,'Manutenção'!$H$7:$H$1006,"EM CONSERTO")&gt;0,1,0)</f>
        <v>0</v>
      </c>
    </row>
    <row r="128" ht="15.0" hidden="1" customHeight="1">
      <c r="A128" s="15" t="s">
        <v>329</v>
      </c>
      <c r="B128" s="17" t="s">
        <v>122</v>
      </c>
      <c r="C128" s="17" t="s">
        <v>633</v>
      </c>
      <c r="D128" s="17" t="s">
        <v>588</v>
      </c>
      <c r="E128" s="17"/>
      <c r="F128" s="17" t="s">
        <v>634</v>
      </c>
      <c r="G128" s="18">
        <v>500.0</v>
      </c>
      <c r="H128" s="15" t="s">
        <v>47</v>
      </c>
      <c r="I128" s="15"/>
      <c r="J128" s="24" t="str">
        <f t="array" ref="J128">IF($A128="","",IFERROR(_xlfn.XLOOKUP($A128,'Movimentação'!$B$7:$B$1006,'Movimentação'!$E$7:$E$1006,"",0,-1),""))</f>
        <v>ASSISTENCIA TECNICA</v>
      </c>
      <c r="K128" s="24" t="str">
        <f t="array" ref="K128">IF($A128="","",IFERROR(_xlfn.XLOOKUP($A128,'Movimentação'!$B$7:$B$1006,'Movimentação'!$G$7:$G$1006,"",0,-1),""))</f>
        <v>EICES</v>
      </c>
      <c r="L128" s="24" t="str">
        <f t="shared" si="3"/>
        <v>BAIXADO</v>
      </c>
      <c r="M128" s="17"/>
      <c r="N128" s="30">
        <f t="array" ref="N128">IF($A128="","",IFERROR(IF(OR($L128="BAIXADO",$L128="FURTADO"),0,INDEX(Listas!$J$2:$J$40,MATCH($B128,Listas!$I$2:$I$40,0))),""))</f>
        <v>0</v>
      </c>
      <c r="P128" s="31" t="str">
        <f t="array" ref="P128">IF($A128="","",IFERROR(_xlfn.XLOOKUP($A128,'Movimentação'!$B$7:$B$1006,'Movimentação'!$F$7:$F$1006,"",0,-1),""))</f>
        <v>BAIXA</v>
      </c>
      <c r="Q128" s="31">
        <f>IF(COUNTIFS('Manutenção'!$B$7:$B$1006,$A128,'Manutenção'!$H$7:$H$1006,"EM CONSERTO")&gt;0,1,0)</f>
        <v>0</v>
      </c>
    </row>
    <row r="129" ht="15.0" hidden="1" customHeight="1">
      <c r="A129" s="15" t="s">
        <v>331</v>
      </c>
      <c r="B129" s="17" t="s">
        <v>122</v>
      </c>
      <c r="C129" s="17" t="s">
        <v>633</v>
      </c>
      <c r="D129" s="17" t="s">
        <v>588</v>
      </c>
      <c r="E129" s="17"/>
      <c r="F129" s="17" t="s">
        <v>634</v>
      </c>
      <c r="G129" s="18">
        <v>500.0</v>
      </c>
      <c r="H129" s="15" t="s">
        <v>47</v>
      </c>
      <c r="I129" s="15"/>
      <c r="J129" s="24" t="str">
        <f t="array" ref="J129">IF($A129="","",IFERROR(_xlfn.XLOOKUP($A129,'Movimentação'!$B$7:$B$1006,'Movimentação'!$E$7:$E$1006,"",0,-1),""))</f>
        <v>ESCRITÓRIO</v>
      </c>
      <c r="K129" s="24" t="str">
        <f t="array" ref="K129">IF($A129="","",IFERROR(_xlfn.XLOOKUP($A129,'Movimentação'!$B$7:$B$1006,'Movimentação'!$G$7:$G$1006,"",0,-1),""))</f>
        <v>EICES</v>
      </c>
      <c r="L129" s="24" t="str">
        <f t="shared" si="3"/>
        <v>EM OBRA</v>
      </c>
      <c r="M129" s="17"/>
      <c r="N129" s="30">
        <f t="array" ref="N129">IF($A129="","",IFERROR(IF(OR($L129="BAIXADO",$L129="FURTADO"),0,INDEX(Listas!$J$2:$J$40,MATCH($B129,Listas!$I$2:$I$40,0))),""))</f>
        <v>200</v>
      </c>
      <c r="P129" s="31" t="str">
        <f t="array" ref="P129">IF($A129="","",IFERROR(_xlfn.XLOOKUP($A129,'Movimentação'!$B$7:$B$1006,'Movimentação'!$F$7:$F$1006,"",0,-1),""))</f>
        <v>ENTRADA (NOVA)</v>
      </c>
      <c r="Q129" s="31">
        <f>IF(COUNTIFS('Manutenção'!$B$7:$B$1006,$A129,'Manutenção'!$H$7:$H$1006,"EM CONSERTO")&gt;0,1,0)</f>
        <v>0</v>
      </c>
    </row>
    <row r="130" ht="15.0" hidden="1" customHeight="1">
      <c r="A130" s="15" t="s">
        <v>333</v>
      </c>
      <c r="B130" s="17" t="s">
        <v>122</v>
      </c>
      <c r="C130" s="17" t="s">
        <v>633</v>
      </c>
      <c r="D130" s="17" t="s">
        <v>588</v>
      </c>
      <c r="E130" s="17"/>
      <c r="F130" s="17" t="s">
        <v>635</v>
      </c>
      <c r="G130" s="34">
        <v>500.0</v>
      </c>
      <c r="H130" s="15" t="s">
        <v>189</v>
      </c>
      <c r="I130" s="15"/>
      <c r="J130" s="24" t="s">
        <v>163</v>
      </c>
      <c r="K130" s="24" t="str">
        <f t="array" ref="K130">IF($A130="","",IFERROR(_xlfn.XLOOKUP($A130,'Movimentação'!$B$7:$B$1006,'Movimentação'!$G$7:$G$1006,"",0,-1),""))</f>
        <v>EICES</v>
      </c>
      <c r="L130" s="24" t="str">
        <f t="shared" si="3"/>
        <v>BAIXADO</v>
      </c>
      <c r="M130" s="17"/>
      <c r="N130" s="30">
        <f t="array" ref="N130">IF($A130="","",IFERROR(IF(OR($L130="BAIXADO",$L130="FURTADO"),0,INDEX(Listas!$J$2:$J$40,MATCH($B130,Listas!$I$2:$I$40,0))),""))</f>
        <v>0</v>
      </c>
      <c r="P130" s="31" t="str">
        <f t="array" ref="P130">IF($A130="","",IFERROR(_xlfn.XLOOKUP($A130,'Movimentação'!$B$7:$B$1006,'Movimentação'!$F$7:$F$1006,"",0,-1),""))</f>
        <v>BAIXA</v>
      </c>
      <c r="Q130" s="31">
        <f>IF(COUNTIFS('Manutenção'!$B$7:$B$1006,$A130,'Manutenção'!$H$7:$H$1006,"EM CONSERTO")&gt;0,1,0)</f>
        <v>0</v>
      </c>
    </row>
    <row r="131" ht="15.0" hidden="1" customHeight="1">
      <c r="A131" s="15" t="s">
        <v>636</v>
      </c>
      <c r="B131" s="17" t="s">
        <v>126</v>
      </c>
      <c r="C131" s="17" t="s">
        <v>637</v>
      </c>
      <c r="D131" s="17" t="s">
        <v>379</v>
      </c>
      <c r="E131" s="17" t="s">
        <v>638</v>
      </c>
      <c r="F131" s="17">
        <v>2.02488251084E11</v>
      </c>
      <c r="G131" s="34">
        <v>1200.0</v>
      </c>
      <c r="H131" s="15" t="s">
        <v>189</v>
      </c>
      <c r="I131" s="15"/>
      <c r="J131" s="24" t="str">
        <f t="array" ref="J131">IF($A131="","",IFERROR(_xlfn.XLOOKUP($A131,'Movimentação'!$B$7:$B$1006,'Movimentação'!$E$7:$E$1006,"",0,-1),""))</f>
        <v/>
      </c>
      <c r="K131" s="24" t="str">
        <f t="array" ref="K131">IF($A131="","",IFERROR(_xlfn.XLOOKUP($A131,'Movimentação'!$B$7:$B$1006,'Movimentação'!$G$7:$G$1006,"",0,-1),""))</f>
        <v/>
      </c>
      <c r="L131" s="24" t="str">
        <f t="shared" si="3"/>
        <v>PENDENTE-PROCURAR</v>
      </c>
      <c r="M131" s="17"/>
      <c r="N131" s="30" t="str">
        <f t="array" ref="N131">IF($A131="","",IFERROR(IF(OR($L131="BAIXADO",$L131="FURTADO"),0,INDEX(Listas!$J$2:$J$40,MATCH($B131,Listas!$I$2:$I$40,0))),""))</f>
        <v/>
      </c>
      <c r="P131" s="31" t="str">
        <f t="array" ref="P131">IF($A131="","",IFERROR(_xlfn.XLOOKUP($A131,'Movimentação'!$B$7:$B$1006,'Movimentação'!$F$7:$F$1006,"",0,-1),""))</f>
        <v/>
      </c>
      <c r="Q131" s="31">
        <f>IF(COUNTIFS('Manutenção'!$B$7:$B$1006,$A131,'Manutenção'!$H$7:$H$1006,"EM CONSERTO")&gt;0,1,0)</f>
        <v>0</v>
      </c>
    </row>
    <row r="132" ht="15.0" hidden="1" customHeight="1">
      <c r="A132" s="15" t="s">
        <v>335</v>
      </c>
      <c r="B132" s="17" t="s">
        <v>124</v>
      </c>
      <c r="C132" s="17" t="s">
        <v>639</v>
      </c>
      <c r="D132" s="17" t="s">
        <v>630</v>
      </c>
      <c r="E132" s="17"/>
      <c r="F132" s="17"/>
      <c r="G132" s="34">
        <v>599.0</v>
      </c>
      <c r="H132" s="15" t="s">
        <v>189</v>
      </c>
      <c r="I132" s="15"/>
      <c r="J132" s="24" t="str">
        <f t="array" ref="J132">IF($A132="","",IFERROR(_xlfn.XLOOKUP($A132,'Movimentação'!$B$7:$B$1006,'Movimentação'!$E$7:$E$1006,"",0,-1),""))</f>
        <v>MAURO</v>
      </c>
      <c r="K132" s="24" t="str">
        <f t="array" ref="K132">IF($A132="","",IFERROR(_xlfn.XLOOKUP($A132,'Movimentação'!$B$7:$B$1006,'Movimentação'!$G$7:$G$1006,"",0,-1),""))</f>
        <v>EICES</v>
      </c>
      <c r="L132" s="24" t="str">
        <f t="shared" si="3"/>
        <v>EM OBRA</v>
      </c>
      <c r="M132" s="17"/>
      <c r="N132" s="30">
        <f t="array" ref="N132">IF($A132="","",IFERROR(IF(OR($L132="BAIXADO",$L132="FURTADO"),0,INDEX(Listas!$J$2:$J$40,MATCH($B132,Listas!$I$2:$I$40,0))),""))</f>
        <v>100</v>
      </c>
      <c r="P132" s="31" t="str">
        <f t="array" ref="P132">IF($A132="","",IFERROR(_xlfn.XLOOKUP($A132,'Movimentação'!$B$7:$B$1006,'Movimentação'!$F$7:$F$1006,"",0,-1),""))</f>
        <v>TRANSFERÊNCIA</v>
      </c>
      <c r="Q132" s="31">
        <f>IF(COUNTIFS('Manutenção'!$B$7:$B$1006,$A132,'Manutenção'!$H$7:$H$1006,"EM CONSERTO")&gt;0,1,0)</f>
        <v>0</v>
      </c>
    </row>
    <row r="133" ht="15.0" hidden="1" customHeight="1">
      <c r="A133" s="15" t="s">
        <v>640</v>
      </c>
      <c r="B133" s="17" t="s">
        <v>124</v>
      </c>
      <c r="C133" s="17" t="s">
        <v>639</v>
      </c>
      <c r="D133" s="17" t="s">
        <v>630</v>
      </c>
      <c r="E133" s="17"/>
      <c r="F133" s="17"/>
      <c r="G133" s="34">
        <v>599.0</v>
      </c>
      <c r="H133" s="15" t="s">
        <v>189</v>
      </c>
      <c r="I133" s="15"/>
      <c r="J133" s="24" t="str">
        <f t="array" ref="J133">IF($A133="","",IFERROR(_xlfn.XLOOKUP($A133,'Movimentação'!$B$7:$B$1006,'Movimentação'!$E$7:$E$1006,"",0,-1),""))</f>
        <v/>
      </c>
      <c r="K133" s="24" t="str">
        <f t="array" ref="K133">IF($A133="","",IFERROR(_xlfn.XLOOKUP($A133,'Movimentação'!$B$7:$B$1006,'Movimentação'!$G$7:$G$1006,"",0,-1),""))</f>
        <v/>
      </c>
      <c r="L133" s="24" t="str">
        <f t="shared" si="3"/>
        <v>PENDENTE-PROCURAR</v>
      </c>
      <c r="M133" s="17"/>
      <c r="N133" s="30">
        <f t="array" ref="N133">IF($A133="","",IFERROR(IF(OR($L133="BAIXADO",$L133="FURTADO"),0,INDEX(Listas!$J$2:$J$40,MATCH($B133,Listas!$I$2:$I$40,0))),""))</f>
        <v>100</v>
      </c>
      <c r="P133" s="31" t="str">
        <f t="array" ref="P133">IF($A133="","",IFERROR(_xlfn.XLOOKUP($A133,'Movimentação'!$B$7:$B$1006,'Movimentação'!$F$7:$F$1006,"",0,-1),""))</f>
        <v/>
      </c>
      <c r="Q133" s="31">
        <f>IF(COUNTIFS('Manutenção'!$B$7:$B$1006,$A133,'Manutenção'!$H$7:$H$1006,"EM CONSERTO")&gt;0,1,0)</f>
        <v>0</v>
      </c>
    </row>
    <row r="134" ht="15.0" hidden="1" customHeight="1">
      <c r="A134" s="15" t="s">
        <v>641</v>
      </c>
      <c r="B134" s="17" t="s">
        <v>130</v>
      </c>
      <c r="C134" s="17" t="s">
        <v>642</v>
      </c>
      <c r="D134" s="17" t="s">
        <v>643</v>
      </c>
      <c r="E134" s="17" t="s">
        <v>644</v>
      </c>
      <c r="F134" s="17" t="s">
        <v>645</v>
      </c>
      <c r="G134" s="34">
        <v>150.0</v>
      </c>
      <c r="H134" s="15" t="s">
        <v>189</v>
      </c>
      <c r="I134" s="15"/>
      <c r="J134" s="24" t="str">
        <f t="array" ref="J134">IF($A134="","",IFERROR(_xlfn.XLOOKUP($A134,'Movimentação'!$B$7:$B$1006,'Movimentação'!$E$7:$E$1006,"",0,-1),""))</f>
        <v/>
      </c>
      <c r="K134" s="24" t="str">
        <f t="array" ref="K134">IF($A134="","",IFERROR(_xlfn.XLOOKUP($A134,'Movimentação'!$B$7:$B$1006,'Movimentação'!$G$7:$G$1006,"",0,-1),""))</f>
        <v/>
      </c>
      <c r="L134" s="24" t="str">
        <f t="shared" si="3"/>
        <v>PENDENTE-PROCURAR</v>
      </c>
      <c r="M134" s="17" t="s">
        <v>646</v>
      </c>
      <c r="N134" s="30">
        <f t="array" ref="N134">IF($A134="","",IFERROR(IF(OR($L134="BAIXADO",$L134="FURTADO"),0,INDEX(Listas!$J$2:$J$40,MATCH($B134,Listas!$I$2:$I$40,0))),""))</f>
        <v>50</v>
      </c>
      <c r="P134" s="31" t="str">
        <f t="array" ref="P134">IF($A134="","",IFERROR(_xlfn.XLOOKUP($A134,'Movimentação'!$B$7:$B$1006,'Movimentação'!$F$7:$F$1006,"",0,-1),""))</f>
        <v/>
      </c>
      <c r="Q134" s="31">
        <f>IF(COUNTIFS('Manutenção'!$B$7:$B$1006,$A134,'Manutenção'!$H$7:$H$1006,"EM CONSERTO")&gt;0,1,0)</f>
        <v>0</v>
      </c>
    </row>
    <row r="135" ht="15.0" hidden="1" customHeight="1">
      <c r="A135" s="15" t="s">
        <v>338</v>
      </c>
      <c r="B135" s="17" t="s">
        <v>130</v>
      </c>
      <c r="C135" s="17" t="s">
        <v>642</v>
      </c>
      <c r="D135" s="17" t="s">
        <v>643</v>
      </c>
      <c r="E135" s="17" t="s">
        <v>647</v>
      </c>
      <c r="F135" s="17" t="s">
        <v>648</v>
      </c>
      <c r="G135" s="34">
        <v>150.0</v>
      </c>
      <c r="H135" s="15" t="s">
        <v>189</v>
      </c>
      <c r="I135" s="15"/>
      <c r="J135" s="24" t="str">
        <f t="array" ref="J135">IF($A135="","",IFERROR(_xlfn.XLOOKUP($A135,'Movimentação'!$B$7:$B$1006,'Movimentação'!$E$7:$E$1006,"",0,-1),""))</f>
        <v>ESCRITÓRIO</v>
      </c>
      <c r="K135" s="24" t="str">
        <f t="array" ref="K135">IF($A135="","",IFERROR(_xlfn.XLOOKUP($A135,'Movimentação'!$B$7:$B$1006,'Movimentação'!$G$7:$G$1006,"",0,-1),""))</f>
        <v>LAÉRCIO</v>
      </c>
      <c r="L135" s="24" t="str">
        <f t="shared" si="3"/>
        <v>EM OBRA</v>
      </c>
      <c r="M135" s="17"/>
      <c r="N135" s="30">
        <f t="array" ref="N135">IF($A135="","",IFERROR(IF(OR($L135="BAIXADO",$L135="FURTADO"),0,INDEX(Listas!$J$2:$J$40,MATCH($B135,Listas!$I$2:$I$40,0))),""))</f>
        <v>50</v>
      </c>
      <c r="P135" s="31" t="str">
        <f t="array" ref="P135">IF($A135="","",IFERROR(_xlfn.XLOOKUP($A135,'Movimentação'!$B$7:$B$1006,'Movimentação'!$F$7:$F$1006,"",0,-1),""))</f>
        <v>TRANSFERÊNCIA</v>
      </c>
      <c r="Q135" s="31">
        <f>IF(COUNTIFS('Manutenção'!$B$7:$B$1006,$A135,'Manutenção'!$H$7:$H$1006,"EM CONSERTO")&gt;0,1,0)</f>
        <v>0</v>
      </c>
    </row>
    <row r="136" ht="15.0" hidden="1" customHeight="1">
      <c r="A136" s="15" t="s">
        <v>649</v>
      </c>
      <c r="B136" s="17" t="s">
        <v>130</v>
      </c>
      <c r="C136" s="17" t="s">
        <v>642</v>
      </c>
      <c r="D136" s="17" t="s">
        <v>643</v>
      </c>
      <c r="E136" s="17" t="s">
        <v>650</v>
      </c>
      <c r="F136" s="17" t="s">
        <v>651</v>
      </c>
      <c r="G136" s="34">
        <v>150.0</v>
      </c>
      <c r="H136" s="15" t="s">
        <v>189</v>
      </c>
      <c r="I136" s="15"/>
      <c r="J136" s="24" t="str">
        <f t="array" ref="J136">IF($A136="","",IFERROR(_xlfn.XLOOKUP($A136,'Movimentação'!$B$7:$B$1006,'Movimentação'!$E$7:$E$1006,"",0,-1),""))</f>
        <v/>
      </c>
      <c r="K136" s="24" t="str">
        <f t="array" ref="K136">IF($A136="","",IFERROR(_xlfn.XLOOKUP($A136,'Movimentação'!$B$7:$B$1006,'Movimentação'!$G$7:$G$1006,"",0,-1),""))</f>
        <v/>
      </c>
      <c r="L136" s="24" t="str">
        <f t="shared" si="3"/>
        <v>PENDENTE-PROCURAR</v>
      </c>
      <c r="M136" s="17"/>
      <c r="N136" s="30">
        <f t="array" ref="N136">IF($A136="","",IFERROR(IF(OR($L136="BAIXADO",$L136="FURTADO"),0,INDEX(Listas!$J$2:$J$40,MATCH($B136,Listas!$I$2:$I$40,0))),""))</f>
        <v>50</v>
      </c>
      <c r="P136" s="31" t="str">
        <f t="array" ref="P136">IF($A136="","",IFERROR(_xlfn.XLOOKUP($A136,'Movimentação'!$B$7:$B$1006,'Movimentação'!$F$7:$F$1006,"",0,-1),""))</f>
        <v/>
      </c>
      <c r="Q136" s="31">
        <f>IF(COUNTIFS('Manutenção'!$B$7:$B$1006,$A136,'Manutenção'!$H$7:$H$1006,"EM CONSERTO")&gt;0,1,0)</f>
        <v>0</v>
      </c>
    </row>
    <row r="137" ht="15.0" hidden="1" customHeight="1">
      <c r="A137" s="15" t="s">
        <v>652</v>
      </c>
      <c r="B137" s="17" t="s">
        <v>130</v>
      </c>
      <c r="C137" s="17" t="s">
        <v>642</v>
      </c>
      <c r="D137" s="17" t="s">
        <v>643</v>
      </c>
      <c r="E137" s="17" t="s">
        <v>653</v>
      </c>
      <c r="F137" s="17" t="s">
        <v>654</v>
      </c>
      <c r="G137" s="34">
        <v>150.0</v>
      </c>
      <c r="H137" s="15" t="s">
        <v>189</v>
      </c>
      <c r="I137" s="15"/>
      <c r="J137" s="24" t="str">
        <f t="array" ref="J137">IF($A137="","",IFERROR(_xlfn.XLOOKUP($A137,'Movimentação'!$B$7:$B$1006,'Movimentação'!$E$7:$E$1006,"",0,-1),""))</f>
        <v/>
      </c>
      <c r="K137" s="24" t="str">
        <f t="array" ref="K137">IF($A137="","",IFERROR(_xlfn.XLOOKUP($A137,'Movimentação'!$B$7:$B$1006,'Movimentação'!$G$7:$G$1006,"",0,-1),""))</f>
        <v/>
      </c>
      <c r="L137" s="24" t="str">
        <f t="shared" si="3"/>
        <v>PENDENTE-PROCURAR</v>
      </c>
      <c r="M137" s="17"/>
      <c r="N137" s="30">
        <f t="array" ref="N137">IF($A137="","",IFERROR(IF(OR($L137="BAIXADO",$L137="FURTADO"),0,INDEX(Listas!$J$2:$J$40,MATCH($B137,Listas!$I$2:$I$40,0))),""))</f>
        <v>50</v>
      </c>
      <c r="P137" s="31" t="str">
        <f t="array" ref="P137">IF($A137="","",IFERROR(_xlfn.XLOOKUP($A137,'Movimentação'!$B$7:$B$1006,'Movimentação'!$F$7:$F$1006,"",0,-1),""))</f>
        <v/>
      </c>
      <c r="Q137" s="31">
        <f>IF(COUNTIFS('Manutenção'!$B$7:$B$1006,$A137,'Manutenção'!$H$7:$H$1006,"EM CONSERTO")&gt;0,1,0)</f>
        <v>0</v>
      </c>
    </row>
    <row r="138" ht="15.0" hidden="1" customHeight="1">
      <c r="A138" s="15" t="s">
        <v>655</v>
      </c>
      <c r="B138" s="17" t="s">
        <v>130</v>
      </c>
      <c r="C138" s="17" t="s">
        <v>642</v>
      </c>
      <c r="D138" s="17" t="s">
        <v>643</v>
      </c>
      <c r="E138" s="17" t="s">
        <v>656</v>
      </c>
      <c r="F138" s="17" t="s">
        <v>657</v>
      </c>
      <c r="G138" s="34">
        <v>150.0</v>
      </c>
      <c r="H138" s="15" t="s">
        <v>189</v>
      </c>
      <c r="I138" s="15"/>
      <c r="J138" s="24" t="str">
        <f t="array" ref="J138">IF($A138="","",IFERROR(_xlfn.XLOOKUP($A138,'Movimentação'!$B$7:$B$1006,'Movimentação'!$E$7:$E$1006,"",0,-1),""))</f>
        <v/>
      </c>
      <c r="K138" s="24" t="str">
        <f t="array" ref="K138">IF($A138="","",IFERROR(_xlfn.XLOOKUP($A138,'Movimentação'!$B$7:$B$1006,'Movimentação'!$G$7:$G$1006,"",0,-1),""))</f>
        <v/>
      </c>
      <c r="L138" s="24" t="str">
        <f t="shared" si="3"/>
        <v>PENDENTE-PROCURAR</v>
      </c>
      <c r="M138" s="17"/>
      <c r="N138" s="30">
        <f t="array" ref="N138">IF($A138="","",IFERROR(IF(OR($L138="BAIXADO",$L138="FURTADO"),0,INDEX(Listas!$J$2:$J$40,MATCH($B138,Listas!$I$2:$I$40,0))),""))</f>
        <v>50</v>
      </c>
      <c r="P138" s="31" t="str">
        <f t="array" ref="P138">IF($A138="","",IFERROR(_xlfn.XLOOKUP($A138,'Movimentação'!$B$7:$B$1006,'Movimentação'!$F$7:$F$1006,"",0,-1),""))</f>
        <v/>
      </c>
      <c r="Q138" s="31">
        <f>IF(COUNTIFS('Manutenção'!$B$7:$B$1006,$A138,'Manutenção'!$H$7:$H$1006,"EM CONSERTO")&gt;0,1,0)</f>
        <v>0</v>
      </c>
    </row>
    <row r="139" ht="15.0" hidden="1" customHeight="1">
      <c r="A139" s="15" t="s">
        <v>658</v>
      </c>
      <c r="B139" s="17" t="s">
        <v>130</v>
      </c>
      <c r="C139" s="17" t="s">
        <v>642</v>
      </c>
      <c r="D139" s="17" t="s">
        <v>643</v>
      </c>
      <c r="E139" s="17" t="s">
        <v>659</v>
      </c>
      <c r="F139" s="17" t="s">
        <v>660</v>
      </c>
      <c r="G139" s="34">
        <v>150.0</v>
      </c>
      <c r="H139" s="15" t="s">
        <v>189</v>
      </c>
      <c r="I139" s="15"/>
      <c r="J139" s="24" t="str">
        <f t="array" ref="J139">IF($A139="","",IFERROR(_xlfn.XLOOKUP($A139,'Movimentação'!$B$7:$B$1006,'Movimentação'!$E$7:$E$1006,"",0,-1),""))</f>
        <v/>
      </c>
      <c r="K139" s="24" t="str">
        <f t="array" ref="K139">IF($A139="","",IFERROR(_xlfn.XLOOKUP($A139,'Movimentação'!$B$7:$B$1006,'Movimentação'!$G$7:$G$1006,"",0,-1),""))</f>
        <v/>
      </c>
      <c r="L139" s="24" t="str">
        <f t="shared" si="3"/>
        <v>PENDENTE-PROCURAR</v>
      </c>
      <c r="M139" s="17"/>
      <c r="N139" s="30">
        <f t="array" ref="N139">IF($A139="","",IFERROR(IF(OR($L139="BAIXADO",$L139="FURTADO"),0,INDEX(Listas!$J$2:$J$40,MATCH($B139,Listas!$I$2:$I$40,0))),""))</f>
        <v>50</v>
      </c>
      <c r="P139" s="31" t="str">
        <f t="array" ref="P139">IF($A139="","",IFERROR(_xlfn.XLOOKUP($A139,'Movimentação'!$B$7:$B$1006,'Movimentação'!$F$7:$F$1006,"",0,-1),""))</f>
        <v/>
      </c>
      <c r="Q139" s="31">
        <f>IF(COUNTIFS('Manutenção'!$B$7:$B$1006,$A139,'Manutenção'!$H$7:$H$1006,"EM CONSERTO")&gt;0,1,0)</f>
        <v>0</v>
      </c>
    </row>
    <row r="140" ht="15.0" hidden="1" customHeight="1">
      <c r="A140" s="15" t="s">
        <v>661</v>
      </c>
      <c r="B140" s="17" t="s">
        <v>130</v>
      </c>
      <c r="C140" s="17" t="s">
        <v>642</v>
      </c>
      <c r="D140" s="17" t="s">
        <v>643</v>
      </c>
      <c r="E140" s="17" t="s">
        <v>662</v>
      </c>
      <c r="F140" s="17" t="s">
        <v>663</v>
      </c>
      <c r="G140" s="34">
        <v>150.0</v>
      </c>
      <c r="H140" s="15" t="s">
        <v>189</v>
      </c>
      <c r="I140" s="15"/>
      <c r="J140" s="24" t="str">
        <f t="array" ref="J140">IF($A140="","",IFERROR(_xlfn.XLOOKUP($A140,'Movimentação'!$B$7:$B$1006,'Movimentação'!$E$7:$E$1006,"",0,-1),""))</f>
        <v/>
      </c>
      <c r="K140" s="24" t="str">
        <f t="array" ref="K140">IF($A140="","",IFERROR(_xlfn.XLOOKUP($A140,'Movimentação'!$B$7:$B$1006,'Movimentação'!$G$7:$G$1006,"",0,-1),""))</f>
        <v/>
      </c>
      <c r="L140" s="24" t="str">
        <f t="shared" si="3"/>
        <v>PENDENTE-PROCURAR</v>
      </c>
      <c r="M140" s="17"/>
      <c r="N140" s="30">
        <f t="array" ref="N140">IF($A140="","",IFERROR(IF(OR($L140="BAIXADO",$L140="FURTADO"),0,INDEX(Listas!$J$2:$J$40,MATCH($B140,Listas!$I$2:$I$40,0))),""))</f>
        <v>50</v>
      </c>
      <c r="P140" s="31" t="str">
        <f t="array" ref="P140">IF($A140="","",IFERROR(_xlfn.XLOOKUP($A140,'Movimentação'!$B$7:$B$1006,'Movimentação'!$F$7:$F$1006,"",0,-1),""))</f>
        <v/>
      </c>
      <c r="Q140" s="31">
        <f>IF(COUNTIFS('Manutenção'!$B$7:$B$1006,$A140,'Manutenção'!$H$7:$H$1006,"EM CONSERTO")&gt;0,1,0)</f>
        <v>0</v>
      </c>
    </row>
    <row r="141" ht="15.0" hidden="1" customHeight="1">
      <c r="A141" s="15" t="s">
        <v>664</v>
      </c>
      <c r="B141" s="17" t="s">
        <v>130</v>
      </c>
      <c r="C141" s="17" t="s">
        <v>642</v>
      </c>
      <c r="D141" s="17" t="s">
        <v>643</v>
      </c>
      <c r="E141" s="17" t="s">
        <v>665</v>
      </c>
      <c r="F141" s="17" t="s">
        <v>666</v>
      </c>
      <c r="G141" s="34">
        <v>150.0</v>
      </c>
      <c r="H141" s="15" t="s">
        <v>189</v>
      </c>
      <c r="I141" s="15"/>
      <c r="J141" s="24"/>
      <c r="K141" s="24" t="str">
        <f t="array" ref="K141">IF($A141="","",IFERROR(_xlfn.XLOOKUP($A141,'Movimentação'!$B$7:$B$1006,'Movimentação'!$G$7:$G$1006,"",0,-1),""))</f>
        <v/>
      </c>
      <c r="L141" s="24" t="str">
        <f t="shared" si="3"/>
        <v>PENDENTE-PROCURAR</v>
      </c>
      <c r="M141" s="17"/>
      <c r="N141" s="30">
        <f t="array" ref="N141">IF($A141="","",IFERROR(IF(OR($L141="BAIXADO",$L141="FURTADO"),0,INDEX(Listas!$J$2:$J$40,MATCH($B141,Listas!$I$2:$I$40,0))),""))</f>
        <v>50</v>
      </c>
      <c r="P141" s="31" t="str">
        <f t="array" ref="P141">IF($A141="","",IFERROR(_xlfn.XLOOKUP($A141,'Movimentação'!$B$7:$B$1006,'Movimentação'!$F$7:$F$1006,"",0,-1),""))</f>
        <v/>
      </c>
      <c r="Q141" s="31">
        <f>IF(COUNTIFS('Manutenção'!$B$7:$B$1006,$A141,'Manutenção'!$H$7:$H$1006,"EM CONSERTO")&gt;0,1,0)</f>
        <v>0</v>
      </c>
    </row>
    <row r="142" ht="15.0" hidden="1" customHeight="1">
      <c r="A142" s="15" t="s">
        <v>667</v>
      </c>
      <c r="B142" s="17" t="s">
        <v>130</v>
      </c>
      <c r="C142" s="17" t="s">
        <v>642</v>
      </c>
      <c r="D142" s="17" t="s">
        <v>643</v>
      </c>
      <c r="E142" s="17" t="s">
        <v>668</v>
      </c>
      <c r="F142" s="17" t="s">
        <v>669</v>
      </c>
      <c r="G142" s="34">
        <v>150.0</v>
      </c>
      <c r="H142" s="15" t="s">
        <v>189</v>
      </c>
      <c r="I142" s="15"/>
      <c r="J142" s="24" t="str">
        <f t="array" ref="J142">IF($A142="","",IFERROR(_xlfn.XLOOKUP($A142,'Movimentação'!$B$7:$B$1006,'Movimentação'!$E$7:$E$1006,"",0,-1),""))</f>
        <v/>
      </c>
      <c r="K142" s="24" t="str">
        <f t="array" ref="K142">IF($A142="","",IFERROR(_xlfn.XLOOKUP($A142,'Movimentação'!$B$7:$B$1006,'Movimentação'!$G$7:$G$1006,"",0,-1),""))</f>
        <v/>
      </c>
      <c r="L142" s="24" t="str">
        <f t="shared" si="3"/>
        <v>PENDENTE-PROCURAR</v>
      </c>
      <c r="M142" s="17"/>
      <c r="N142" s="30">
        <f t="array" ref="N142">IF($A142="","",IFERROR(IF(OR($L142="BAIXADO",$L142="FURTADO"),0,INDEX(Listas!$J$2:$J$40,MATCH($B142,Listas!$I$2:$I$40,0))),""))</f>
        <v>50</v>
      </c>
      <c r="P142" s="31" t="str">
        <f t="array" ref="P142">IF($A142="","",IFERROR(_xlfn.XLOOKUP($A142,'Movimentação'!$B$7:$B$1006,'Movimentação'!$F$7:$F$1006,"",0,-1),""))</f>
        <v/>
      </c>
      <c r="Q142" s="31">
        <f>IF(COUNTIFS('Manutenção'!$B$7:$B$1006,$A142,'Manutenção'!$H$7:$H$1006,"EM CONSERTO")&gt;0,1,0)</f>
        <v>0</v>
      </c>
    </row>
    <row r="143" ht="15.0" hidden="1" customHeight="1">
      <c r="A143" s="15" t="s">
        <v>670</v>
      </c>
      <c r="B143" s="17" t="s">
        <v>130</v>
      </c>
      <c r="C143" s="17" t="s">
        <v>642</v>
      </c>
      <c r="D143" s="17" t="s">
        <v>643</v>
      </c>
      <c r="E143" s="17" t="s">
        <v>671</v>
      </c>
      <c r="F143" s="17" t="s">
        <v>672</v>
      </c>
      <c r="G143" s="34">
        <v>150.0</v>
      </c>
      <c r="H143" s="15" t="s">
        <v>189</v>
      </c>
      <c r="I143" s="15"/>
      <c r="J143" s="24" t="str">
        <f t="array" ref="J143">IF($A143="","",IFERROR(_xlfn.XLOOKUP($A143,'Movimentação'!$B$7:$B$1006,'Movimentação'!$E$7:$E$1006,"",0,-1),""))</f>
        <v/>
      </c>
      <c r="K143" s="24" t="str">
        <f t="array" ref="K143">IF($A143="","",IFERROR(_xlfn.XLOOKUP($A143,'Movimentação'!$B$7:$B$1006,'Movimentação'!$G$7:$G$1006,"",0,-1),""))</f>
        <v/>
      </c>
      <c r="L143" s="24" t="str">
        <f t="shared" si="3"/>
        <v>PENDENTE-PROCURAR</v>
      </c>
      <c r="M143" s="17"/>
      <c r="N143" s="30">
        <f t="array" ref="N143">IF($A143="","",IFERROR(IF(OR($L143="BAIXADO",$L143="FURTADO"),0,INDEX(Listas!$J$2:$J$40,MATCH($B143,Listas!$I$2:$I$40,0))),""))</f>
        <v>50</v>
      </c>
      <c r="P143" s="31" t="str">
        <f t="array" ref="P143">IF($A143="","",IFERROR(_xlfn.XLOOKUP($A143,'Movimentação'!$B$7:$B$1006,'Movimentação'!$F$7:$F$1006,"",0,-1),""))</f>
        <v/>
      </c>
      <c r="Q143" s="31">
        <f>IF(COUNTIFS('Manutenção'!$B$7:$B$1006,$A143,'Manutenção'!$H$7:$H$1006,"EM CONSERTO")&gt;0,1,0)</f>
        <v>0</v>
      </c>
    </row>
    <row r="144" ht="15.0" hidden="1" customHeight="1">
      <c r="A144" s="15" t="s">
        <v>344</v>
      </c>
      <c r="B144" s="17" t="s">
        <v>101</v>
      </c>
      <c r="C144" s="17" t="s">
        <v>673</v>
      </c>
      <c r="D144" s="17" t="s">
        <v>569</v>
      </c>
      <c r="E144" s="17" t="s">
        <v>674</v>
      </c>
      <c r="F144" s="17" t="s">
        <v>675</v>
      </c>
      <c r="G144" s="18">
        <v>0.0</v>
      </c>
      <c r="H144" s="15" t="s">
        <v>47</v>
      </c>
      <c r="I144" s="15"/>
      <c r="J144" s="24" t="str">
        <f t="array" ref="J144">IF($A144="","",IFERROR(_xlfn.XLOOKUP($A144,'Movimentação'!$B$7:$B$1006,'Movimentação'!$E$7:$E$1006,"",0,-1),""))</f>
        <v>ENXOVIA</v>
      </c>
      <c r="K144" s="24" t="str">
        <f t="array" ref="K144">IF($A144="","",IFERROR(_xlfn.XLOOKUP($A144,'Movimentação'!$B$7:$B$1006,'Movimentação'!$G$7:$G$1006,"",0,-1),""))</f>
        <v>EICES</v>
      </c>
      <c r="L144" s="24" t="str">
        <f t="shared" si="3"/>
        <v>EM OBRA</v>
      </c>
      <c r="M144" s="17"/>
      <c r="N144" s="30">
        <f t="array" ref="N144">IF($A144="","",IFERROR(IF(OR($L144="BAIXADO",$L144="FURTADO"),0,INDEX(Listas!$J$2:$J$40,MATCH($B144,Listas!$I$2:$I$40,0))),""))</f>
        <v>300</v>
      </c>
      <c r="P144" s="31" t="str">
        <f t="array" ref="P144">IF($A144="","",IFERROR(_xlfn.XLOOKUP($A144,'Movimentação'!$B$7:$B$1006,'Movimentação'!$F$7:$F$1006,"",0,-1),""))</f>
        <v>TRANSFERÊNCIA</v>
      </c>
      <c r="Q144" s="31">
        <f>IF(COUNTIFS('Manutenção'!$B$7:$B$1006,$A144,'Manutenção'!$H$7:$H$1006,"EM CONSERTO")&gt;0,1,0)</f>
        <v>0</v>
      </c>
    </row>
    <row r="145" ht="15.0" hidden="1" customHeight="1">
      <c r="A145" s="15" t="s">
        <v>676</v>
      </c>
      <c r="B145" s="17" t="s">
        <v>107</v>
      </c>
      <c r="C145" s="17" t="s">
        <v>601</v>
      </c>
      <c r="D145" s="17" t="s">
        <v>677</v>
      </c>
      <c r="E145" s="17"/>
      <c r="F145" s="17"/>
      <c r="G145" s="18">
        <v>0.0</v>
      </c>
      <c r="H145" s="15" t="s">
        <v>47</v>
      </c>
      <c r="I145" s="15"/>
      <c r="J145" s="24" t="str">
        <f t="array" ref="J145">IF($A145="","",IFERROR(_xlfn.XLOOKUP($A145,'Movimentação'!$B$7:$B$1006,'Movimentação'!$E$7:$E$1006,"",0,-1),""))</f>
        <v/>
      </c>
      <c r="K145" s="24" t="str">
        <f t="array" ref="K145">IF($A145="","",IFERROR(_xlfn.XLOOKUP($A145,'Movimentação'!$B$7:$B$1006,'Movimentação'!$G$7:$G$1006,"",0,-1),""))</f>
        <v/>
      </c>
      <c r="L145" s="24" t="str">
        <f t="shared" si="3"/>
        <v>PENDENTE-PROCURAR</v>
      </c>
      <c r="M145" s="17" t="s">
        <v>646</v>
      </c>
      <c r="N145" s="30">
        <f t="array" ref="N145">IF($A145="","",IFERROR(IF(OR($L145="BAIXADO",$L145="FURTADO"),0,INDEX(Listas!$J$2:$J$40,MATCH($B145,Listas!$I$2:$I$40,0))),""))</f>
        <v>100</v>
      </c>
      <c r="P145" s="31" t="str">
        <f t="array" ref="P145">IF($A145="","",IFERROR(_xlfn.XLOOKUP($A145,'Movimentação'!$B$7:$B$1006,'Movimentação'!$F$7:$F$1006,"",0,-1),""))</f>
        <v/>
      </c>
      <c r="Q145" s="31">
        <f>IF(COUNTIFS('Manutenção'!$B$7:$B$1006,$A145,'Manutenção'!$H$7:$H$1006,"EM CONSERTO")&gt;0,1,0)</f>
        <v>0</v>
      </c>
    </row>
    <row r="146" ht="15.0" hidden="1" customHeight="1">
      <c r="A146" s="15" t="s">
        <v>347</v>
      </c>
      <c r="B146" s="17" t="s">
        <v>107</v>
      </c>
      <c r="C146" s="17" t="s">
        <v>601</v>
      </c>
      <c r="D146" s="17" t="s">
        <v>677</v>
      </c>
      <c r="E146" s="17"/>
      <c r="F146" s="17"/>
      <c r="G146" s="34">
        <v>285.9</v>
      </c>
      <c r="H146" s="15" t="s">
        <v>189</v>
      </c>
      <c r="I146" s="15"/>
      <c r="J146" s="24" t="str">
        <f t="array" ref="J146">IF($A146="","",IFERROR(_xlfn.XLOOKUP($A146,'Movimentação'!$B$7:$B$1006,'Movimentação'!$E$7:$E$1006,"",0,-1),""))</f>
        <v>ALPHA ONE</v>
      </c>
      <c r="K146" s="24" t="str">
        <f t="array" ref="K146">IF($A146="","",IFERROR(_xlfn.XLOOKUP($A146,'Movimentação'!$B$7:$B$1006,'Movimentação'!$G$7:$G$1006,"",0,-1),""))</f>
        <v>EICES</v>
      </c>
      <c r="L146" s="24" t="str">
        <f t="shared" si="3"/>
        <v>BAIXADO</v>
      </c>
      <c r="M146" s="17" t="s">
        <v>646</v>
      </c>
      <c r="N146" s="30">
        <f t="array" ref="N146">IF($A146="","",IFERROR(IF(OR($L146="BAIXADO",$L146="FURTADO"),0,INDEX(Listas!$J$2:$J$40,MATCH($B146,Listas!$I$2:$I$40,0))),""))</f>
        <v>0</v>
      </c>
      <c r="P146" s="31" t="str">
        <f t="array" ref="P146">IF($A146="","",IFERROR(_xlfn.XLOOKUP($A146,'Movimentação'!$B$7:$B$1006,'Movimentação'!$F$7:$F$1006,"",0,-1),""))</f>
        <v>BAIXA</v>
      </c>
      <c r="Q146" s="31">
        <f>IF(COUNTIFS('Manutenção'!$B$7:$B$1006,$A146,'Manutenção'!$H$7:$H$1006,"EM CONSERTO")&gt;0,1,0)</f>
        <v>0</v>
      </c>
    </row>
    <row r="147" ht="15.0" hidden="1" customHeight="1">
      <c r="A147" s="15" t="s">
        <v>678</v>
      </c>
      <c r="B147" s="17" t="s">
        <v>97</v>
      </c>
      <c r="C147" s="17" t="s">
        <v>679</v>
      </c>
      <c r="D147" s="17"/>
      <c r="E147" s="17"/>
      <c r="F147" s="17"/>
      <c r="G147" s="18">
        <v>0.0</v>
      </c>
      <c r="H147" s="15" t="s">
        <v>47</v>
      </c>
      <c r="I147" s="15"/>
      <c r="J147" s="24" t="str">
        <f t="array" ref="J147">IF($A147="","",IFERROR(_xlfn.XLOOKUP($A147,'Movimentação'!$B$7:$B$1006,'Movimentação'!$E$7:$E$1006,"",0,-1),""))</f>
        <v/>
      </c>
      <c r="K147" s="24" t="str">
        <f t="array" ref="K147">IF($A147="","",IFERROR(_xlfn.XLOOKUP($A147,'Movimentação'!$B$7:$B$1006,'Movimentação'!$G$7:$G$1006,"",0,-1),""))</f>
        <v/>
      </c>
      <c r="L147" s="24" t="str">
        <f t="shared" si="3"/>
        <v>PENDENTE-PROCURAR</v>
      </c>
      <c r="M147" s="17"/>
      <c r="N147" s="30">
        <f t="array" ref="N147">IF($A147="","",IFERROR(IF(OR($L147="BAIXADO",$L147="FURTADO"),0,INDEX(Listas!$J$2:$J$40,MATCH($B147,Listas!$I$2:$I$40,0))),""))</f>
        <v>40</v>
      </c>
      <c r="P147" s="31" t="str">
        <f t="array" ref="P147">IF($A147="","",IFERROR(_xlfn.XLOOKUP($A147,'Movimentação'!$B$7:$B$1006,'Movimentação'!$F$7:$F$1006,"",0,-1),""))</f>
        <v/>
      </c>
      <c r="Q147" s="31">
        <f>IF(COUNTIFS('Manutenção'!$B$7:$B$1006,$A147,'Manutenção'!$H$7:$H$1006,"EM CONSERTO")&gt;0,1,0)</f>
        <v>0</v>
      </c>
    </row>
    <row r="148" ht="15.0" hidden="1" customHeight="1">
      <c r="A148" s="15" t="s">
        <v>680</v>
      </c>
      <c r="B148" s="17" t="s">
        <v>97</v>
      </c>
      <c r="C148" s="17" t="s">
        <v>679</v>
      </c>
      <c r="D148" s="17"/>
      <c r="E148" s="17"/>
      <c r="F148" s="17"/>
      <c r="G148" s="34">
        <v>200.0</v>
      </c>
      <c r="H148" s="15" t="s">
        <v>189</v>
      </c>
      <c r="I148" s="15"/>
      <c r="J148" s="24" t="str">
        <f t="array" ref="J148">IF($A148="","",IFERROR(_xlfn.XLOOKUP($A148,'Movimentação'!$B$7:$B$1006,'Movimentação'!$E$7:$E$1006,"",0,-1),""))</f>
        <v/>
      </c>
      <c r="K148" s="24" t="str">
        <f t="array" ref="K148">IF($A148="","",IFERROR(_xlfn.XLOOKUP($A148,'Movimentação'!$B$7:$B$1006,'Movimentação'!$G$7:$G$1006,"",0,-1),""))</f>
        <v/>
      </c>
      <c r="L148" s="24" t="str">
        <f t="shared" si="3"/>
        <v>PENDENTE-PROCURAR</v>
      </c>
      <c r="M148" s="17"/>
      <c r="N148" s="30">
        <f t="array" ref="N148">IF($A148="","",IFERROR(IF(OR($L148="BAIXADO",$L148="FURTADO"),0,INDEX(Listas!$J$2:$J$40,MATCH($B148,Listas!$I$2:$I$40,0))),""))</f>
        <v>40</v>
      </c>
      <c r="P148" s="31" t="str">
        <f t="array" ref="P148">IF($A148="","",IFERROR(_xlfn.XLOOKUP($A148,'Movimentação'!$B$7:$B$1006,'Movimentação'!$F$7:$F$1006,"",0,-1),""))</f>
        <v/>
      </c>
      <c r="Q148" s="31">
        <f>IF(COUNTIFS('Manutenção'!$B$7:$B$1006,$A148,'Manutenção'!$H$7:$H$1006,"EM CONSERTO")&gt;0,1,0)</f>
        <v>0</v>
      </c>
    </row>
    <row r="149" ht="15.0" hidden="1" customHeight="1">
      <c r="A149" s="15" t="s">
        <v>351</v>
      </c>
      <c r="B149" s="17" t="s">
        <v>132</v>
      </c>
      <c r="C149" s="17" t="s">
        <v>681</v>
      </c>
      <c r="D149" s="17"/>
      <c r="E149" s="17"/>
      <c r="F149" s="17"/>
      <c r="G149" s="18">
        <v>0.0</v>
      </c>
      <c r="H149" s="15" t="s">
        <v>47</v>
      </c>
      <c r="I149" s="15"/>
      <c r="J149" s="24" t="str">
        <f t="array" ref="J149">IF($A149="","",IFERROR(_xlfn.XLOOKUP($A149,'Movimentação'!$B$7:$B$1006,'Movimentação'!$E$7:$E$1006,"",0,-1),""))</f>
        <v>SAMPA CONSOLAÇÃO</v>
      </c>
      <c r="K149" s="24" t="str">
        <f t="array" ref="K149">IF($A149="","",IFERROR(_xlfn.XLOOKUP($A149,'Movimentação'!$B$7:$B$1006,'Movimentação'!$G$7:$G$1006,"",0,-1),""))</f>
        <v>EICES</v>
      </c>
      <c r="L149" s="24" t="str">
        <f t="shared" si="3"/>
        <v>EM OBRA</v>
      </c>
      <c r="M149" s="17"/>
      <c r="N149" s="30">
        <f t="array" ref="N149">IF($A149="","",IFERROR(IF(OR($L149="BAIXADO",$L149="FURTADO"),0,INDEX(Listas!$J$2:$J$40,MATCH($B149,Listas!$I$2:$I$40,0))),""))</f>
        <v>50</v>
      </c>
      <c r="P149" s="31" t="str">
        <f t="array" ref="P149">IF($A149="","",IFERROR(_xlfn.XLOOKUP($A149,'Movimentação'!$B$7:$B$1006,'Movimentação'!$F$7:$F$1006,"",0,-1),""))</f>
        <v>ENTRADA (NOVA)</v>
      </c>
      <c r="Q149" s="31">
        <f>IF(COUNTIFS('Manutenção'!$B$7:$B$1006,$A149,'Manutenção'!$H$7:$H$1006,"EM CONSERTO")&gt;0,1,0)</f>
        <v>0</v>
      </c>
    </row>
    <row r="150" ht="15.0" hidden="1" customHeight="1">
      <c r="A150" s="15" t="s">
        <v>355</v>
      </c>
      <c r="B150" s="17" t="s">
        <v>122</v>
      </c>
      <c r="C150" s="17" t="s">
        <v>633</v>
      </c>
      <c r="D150" s="17"/>
      <c r="E150" s="17"/>
      <c r="F150" s="17"/>
      <c r="G150" s="34">
        <v>500.0</v>
      </c>
      <c r="H150" s="15" t="s">
        <v>189</v>
      </c>
      <c r="I150" s="15"/>
      <c r="J150" s="24" t="str">
        <f t="array" ref="J150">IF($A150="","",IFERROR(_xlfn.XLOOKUP($A150,'Movimentação'!$B$7:$B$1006,'Movimentação'!$E$7:$E$1006,"",0,-1),""))</f>
        <v>ALTIER</v>
      </c>
      <c r="K150" s="24" t="str">
        <f t="array" ref="K150">IF($A150="","",IFERROR(_xlfn.XLOOKUP($A150,'Movimentação'!$B$7:$B$1006,'Movimentação'!$G$7:$G$1006,"",0,-1),""))</f>
        <v>EICES</v>
      </c>
      <c r="L150" s="24" t="str">
        <f t="shared" si="3"/>
        <v>EM OBRA</v>
      </c>
      <c r="M150" s="17" t="s">
        <v>682</v>
      </c>
      <c r="N150" s="30">
        <f t="array" ref="N150">IF($A150="","",IFERROR(IF(OR($L150="BAIXADO",$L150="FURTADO"),0,INDEX(Listas!$J$2:$J$40,MATCH($B150,Listas!$I$2:$I$40,0))),""))</f>
        <v>200</v>
      </c>
      <c r="P150" s="31" t="str">
        <f t="array" ref="P150">IF($A150="","",IFERROR(_xlfn.XLOOKUP($A150,'Movimentação'!$B$7:$B$1006,'Movimentação'!$F$7:$F$1006,"",0,-1),""))</f>
        <v>ENTRADA (NOVA)</v>
      </c>
      <c r="Q150" s="31">
        <f>IF(COUNTIFS('Manutenção'!$B$7:$B$1006,$A150,'Manutenção'!$H$7:$H$1006,"EM CONSERTO")&gt;0,1,0)</f>
        <v>0</v>
      </c>
    </row>
    <row r="151" ht="15.0" hidden="1" customHeight="1">
      <c r="A151" s="15" t="s">
        <v>361</v>
      </c>
      <c r="B151" s="17" t="s">
        <v>559</v>
      </c>
      <c r="C151" s="17" t="s">
        <v>683</v>
      </c>
      <c r="D151" s="17"/>
      <c r="E151" s="17"/>
      <c r="F151" s="17" t="s">
        <v>684</v>
      </c>
      <c r="G151" s="34">
        <v>300.0</v>
      </c>
      <c r="H151" s="15" t="s">
        <v>189</v>
      </c>
      <c r="I151" s="15"/>
      <c r="J151" s="24" t="str">
        <f t="array" ref="J151">IF($A151="","",IFERROR(_xlfn.XLOOKUP($A151,'Movimentação'!$B$7:$B$1006,'Movimentação'!$E$7:$E$1006,"",0,-1),""))</f>
        <v>ARENGA (TRISUL)</v>
      </c>
      <c r="K151" s="24" t="str">
        <f t="array" ref="K151">IF($A151="","",IFERROR(_xlfn.XLOOKUP($A151,'Movimentação'!$B$7:$B$1006,'Movimentação'!$G$7:$G$1006,"",0,-1),""))</f>
        <v>EICES</v>
      </c>
      <c r="L151" s="24" t="str">
        <f t="shared" si="3"/>
        <v>EM OBRA</v>
      </c>
      <c r="M151" s="17" t="s">
        <v>682</v>
      </c>
      <c r="N151" s="30">
        <f t="array" ref="N151">IF($A151="","",IFERROR(IF(OR($L151="BAIXADO",$L151="FURTADO"),0,INDEX(Listas!$J$2:$J$40,MATCH($B151,Listas!$I$2:$I$40,0))),""))</f>
        <v>200</v>
      </c>
      <c r="P151" s="31" t="str">
        <f t="array" ref="P151">IF($A151="","",IFERROR(_xlfn.XLOOKUP($A151,'Movimentação'!$B$7:$B$1006,'Movimentação'!$F$7:$F$1006,"",0,-1),""))</f>
        <v>ENTRADA (NOVA)</v>
      </c>
      <c r="Q151" s="31">
        <f>IF(COUNTIFS('Manutenção'!$B$7:$B$1006,$A151,'Manutenção'!$H$7:$H$1006,"EM CONSERTO")&gt;0,1,0)</f>
        <v>0</v>
      </c>
    </row>
    <row r="152" ht="15.0" hidden="1" customHeight="1">
      <c r="A152" s="15" t="s">
        <v>364</v>
      </c>
      <c r="B152" s="17" t="s">
        <v>555</v>
      </c>
      <c r="C152" s="17" t="s">
        <v>685</v>
      </c>
      <c r="D152" s="17"/>
      <c r="E152" s="17"/>
      <c r="F152" s="17"/>
      <c r="G152" s="34">
        <v>100.0</v>
      </c>
      <c r="H152" s="15" t="s">
        <v>189</v>
      </c>
      <c r="I152" s="15"/>
      <c r="J152" s="24" t="str">
        <f t="array" ref="J152">IF($A152="","",IFERROR(_xlfn.XLOOKUP($A152,'Movimentação'!$B$7:$B$1006,'Movimentação'!$E$7:$E$1006,"",0,-1),""))</f>
        <v>ARENGA (TRISUL)</v>
      </c>
      <c r="K152" s="24" t="str">
        <f t="array" ref="K152">IF($A152="","",IFERROR(_xlfn.XLOOKUP($A152,'Movimentação'!$B$7:$B$1006,'Movimentação'!$G$7:$G$1006,"",0,-1),""))</f>
        <v>EICES</v>
      </c>
      <c r="L152" s="24" t="str">
        <f t="shared" si="3"/>
        <v>EM OBRA</v>
      </c>
      <c r="M152" s="17" t="s">
        <v>682</v>
      </c>
      <c r="N152" s="30">
        <f t="array" ref="N152">IF($A152="","",IFERROR(IF(OR($L152="BAIXADO",$L152="FURTADO"),0,INDEX(Listas!$J$2:$J$40,MATCH($B152,Listas!$I$2:$I$40,0))),""))</f>
        <v>50</v>
      </c>
      <c r="P152" s="31" t="str">
        <f t="array" ref="P152">IF($A152="","",IFERROR(_xlfn.XLOOKUP($A152,'Movimentação'!$B$7:$B$1006,'Movimentação'!$F$7:$F$1006,"",0,-1),""))</f>
        <v>ENTRADA (NOVA)</v>
      </c>
      <c r="Q152" s="31">
        <f>IF(COUNTIFS('Manutenção'!$B$7:$B$1006,$A152,'Manutenção'!$H$7:$H$1006,"EM CONSERTO")&gt;0,1,0)</f>
        <v>0</v>
      </c>
    </row>
    <row r="153" ht="15.0" hidden="1" customHeight="1">
      <c r="A153" s="15" t="s">
        <v>365</v>
      </c>
      <c r="B153" s="17" t="s">
        <v>555</v>
      </c>
      <c r="C153" s="17" t="s">
        <v>685</v>
      </c>
      <c r="D153" s="17"/>
      <c r="E153" s="17"/>
      <c r="F153" s="17"/>
      <c r="G153" s="34">
        <v>100.0</v>
      </c>
      <c r="H153" s="15" t="s">
        <v>189</v>
      </c>
      <c r="I153" s="15"/>
      <c r="J153" s="24" t="str">
        <f t="array" ref="J153">IF($A153="","",IFERROR(_xlfn.XLOOKUP($A153,'Movimentação'!$B$7:$B$1006,'Movimentação'!$E$7:$E$1006,"",0,-1),""))</f>
        <v>SAMPA CONSOLAÇÃO</v>
      </c>
      <c r="K153" s="24" t="str">
        <f t="array" ref="K153">IF($A153="","",IFERROR(_xlfn.XLOOKUP($A153,'Movimentação'!$B$7:$B$1006,'Movimentação'!$G$7:$G$1006,"",0,-1),""))</f>
        <v>EICES</v>
      </c>
      <c r="L153" s="24" t="str">
        <f t="shared" si="3"/>
        <v>EM OBRA</v>
      </c>
      <c r="M153" s="17" t="s">
        <v>682</v>
      </c>
      <c r="N153" s="30">
        <f t="array" ref="N153">IF($A153="","",IFERROR(IF(OR($L153="BAIXADO",$L153="FURTADO"),0,INDEX(Listas!$J$2:$J$40,MATCH($B153,Listas!$I$2:$I$40,0))),""))</f>
        <v>50</v>
      </c>
      <c r="P153" s="31" t="str">
        <f t="array" ref="P153">IF($A153="","",IFERROR(_xlfn.XLOOKUP($A153,'Movimentação'!$B$7:$B$1006,'Movimentação'!$F$7:$F$1006,"",0,-1),""))</f>
        <v>ENTRADA (NOVA)</v>
      </c>
      <c r="Q153" s="31">
        <f>IF(COUNTIFS('Manutenção'!$B$7:$B$1006,$A153,'Manutenção'!$H$7:$H$1006,"EM CONSERTO")&gt;0,1,0)</f>
        <v>0</v>
      </c>
    </row>
    <row r="154" ht="15.0" hidden="1" customHeight="1">
      <c r="A154" s="15" t="s">
        <v>370</v>
      </c>
      <c r="B154" s="17" t="s">
        <v>103</v>
      </c>
      <c r="C154" s="17" t="s">
        <v>584</v>
      </c>
      <c r="D154" s="17"/>
      <c r="E154" s="17"/>
      <c r="F154" s="17"/>
      <c r="G154" s="34">
        <v>624.83</v>
      </c>
      <c r="H154" s="15" t="s">
        <v>189</v>
      </c>
      <c r="I154" s="15"/>
      <c r="J154" s="24" t="str">
        <f t="array" ref="J154">IF($A154="","",IFERROR(_xlfn.XLOOKUP($A154,'Movimentação'!$B$7:$B$1006,'Movimentação'!$E$7:$E$1006,"",0,-1),""))</f>
        <v>BALTAZAR</v>
      </c>
      <c r="K154" s="24" t="str">
        <f t="array" ref="K154">IF($A154="","",IFERROR(_xlfn.XLOOKUP($A154,'Movimentação'!$B$7:$B$1006,'Movimentação'!$G$7:$G$1006,"",0,-1),""))</f>
        <v>EICES</v>
      </c>
      <c r="L154" s="24" t="str">
        <f t="shared" si="3"/>
        <v>EM OBRA</v>
      </c>
      <c r="M154" s="17" t="s">
        <v>682</v>
      </c>
      <c r="N154" s="30">
        <f t="array" ref="N154">IF($A154="","",IFERROR(IF(OR($L154="BAIXADO",$L154="FURTADO"),0,INDEX(Listas!$J$2:$J$40,MATCH($B154,Listas!$I$2:$I$40,0))),""))</f>
        <v>50</v>
      </c>
      <c r="P154" s="31" t="str">
        <f t="array" ref="P154">IF($A154="","",IFERROR(_xlfn.XLOOKUP($A154,'Movimentação'!$B$7:$B$1006,'Movimentação'!$F$7:$F$1006,"",0,-1),""))</f>
        <v>ENTRADA (NOVA)</v>
      </c>
      <c r="Q154" s="31">
        <f>IF(COUNTIFS('Manutenção'!$B$7:$B$1006,$A154,'Manutenção'!$H$7:$H$1006,"EM CONSERTO")&gt;0,1,0)</f>
        <v>0</v>
      </c>
    </row>
    <row r="155" ht="14.25" hidden="1" customHeight="1">
      <c r="A155" s="15" t="s">
        <v>374</v>
      </c>
      <c r="B155" s="17" t="s">
        <v>103</v>
      </c>
      <c r="C155" s="17" t="s">
        <v>584</v>
      </c>
      <c r="D155" s="17"/>
      <c r="E155" s="17"/>
      <c r="F155" s="17"/>
      <c r="G155" s="34">
        <v>624.83</v>
      </c>
      <c r="H155" s="15" t="s">
        <v>189</v>
      </c>
      <c r="I155" s="15"/>
      <c r="J155" s="24" t="str">
        <f t="array" ref="J155">IF($A155="","",IFERROR(_xlfn.XLOOKUP($A155,'Movimentação'!$B$7:$B$1006,'Movimentação'!$E$7:$E$1006,"",0,-1),""))</f>
        <v>SAMPA CONSOLAÇÃO</v>
      </c>
      <c r="K155" s="24" t="str">
        <f t="array" ref="K155">IF($A155="","",IFERROR(_xlfn.XLOOKUP($A155,'Movimentação'!$B$7:$B$1006,'Movimentação'!$G$7:$G$1006,"",0,-1),""))</f>
        <v>TIAGO</v>
      </c>
      <c r="L155" s="24" t="str">
        <f t="shared" si="3"/>
        <v>EM OBRA</v>
      </c>
      <c r="M155" s="17" t="s">
        <v>682</v>
      </c>
      <c r="N155" s="30">
        <f t="array" ref="N155">IF($A155="","",IFERROR(IF(OR($L155="BAIXADO",$L155="FURTADO"),0,INDEX(Listas!$J$2:$J$40,MATCH($B155,Listas!$I$2:$I$40,0))),""))</f>
        <v>50</v>
      </c>
      <c r="P155" s="31" t="str">
        <f t="array" ref="P155">IF($A155="","",IFERROR(_xlfn.XLOOKUP($A155,'Movimentação'!$B$7:$B$1006,'Movimentação'!$F$7:$F$1006,"",0,-1),""))</f>
        <v>TRANSFERÊNCIA</v>
      </c>
      <c r="Q155" s="31">
        <f>IF(COUNTIFS('Manutenção'!$B$7:$B$1006,$A155,'Manutenção'!$H$7:$H$1006,"EM CONSERTO")&gt;0,1,0)</f>
        <v>0</v>
      </c>
    </row>
    <row r="156" ht="14.25" hidden="1" customHeight="1">
      <c r="A156" s="15" t="s">
        <v>375</v>
      </c>
      <c r="B156" s="17" t="s">
        <v>556</v>
      </c>
      <c r="C156" s="17" t="s">
        <v>686</v>
      </c>
      <c r="D156" s="17"/>
      <c r="E156" s="17"/>
      <c r="F156" s="17"/>
      <c r="G156" s="34">
        <v>80.0</v>
      </c>
      <c r="H156" s="15" t="s">
        <v>189</v>
      </c>
      <c r="I156" s="15"/>
      <c r="J156" s="24" t="str">
        <f t="array" ref="J156">IF($A156="","",IFERROR(_xlfn.XLOOKUP($A156,'Movimentação'!$B$7:$B$1006,'Movimentação'!$E$7:$E$1006,"",0,-1),""))</f>
        <v>MAURO</v>
      </c>
      <c r="K156" s="24" t="str">
        <f t="array" ref="K156">IF($A156="","",IFERROR(_xlfn.XLOOKUP($A156,'Movimentação'!$B$7:$B$1006,'Movimentação'!$G$7:$G$1006,"",0,-1),""))</f>
        <v>EICES</v>
      </c>
      <c r="L156" s="24" t="str">
        <f t="shared" si="3"/>
        <v>EM OBRA</v>
      </c>
      <c r="M156" s="17" t="s">
        <v>682</v>
      </c>
      <c r="N156" s="30">
        <f t="array" ref="N156">IF($A156="","",IFERROR(IF(OR($L156="BAIXADO",$L156="FURTADO"),0,INDEX(Listas!$J$2:$J$40,MATCH($B156,Listas!$I$2:$I$40,0))),""))</f>
        <v>50</v>
      </c>
      <c r="P156" s="31" t="str">
        <f t="array" ref="P156">IF($A156="","",IFERROR(_xlfn.XLOOKUP($A156,'Movimentação'!$B$7:$B$1006,'Movimentação'!$F$7:$F$1006,"",0,-1),""))</f>
        <v>ENTRADA (NOVA)</v>
      </c>
      <c r="Q156" s="31">
        <f>IF(COUNTIFS('Manutenção'!$B$7:$B$1006,$A156,'Manutenção'!$H$7:$H$1006,"EM CONSERTO")&gt;0,1,0)</f>
        <v>0</v>
      </c>
    </row>
    <row r="157" ht="14.25" hidden="1" customHeight="1">
      <c r="A157" s="15" t="s">
        <v>378</v>
      </c>
      <c r="B157" s="17" t="s">
        <v>556</v>
      </c>
      <c r="C157" s="17" t="s">
        <v>687</v>
      </c>
      <c r="D157" s="17"/>
      <c r="E157" s="17"/>
      <c r="F157" s="17"/>
      <c r="G157" s="34">
        <v>80.0</v>
      </c>
      <c r="H157" s="15" t="s">
        <v>189</v>
      </c>
      <c r="I157" s="15"/>
      <c r="J157" s="24" t="str">
        <f t="array" ref="J157">IF($A157="","",IFERROR(_xlfn.XLOOKUP($A157,'Movimentação'!$B$7:$B$1006,'Movimentação'!$E$7:$E$1006,"",0,-1),""))</f>
        <v>ANGELICA</v>
      </c>
      <c r="K157" s="24" t="str">
        <f t="array" ref="K157">IF($A157="","",IFERROR(_xlfn.XLOOKUP($A157,'Movimentação'!$B$7:$B$1006,'Movimentação'!$G$7:$G$1006,"",0,-1),""))</f>
        <v>THIAGO</v>
      </c>
      <c r="L157" s="24" t="str">
        <f t="shared" si="3"/>
        <v>EM OBRA</v>
      </c>
      <c r="M157" s="17" t="s">
        <v>682</v>
      </c>
      <c r="N157" s="30">
        <f t="array" ref="N157">IF($A157="","",IFERROR(IF(OR($L157="BAIXADO",$L157="FURTADO"),0,INDEX(Listas!$J$2:$J$40,MATCH($B157,Listas!$I$2:$I$40,0))),""))</f>
        <v>50</v>
      </c>
      <c r="P157" s="31" t="str">
        <f t="array" ref="P157">IF($A157="","",IFERROR(_xlfn.XLOOKUP($A157,'Movimentação'!$B$7:$B$1006,'Movimentação'!$F$7:$F$1006,"",0,-1),""))</f>
        <v>TRANSFERÊNCIA</v>
      </c>
      <c r="Q157" s="31">
        <f>IF(COUNTIFS('Manutenção'!$B$7:$B$1006,$A157,'Manutenção'!$H$7:$H$1006,"EM CONSERTO")&gt;0,1,0)</f>
        <v>0</v>
      </c>
    </row>
    <row r="158" ht="14.25" hidden="1" customHeight="1">
      <c r="A158" s="15" t="s">
        <v>381</v>
      </c>
      <c r="B158" s="17" t="s">
        <v>557</v>
      </c>
      <c r="C158" s="17" t="s">
        <v>688</v>
      </c>
      <c r="D158" s="17"/>
      <c r="E158" s="17"/>
      <c r="F158" s="17"/>
      <c r="G158" s="34">
        <v>150.0</v>
      </c>
      <c r="H158" s="15" t="s">
        <v>189</v>
      </c>
      <c r="I158" s="15"/>
      <c r="J158" s="24" t="str">
        <f t="array" ref="J158">IF($A158="","",IFERROR(_xlfn.XLOOKUP($A158,'Movimentação'!$B$7:$B$1006,'Movimentação'!$E$7:$E$1006,"",0,-1),""))</f>
        <v>ORIÇANGA</v>
      </c>
      <c r="K158" s="24" t="s">
        <v>472</v>
      </c>
      <c r="L158" s="24" t="str">
        <f t="shared" si="3"/>
        <v>EM OBRA</v>
      </c>
      <c r="M158" s="17" t="s">
        <v>682</v>
      </c>
      <c r="N158" s="30">
        <f t="array" ref="N158">IF($A158="","",IFERROR(IF(OR($L158="BAIXADO",$L158="FURTADO"),0,INDEX(Listas!$J$2:$J$40,MATCH($B158,Listas!$I$2:$I$40,0))),""))</f>
        <v>100</v>
      </c>
      <c r="P158" s="31" t="str">
        <f t="array" ref="P158">IF($A158="","",IFERROR(_xlfn.XLOOKUP($A158,'Movimentação'!$B$7:$B$1006,'Movimentação'!$F$7:$F$1006,"",0,-1),""))</f>
        <v>ENTRADA (NOVA)</v>
      </c>
      <c r="Q158" s="31">
        <f>IF(COUNTIFS('Manutenção'!$B$7:$B$1006,$A158,'Manutenção'!$H$7:$H$1006,"EM CONSERTO")&gt;0,1,0)</f>
        <v>0</v>
      </c>
    </row>
    <row r="159" ht="14.25" hidden="1" customHeight="1">
      <c r="A159" s="15" t="s">
        <v>382</v>
      </c>
      <c r="B159" s="17" t="s">
        <v>558</v>
      </c>
      <c r="C159" s="17" t="s">
        <v>689</v>
      </c>
      <c r="D159" s="17"/>
      <c r="E159" s="17"/>
      <c r="F159" s="17"/>
      <c r="G159" s="34">
        <v>800.0</v>
      </c>
      <c r="H159" s="15" t="s">
        <v>189</v>
      </c>
      <c r="I159" s="15"/>
      <c r="J159" s="24" t="str">
        <f t="array" ref="J159">IF($A159="","",IFERROR(_xlfn.XLOOKUP($A159,'Movimentação'!$B$7:$B$1006,'Movimentação'!$E$7:$E$1006,"",0,-1),""))</f>
        <v>SAMPA CONSOLAÇÃO</v>
      </c>
      <c r="K159" s="24" t="str">
        <f t="array" ref="K159">IF($A159="","",IFERROR(_xlfn.XLOOKUP($A159,'Movimentação'!$B$7:$B$1006,'Movimentação'!$G$7:$G$1006,"",0,-1),""))</f>
        <v>TIAGO</v>
      </c>
      <c r="L159" s="24" t="str">
        <f t="shared" si="3"/>
        <v>EM OBRA</v>
      </c>
      <c r="M159" s="17" t="s">
        <v>682</v>
      </c>
      <c r="N159" s="30" t="str">
        <f t="array" ref="N159">IF($A159="","",IFERROR(IF(OR($L159="BAIXADO",$L159="FURTADO"),0,INDEX(Listas!$J$2:$J$40,MATCH($B159,Listas!$I$2:$I$40,0))),""))</f>
        <v/>
      </c>
      <c r="P159" s="31" t="str">
        <f t="array" ref="P159">IF($A159="","",IFERROR(_xlfn.XLOOKUP($A159,'Movimentação'!$B$7:$B$1006,'Movimentação'!$F$7:$F$1006,"",0,-1),""))</f>
        <v>TRANSFERÊNCIA</v>
      </c>
      <c r="Q159" s="31">
        <f>IF(COUNTIFS('Manutenção'!$B$7:$B$1006,$A159,'Manutenção'!$H$7:$H$1006,"EM CONSERTO")&gt;0,1,0)</f>
        <v>0</v>
      </c>
    </row>
    <row r="160" ht="14.25" hidden="1" customHeight="1">
      <c r="A160" s="15" t="s">
        <v>449</v>
      </c>
      <c r="B160" s="17" t="s">
        <v>556</v>
      </c>
      <c r="C160" s="17" t="s">
        <v>687</v>
      </c>
      <c r="D160" s="17"/>
      <c r="E160" s="17"/>
      <c r="F160" s="17"/>
      <c r="G160" s="34">
        <v>80.0</v>
      </c>
      <c r="H160" s="15" t="s">
        <v>189</v>
      </c>
      <c r="I160" s="15"/>
      <c r="J160" s="24" t="s">
        <v>142</v>
      </c>
      <c r="K160" s="24" t="s">
        <v>423</v>
      </c>
      <c r="L160" s="24" t="str">
        <f t="shared" si="3"/>
        <v>EM OBRA</v>
      </c>
      <c r="M160" s="17"/>
      <c r="N160" s="30">
        <f t="array" ref="N160">IF($A160="","",IFERROR(IF(OR($L160="BAIXADO",$L160="FURTADO"),0,INDEX(Listas!$J$2:$J$40,MATCH($B160,Listas!$I$2:$I$40,0))),""))</f>
        <v>50</v>
      </c>
      <c r="P160" s="31" t="str">
        <f t="array" ref="P160">IF($A160="","",IFERROR(_xlfn.XLOOKUP($A160,'Movimentação'!$B$7:$B$1006,'Movimentação'!$F$7:$F$1006,"",0,-1),""))</f>
        <v>TRANSFERÊNCIA</v>
      </c>
      <c r="Q160" s="31">
        <f>IF(COUNTIFS('Manutenção'!$B$7:$B$1006,$A160,'Manutenção'!$H$7:$H$1006,"EM CONSERTO")&gt;0,1,0)</f>
        <v>0</v>
      </c>
    </row>
    <row r="161" ht="14.25" hidden="1" customHeight="1">
      <c r="A161" s="15" t="s">
        <v>450</v>
      </c>
      <c r="B161" s="17" t="s">
        <v>103</v>
      </c>
      <c r="C161" s="17" t="s">
        <v>584</v>
      </c>
      <c r="D161" s="17"/>
      <c r="E161" s="17"/>
      <c r="F161" s="17"/>
      <c r="G161" s="34">
        <v>624.83</v>
      </c>
      <c r="H161" s="15" t="s">
        <v>189</v>
      </c>
      <c r="I161" s="15"/>
      <c r="J161" s="24" t="str">
        <f t="array" ref="J161">IF($A161="","",IFERROR(_xlfn.XLOOKUP($A161,'Movimentação'!$B$7:$B$1006,'Movimentação'!$E$7:$E$1006,"",0,-1),""))</f>
        <v>ENXOVIA</v>
      </c>
      <c r="K161" s="24" t="str">
        <f t="array" ref="K161">IF($A161="","",IFERROR(_xlfn.XLOOKUP($A161,'Movimentação'!$B$7:$B$1006,'Movimentação'!$G$7:$G$1006,"",0,-1),""))</f>
        <v>KELLI</v>
      </c>
      <c r="L161" s="24" t="str">
        <f t="shared" si="3"/>
        <v>EM OBRA</v>
      </c>
      <c r="M161" s="17"/>
      <c r="N161" s="30">
        <f t="array" ref="N161">IF($A161="","",IFERROR(IF(OR($L161="BAIXADO",$L161="FURTADO"),0,INDEX(Listas!$J$2:$J$40,MATCH($B161,Listas!$I$2:$I$40,0))),""))</f>
        <v>50</v>
      </c>
      <c r="P161" s="31" t="str">
        <f t="array" ref="P161">IF($A161="","",IFERROR(_xlfn.XLOOKUP($A161,'Movimentação'!$B$7:$B$1006,'Movimentação'!$F$7:$F$1006,"",0,-1),""))</f>
        <v>TRANSFERÊNCIA</v>
      </c>
      <c r="Q161" s="31">
        <f>IF(COUNTIFS('Manutenção'!$B$7:$B$1006,$A161,'Manutenção'!$H$7:$H$1006,"EM CONSERTO")&gt;0,1,0)</f>
        <v>0</v>
      </c>
    </row>
    <row r="162" ht="15.0" hidden="1" customHeight="1">
      <c r="A162" s="15" t="s">
        <v>455</v>
      </c>
      <c r="B162" s="17" t="s">
        <v>111</v>
      </c>
      <c r="C162" s="17" t="s">
        <v>394</v>
      </c>
      <c r="D162" s="17" t="s">
        <v>605</v>
      </c>
      <c r="E162" s="17">
        <v>220000.0</v>
      </c>
      <c r="F162" s="17" t="s">
        <v>690</v>
      </c>
      <c r="G162" s="64">
        <v>5683.55</v>
      </c>
      <c r="H162" s="15" t="s">
        <v>47</v>
      </c>
      <c r="I162" s="15" t="s">
        <v>691</v>
      </c>
      <c r="J162" s="24" t="str">
        <f t="array" ref="J162">IF($A162="","",IFERROR(_xlfn.XLOOKUP($A162,'Movimentação'!$B$7:$B$1006,'Movimentação'!$E$7:$E$1006,"",0,-1),""))</f>
        <v>ARENGA (TRISUL)</v>
      </c>
      <c r="K162" s="24" t="str">
        <f t="array" ref="K162">IF($A162="","",IFERROR(_xlfn.XLOOKUP($A162,'Movimentação'!$B$7:$B$1006,'Movimentação'!$G$7:$G$1006,"",0,-1),""))</f>
        <v>LUCIENY</v>
      </c>
      <c r="L162" s="24" t="str">
        <f t="shared" si="3"/>
        <v>EM OBRA</v>
      </c>
      <c r="M162" s="17"/>
      <c r="N162" s="30">
        <f t="array" ref="N162">IF($A162="","",IFERROR(IF(OR($L162="BAIXADO",$L162="FURTADO"),0,INDEX(Listas!$J$2:$J$40,MATCH($B162,Listas!$I$2:$I$40,0))),""))</f>
        <v>300</v>
      </c>
      <c r="P162" s="31" t="str">
        <f t="array" ref="P162">IF($A162="","",IFERROR(_xlfn.XLOOKUP($A162,'Movimentação'!$B$7:$B$1006,'Movimentação'!$F$7:$F$1006,"",0,-1),""))</f>
        <v>ENTRADA (NOVA)</v>
      </c>
      <c r="Q162" s="31">
        <f>IF(COUNTIFS('Manutenção'!$B$7:$B$1006,$A162,'Manutenção'!$H$7:$H$1006,"EM CONSERTO")&gt;0,1,0)</f>
        <v>0</v>
      </c>
    </row>
    <row r="163" ht="15.0" hidden="1" customHeight="1">
      <c r="A163" s="15" t="s">
        <v>360</v>
      </c>
      <c r="B163" s="17" t="s">
        <v>119</v>
      </c>
      <c r="C163" s="17" t="s">
        <v>629</v>
      </c>
      <c r="D163" s="17" t="s">
        <v>630</v>
      </c>
      <c r="E163" s="17"/>
      <c r="F163" s="17"/>
      <c r="G163" s="34">
        <v>968.0</v>
      </c>
      <c r="H163" s="15" t="s">
        <v>189</v>
      </c>
      <c r="I163" s="15"/>
      <c r="J163" s="24" t="str">
        <f t="array" ref="J163">IF($A163="","",IFERROR(_xlfn.XLOOKUP($A163,'Movimentação'!$B$7:$B$1006,'Movimentação'!$E$7:$E$1006,"",0,-1),""))</f>
        <v>SAMPA CONSOLAÇÃO</v>
      </c>
      <c r="K163" s="24" t="str">
        <f t="array" ref="K163">IF($A163="","",IFERROR(_xlfn.XLOOKUP($A163,'Movimentação'!$B$7:$B$1006,'Movimentação'!$G$7:$G$1006,"",0,-1),""))</f>
        <v>TIAGO</v>
      </c>
      <c r="L163" s="24" t="str">
        <f t="shared" si="3"/>
        <v>EM OBRA</v>
      </c>
      <c r="M163" s="17"/>
      <c r="N163" s="30">
        <f t="array" ref="N163">IF($A163="","",IFERROR(IF(OR($L163="BAIXADO",$L163="FURTADO"),0,INDEX(Listas!$J$2:$J$40,MATCH($B163,Listas!$I$2:$I$40,0))),""))</f>
        <v>200</v>
      </c>
      <c r="P163" s="31" t="str">
        <f t="array" ref="P163">IF($A163="","",IFERROR(_xlfn.XLOOKUP($A163,'Movimentação'!$B$7:$B$1006,'Movimentação'!$F$7:$F$1006,"",0,-1),""))</f>
        <v>TRANSFERÊNCIA</v>
      </c>
      <c r="Q163" s="31">
        <f>IF(COUNTIFS('Manutenção'!$B$7:$B$1006,$A163,'Manutenção'!$H$7:$H$1006,"EM CONSERTO")&gt;0,1,0)</f>
        <v>0</v>
      </c>
    </row>
    <row r="164" ht="15.0" hidden="1" customHeight="1">
      <c r="A164" s="15" t="s">
        <v>692</v>
      </c>
      <c r="B164" s="17" t="s">
        <v>113</v>
      </c>
      <c r="C164" s="17" t="s">
        <v>611</v>
      </c>
      <c r="D164" s="17" t="s">
        <v>614</v>
      </c>
      <c r="E164" s="17" t="s">
        <v>615</v>
      </c>
      <c r="F164" s="17"/>
      <c r="G164" s="18">
        <v>4700.0</v>
      </c>
      <c r="H164" s="15" t="s">
        <v>189</v>
      </c>
      <c r="I164" s="15"/>
      <c r="J164" s="24" t="s">
        <v>120</v>
      </c>
      <c r="K164" s="24" t="s">
        <v>301</v>
      </c>
      <c r="L164" s="24" t="str">
        <f t="shared" si="3"/>
        <v>EM OBRA</v>
      </c>
      <c r="M164" s="17"/>
      <c r="N164" s="30">
        <f t="array" ref="N164">IF($A164="","",IFERROR(IF(OR($L164="BAIXADO",$L164="FURTADO"),0,INDEX(Listas!$J$2:$J$40,MATCH($B164,Listas!$I$2:$I$40,0))),""))</f>
        <v>300</v>
      </c>
      <c r="P164" s="31" t="str">
        <f t="array" ref="P164">IF($A164="","",IFERROR(_xlfn.XLOOKUP($A164,'Movimentação'!$B$7:$B$1006,'Movimentação'!$F$7:$F$1006,"",0,-1),""))</f>
        <v/>
      </c>
      <c r="Q164" s="31">
        <f>IF(COUNTIFS('Manutenção'!$B$7:$B$1006,$A164,'Manutenção'!$H$7:$H$1006,"EM CONSERTO")&gt;0,1,0)</f>
        <v>0</v>
      </c>
    </row>
    <row r="165" ht="15.0" hidden="1" customHeight="1">
      <c r="A165" s="15" t="s">
        <v>482</v>
      </c>
      <c r="B165" s="17" t="s">
        <v>94</v>
      </c>
      <c r="C165" s="17" t="s">
        <v>402</v>
      </c>
      <c r="D165" s="17"/>
      <c r="E165" s="17"/>
      <c r="F165" s="17"/>
      <c r="G165" s="18">
        <v>360.0</v>
      </c>
      <c r="H165" s="15" t="s">
        <v>189</v>
      </c>
      <c r="I165" s="15"/>
      <c r="J165" s="24" t="s">
        <v>150</v>
      </c>
      <c r="K165" s="24" t="str">
        <f t="array" ref="K165">IF($A165="","",IFERROR(_xlfn.XLOOKUP($A165,'Movimentação'!$B$7:$B$1006,'Movimentação'!$G$7:$G$1006,"",0,-1),""))</f>
        <v>GABRIEL</v>
      </c>
      <c r="L165" s="24" t="str">
        <f t="shared" si="3"/>
        <v>EM OBRA</v>
      </c>
      <c r="M165" s="65"/>
      <c r="N165" s="30">
        <f t="array" ref="N165">IF($A165="","",IFERROR(IF(OR($L165="BAIXADO",$L165="FURTADO"),0,INDEX(Listas!$J$2:$J$40,MATCH($B165,Listas!$I$2:$I$40,0))),""))</f>
        <v>200</v>
      </c>
      <c r="P165" s="31" t="str">
        <f t="array" ref="P165">IF($A165="","",IFERROR(_xlfn.XLOOKUP($A165,'Movimentação'!$B$7:$B$1006,'Movimentação'!$F$7:$F$1006,"",0,-1),""))</f>
        <v>ENTRADA (NOVA)</v>
      </c>
      <c r="Q165" s="31">
        <f>IF(COUNTIFS('Manutenção'!$B$7:$B$1006,$A165,'Manutenção'!$H$7:$H$1006,"EM CONSERTO")&gt;0,1,0)</f>
        <v>0</v>
      </c>
    </row>
    <row r="166" ht="15.0" hidden="1" customHeight="1">
      <c r="A166" s="15" t="s">
        <v>481</v>
      </c>
      <c r="B166" s="17" t="s">
        <v>94</v>
      </c>
      <c r="C166" s="17" t="s">
        <v>402</v>
      </c>
      <c r="D166" s="17"/>
      <c r="E166" s="17"/>
      <c r="F166" s="17"/>
      <c r="G166" s="18">
        <v>360.0</v>
      </c>
      <c r="H166" s="15" t="s">
        <v>189</v>
      </c>
      <c r="I166" s="15"/>
      <c r="J166" s="24" t="s">
        <v>187</v>
      </c>
      <c r="K166" s="24" t="s">
        <v>476</v>
      </c>
      <c r="L166" s="24" t="str">
        <f t="shared" si="3"/>
        <v>EM OBRA</v>
      </c>
      <c r="M166" s="17"/>
      <c r="N166" s="30">
        <f t="array" ref="N166">IF($A166="","",IFERROR(IF(OR($L166="BAIXADO",$L166="FURTADO"),0,INDEX(Listas!$J$2:$J$40,MATCH($B166,Listas!$I$2:$I$40,0))),""))</f>
        <v>200</v>
      </c>
      <c r="P166" s="31" t="str">
        <f t="array" ref="P166">IF($A166="","",IFERROR(_xlfn.XLOOKUP($A166,'Movimentação'!$B$7:$B$1006,'Movimentação'!$F$7:$F$1006,"",0,-1),""))</f>
        <v>ENTRADA (NOVA)</v>
      </c>
      <c r="Q166" s="31">
        <f>IF(COUNTIFS('Manutenção'!$B$7:$B$1006,$A166,'Manutenção'!$H$7:$H$1006,"EM CONSERTO")&gt;0,1,0)</f>
        <v>0</v>
      </c>
    </row>
    <row r="167" ht="15.0" hidden="1" customHeight="1">
      <c r="A167" s="15" t="s">
        <v>484</v>
      </c>
      <c r="B167" s="17" t="s">
        <v>35</v>
      </c>
      <c r="C167" s="17" t="s">
        <v>38</v>
      </c>
      <c r="D167" s="17" t="s">
        <v>254</v>
      </c>
      <c r="E167" s="17" t="s">
        <v>255</v>
      </c>
      <c r="F167" s="17" t="s">
        <v>693</v>
      </c>
      <c r="G167" s="34">
        <v>697.9</v>
      </c>
      <c r="H167" s="15" t="s">
        <v>189</v>
      </c>
      <c r="I167" s="15"/>
      <c r="J167" s="24" t="s">
        <v>120</v>
      </c>
      <c r="K167" s="24" t="s">
        <v>301</v>
      </c>
      <c r="L167" s="24" t="str">
        <f t="shared" si="3"/>
        <v>EM OBRA</v>
      </c>
      <c r="M167" s="17"/>
      <c r="N167" s="30">
        <f t="array" ref="N167">IF($A167="","",IFERROR(IF(OR($L167="BAIXADO",$L167="FURTADO"),0,INDEX(Listas!$J$2:$J$40,MATCH($B167,Listas!$I$2:$I$40,0))),""))</f>
        <v>200</v>
      </c>
      <c r="P167" s="31" t="str">
        <f t="array" ref="P167">IF($A167="","",IFERROR(_xlfn.XLOOKUP($A167,'Movimentação'!$B$7:$B$1006,'Movimentação'!$F$7:$F$1006,"",0,-1),""))</f>
        <v>ENTRADA (NOVA)</v>
      </c>
      <c r="Q167" s="31">
        <f>IF(COUNTIFS('Manutenção'!$B$7:$B$1006,$A167,'Manutenção'!$H$7:$H$1006,"EM CONSERTO")&gt;0,1,0)</f>
        <v>0</v>
      </c>
    </row>
    <row r="168" ht="15.0" hidden="1" customHeight="1">
      <c r="A168" s="15"/>
      <c r="B168" s="17"/>
      <c r="C168" s="17"/>
      <c r="D168" s="17"/>
      <c r="E168" s="17"/>
      <c r="F168" s="17"/>
      <c r="G168" s="18"/>
      <c r="H168" s="15"/>
      <c r="I168" s="15"/>
      <c r="J168" s="24" t="str">
        <f t="array" ref="J168">IF($A168="","",IFERROR(_xlfn.XLOOKUP($A168,'Movimentação'!$B$7:$B$1006,'Movimentação'!$E$7:$E$1006,"",0,-1),""))</f>
        <v/>
      </c>
      <c r="K168" s="24" t="str">
        <f t="array" ref="K168">IF($A168="","",IFERROR(_xlfn.XLOOKUP($A168,'Movimentação'!$B$7:$B$1006,'Movimentação'!$G$7:$G$1006,"",0,-1),""))</f>
        <v/>
      </c>
      <c r="L168" s="24" t="str">
        <f t="shared" si="3"/>
        <v/>
      </c>
      <c r="M168" s="17"/>
      <c r="N168" s="30" t="str">
        <f t="array" ref="N168">IF($A168="","",IFERROR(IF(OR($L168="BAIXADO",$L168="FURTADO"),0,INDEX(Listas!$J$2:$J$40,MATCH($B168,Listas!$I$2:$I$40,0))),""))</f>
        <v/>
      </c>
      <c r="P168" s="31" t="str">
        <f t="array" ref="P168">IF($A168="","",IFERROR(_xlfn.XLOOKUP($A168,'Movimentação'!$B$7:$B$1006,'Movimentação'!$F$7:$F$1006,"",0,-1),""))</f>
        <v/>
      </c>
      <c r="Q168" s="31">
        <f>IF(COUNTIFS('Manutenção'!$B$7:$B$1006,$A168,'Manutenção'!$H$7:$H$1006,"EM CONSERTO")&gt;0,1,0)</f>
        <v>0</v>
      </c>
    </row>
    <row r="169" ht="15.0" hidden="1" customHeight="1">
      <c r="A169" s="15"/>
      <c r="B169" s="17"/>
      <c r="C169" s="17"/>
      <c r="D169" s="17"/>
      <c r="E169" s="17"/>
      <c r="F169" s="17"/>
      <c r="G169" s="18"/>
      <c r="H169" s="15"/>
      <c r="I169" s="15"/>
      <c r="J169" s="24" t="str">
        <f t="array" ref="J169">IF($A169="","",IFERROR(_xlfn.XLOOKUP($A169,'Movimentação'!$B$7:$B$1006,'Movimentação'!$E$7:$E$1006,"",0,-1),""))</f>
        <v/>
      </c>
      <c r="K169" s="24" t="str">
        <f t="array" ref="K169">IF($A169="","",IFERROR(_xlfn.XLOOKUP($A169,'Movimentação'!$B$7:$B$1006,'Movimentação'!$G$7:$G$1006,"",0,-1),""))</f>
        <v/>
      </c>
      <c r="L169" s="24" t="str">
        <f t="shared" si="3"/>
        <v/>
      </c>
      <c r="M169" s="17"/>
      <c r="N169" s="30" t="str">
        <f t="array" ref="N169">IF($A169="","",IFERROR(IF(OR($L169="BAIXADO",$L169="FURTADO"),0,INDEX(Listas!$J$2:$J$40,MATCH($B169,Listas!$I$2:$I$40,0))),""))</f>
        <v/>
      </c>
      <c r="P169" s="31" t="str">
        <f t="array" ref="P169">IF($A169="","",IFERROR(_xlfn.XLOOKUP($A169,'Movimentação'!$B$7:$B$1006,'Movimentação'!$F$7:$F$1006,"",0,-1),""))</f>
        <v/>
      </c>
      <c r="Q169" s="31">
        <f>IF(COUNTIFS('Manutenção'!$B$7:$B$1006,$A169,'Manutenção'!$H$7:$H$1006,"EM CONSERTO")&gt;0,1,0)</f>
        <v>0</v>
      </c>
    </row>
    <row r="170" ht="15.0" hidden="1" customHeight="1">
      <c r="A170" s="15"/>
      <c r="B170" s="17"/>
      <c r="C170" s="17"/>
      <c r="D170" s="17"/>
      <c r="E170" s="17"/>
      <c r="F170" s="17"/>
      <c r="G170" s="18"/>
      <c r="H170" s="15"/>
      <c r="I170" s="15"/>
      <c r="J170" s="24" t="str">
        <f t="array" ref="J170">IF($A170="","",IFERROR(_xlfn.XLOOKUP($A170,'Movimentação'!$B$7:$B$1006,'Movimentação'!$E$7:$E$1006,"",0,-1),""))</f>
        <v/>
      </c>
      <c r="K170" s="24" t="str">
        <f t="array" ref="K170">IF($A170="","",IFERROR(_xlfn.XLOOKUP($A170,'Movimentação'!$B$7:$B$1006,'Movimentação'!$G$7:$G$1006,"",0,-1),""))</f>
        <v/>
      </c>
      <c r="L170" s="24" t="str">
        <f t="shared" si="3"/>
        <v/>
      </c>
      <c r="M170" s="17"/>
      <c r="N170" s="30" t="str">
        <f t="array" ref="N170">IF($A170="","",IFERROR(IF(OR($L170="BAIXADO",$L170="FURTADO"),0,INDEX(Listas!$J$2:$J$40,MATCH($B170,Listas!$I$2:$I$40,0))),""))</f>
        <v/>
      </c>
      <c r="P170" s="31" t="str">
        <f t="array" ref="P170">IF($A170="","",IFERROR(_xlfn.XLOOKUP($A170,'Movimentação'!$B$7:$B$1006,'Movimentação'!$F$7:$F$1006,"",0,-1),""))</f>
        <v/>
      </c>
      <c r="Q170" s="31">
        <f>IF(COUNTIFS('Manutenção'!$B$7:$B$1006,$A170,'Manutenção'!$H$7:$H$1006,"EM CONSERTO")&gt;0,1,0)</f>
        <v>0</v>
      </c>
    </row>
    <row r="171" ht="15.0" hidden="1" customHeight="1">
      <c r="A171" s="15"/>
      <c r="B171" s="17"/>
      <c r="C171" s="17"/>
      <c r="D171" s="17"/>
      <c r="E171" s="17"/>
      <c r="F171" s="17"/>
      <c r="G171" s="18"/>
      <c r="H171" s="15"/>
      <c r="I171" s="15"/>
      <c r="J171" s="24" t="str">
        <f t="array" ref="J171">IF($A171="","",IFERROR(_xlfn.XLOOKUP($A171,'Movimentação'!$B$7:$B$1006,'Movimentação'!$E$7:$E$1006,"",0,-1),""))</f>
        <v/>
      </c>
      <c r="K171" s="24" t="str">
        <f t="array" ref="K171">IF($A171="","",IFERROR(_xlfn.XLOOKUP($A171,'Movimentação'!$B$7:$B$1006,'Movimentação'!$G$7:$G$1006,"",0,-1),""))</f>
        <v/>
      </c>
      <c r="L171" s="24" t="str">
        <f t="shared" si="3"/>
        <v/>
      </c>
      <c r="M171" s="17"/>
      <c r="N171" s="30" t="str">
        <f t="array" ref="N171">IF($A171="","",IFERROR(IF(OR($L171="BAIXADO",$L171="FURTADO"),0,INDEX(Listas!$J$2:$J$40,MATCH($B171,Listas!$I$2:$I$40,0))),""))</f>
        <v/>
      </c>
      <c r="P171" s="31" t="str">
        <f t="array" ref="P171">IF($A171="","",IFERROR(_xlfn.XLOOKUP($A171,'Movimentação'!$B$7:$B$1006,'Movimentação'!$F$7:$F$1006,"",0,-1),""))</f>
        <v/>
      </c>
      <c r="Q171" s="31">
        <f>IF(COUNTIFS('Manutenção'!$B$7:$B$1006,$A171,'Manutenção'!$H$7:$H$1006,"EM CONSERTO")&gt;0,1,0)</f>
        <v>0</v>
      </c>
    </row>
    <row r="172" ht="15.0" hidden="1" customHeight="1">
      <c r="A172" s="15"/>
      <c r="B172" s="17"/>
      <c r="C172" s="17"/>
      <c r="D172" s="17"/>
      <c r="E172" s="17"/>
      <c r="F172" s="17"/>
      <c r="G172" s="18"/>
      <c r="H172" s="15"/>
      <c r="I172" s="15"/>
      <c r="J172" s="24" t="str">
        <f t="array" ref="J172">IF($A172="","",IFERROR(_xlfn.XLOOKUP($A172,'Movimentação'!$B$7:$B$1006,'Movimentação'!$E$7:$E$1006,"",0,-1),""))</f>
        <v/>
      </c>
      <c r="K172" s="24" t="str">
        <f t="array" ref="K172">IF($A172="","",IFERROR(_xlfn.XLOOKUP($A172,'Movimentação'!$B$7:$B$1006,'Movimentação'!$G$7:$G$1006,"",0,-1),""))</f>
        <v/>
      </c>
      <c r="L172" s="24" t="str">
        <f t="shared" si="3"/>
        <v/>
      </c>
      <c r="M172" s="17"/>
      <c r="N172" s="30" t="str">
        <f t="array" ref="N172">IF($A172="","",IFERROR(IF(OR($L172="BAIXADO",$L172="FURTADO"),0,INDEX(Listas!$J$2:$J$40,MATCH($B172,Listas!$I$2:$I$40,0))),""))</f>
        <v/>
      </c>
      <c r="P172" s="31" t="str">
        <f t="array" ref="P172">IF($A172="","",IFERROR(_xlfn.XLOOKUP($A172,'Movimentação'!$B$7:$B$1006,'Movimentação'!$F$7:$F$1006,"",0,-1),""))</f>
        <v/>
      </c>
      <c r="Q172" s="31">
        <f>IF(COUNTIFS('Manutenção'!$B$7:$B$1006,$A172,'Manutenção'!$H$7:$H$1006,"EM CONSERTO")&gt;0,1,0)</f>
        <v>0</v>
      </c>
    </row>
    <row r="173" ht="15.0" hidden="1" customHeight="1">
      <c r="A173" s="15"/>
      <c r="B173" s="17"/>
      <c r="C173" s="17"/>
      <c r="D173" s="17"/>
      <c r="E173" s="17"/>
      <c r="F173" s="17"/>
      <c r="G173" s="18"/>
      <c r="H173" s="15"/>
      <c r="I173" s="15"/>
      <c r="J173" s="24" t="str">
        <f t="array" ref="J173">IF($A173="","",IFERROR(_xlfn.XLOOKUP($A173,'Movimentação'!$B$7:$B$1006,'Movimentação'!$E$7:$E$1006,"",0,-1),""))</f>
        <v/>
      </c>
      <c r="K173" s="24" t="str">
        <f t="array" ref="K173">IF($A173="","",IFERROR(_xlfn.XLOOKUP($A173,'Movimentação'!$B$7:$B$1006,'Movimentação'!$G$7:$G$1006,"",0,-1),""))</f>
        <v/>
      </c>
      <c r="L173" s="24" t="str">
        <f t="shared" si="3"/>
        <v/>
      </c>
      <c r="M173" s="17"/>
      <c r="N173" s="30" t="str">
        <f t="array" ref="N173">IF($A173="","",IFERROR(IF(OR($L173="BAIXADO",$L173="FURTADO"),0,INDEX(Listas!$J$2:$J$40,MATCH($B173,Listas!$I$2:$I$40,0))),""))</f>
        <v/>
      </c>
      <c r="P173" s="31" t="str">
        <f t="array" ref="P173">IF($A173="","",IFERROR(_xlfn.XLOOKUP($A173,'Movimentação'!$B$7:$B$1006,'Movimentação'!$F$7:$F$1006,"",0,-1),""))</f>
        <v/>
      </c>
      <c r="Q173" s="31">
        <f>IF(COUNTIFS('Manutenção'!$B$7:$B$1006,$A173,'Manutenção'!$H$7:$H$1006,"EM CONSERTO")&gt;0,1,0)</f>
        <v>0</v>
      </c>
    </row>
    <row r="174" ht="15.0" hidden="1" customHeight="1">
      <c r="A174" s="15"/>
      <c r="B174" s="17"/>
      <c r="C174" s="17"/>
      <c r="D174" s="17"/>
      <c r="E174" s="17"/>
      <c r="F174" s="17"/>
      <c r="G174" s="18"/>
      <c r="H174" s="15"/>
      <c r="I174" s="15"/>
      <c r="J174" s="24" t="str">
        <f t="array" ref="J174">IF($A174="","",IFERROR(_xlfn.XLOOKUP($A174,'Movimentação'!$B$7:$B$1006,'Movimentação'!$E$7:$E$1006,"",0,-1),""))</f>
        <v/>
      </c>
      <c r="K174" s="24" t="str">
        <f t="array" ref="K174">IF($A174="","",IFERROR(_xlfn.XLOOKUP($A174,'Movimentação'!$B$7:$B$1006,'Movimentação'!$G$7:$G$1006,"",0,-1),""))</f>
        <v/>
      </c>
      <c r="L174" s="24" t="str">
        <f t="shared" si="3"/>
        <v/>
      </c>
      <c r="M174" s="17"/>
      <c r="N174" s="30" t="str">
        <f t="array" ref="N174">IF($A174="","",IFERROR(IF(OR($L174="BAIXADO",$L174="FURTADO"),0,INDEX(Listas!$J$2:$J$40,MATCH($B174,Listas!$I$2:$I$40,0))),""))</f>
        <v/>
      </c>
      <c r="P174" s="31" t="str">
        <f t="array" ref="P174">IF($A174="","",IFERROR(_xlfn.XLOOKUP($A174,'Movimentação'!$B$7:$B$1006,'Movimentação'!$F$7:$F$1006,"",0,-1),""))</f>
        <v/>
      </c>
      <c r="Q174" s="31">
        <f>IF(COUNTIFS('Manutenção'!$B$7:$B$1006,$A174,'Manutenção'!$H$7:$H$1006,"EM CONSERTO")&gt;0,1,0)</f>
        <v>0</v>
      </c>
    </row>
    <row r="175" ht="15.0" hidden="1" customHeight="1">
      <c r="A175" s="15"/>
      <c r="B175" s="17"/>
      <c r="C175" s="17"/>
      <c r="D175" s="17"/>
      <c r="E175" s="17"/>
      <c r="F175" s="17"/>
      <c r="G175" s="18"/>
      <c r="H175" s="15"/>
      <c r="I175" s="15"/>
      <c r="J175" s="24" t="str">
        <f t="array" ref="J175">IF($A175="","",IFERROR(_xlfn.XLOOKUP($A175,'Movimentação'!$B$7:$B$1006,'Movimentação'!$E$7:$E$1006,"",0,-1),""))</f>
        <v/>
      </c>
      <c r="K175" s="24" t="str">
        <f t="array" ref="K175">IF($A175="","",IFERROR(_xlfn.XLOOKUP($A175,'Movimentação'!$B$7:$B$1006,'Movimentação'!$G$7:$G$1006,"",0,-1),""))</f>
        <v/>
      </c>
      <c r="L175" s="24" t="str">
        <f t="shared" si="3"/>
        <v/>
      </c>
      <c r="M175" s="17"/>
      <c r="N175" s="30" t="str">
        <f t="array" ref="N175">IF($A175="","",IFERROR(IF(OR($L175="BAIXADO",$L175="FURTADO"),0,INDEX(Listas!$J$2:$J$40,MATCH($B175,Listas!$I$2:$I$40,0))),""))</f>
        <v/>
      </c>
      <c r="P175" s="31" t="str">
        <f t="array" ref="P175">IF($A175="","",IFERROR(_xlfn.XLOOKUP($A175,'Movimentação'!$B$7:$B$1006,'Movimentação'!$F$7:$F$1006,"",0,-1),""))</f>
        <v/>
      </c>
      <c r="Q175" s="31">
        <f>IF(COUNTIFS('Manutenção'!$B$7:$B$1006,$A175,'Manutenção'!$H$7:$H$1006,"EM CONSERTO")&gt;0,1,0)</f>
        <v>0</v>
      </c>
    </row>
    <row r="176" ht="15.0" hidden="1" customHeight="1">
      <c r="A176" s="15"/>
      <c r="B176" s="17"/>
      <c r="C176" s="17"/>
      <c r="D176" s="17"/>
      <c r="E176" s="17"/>
      <c r="F176" s="17"/>
      <c r="G176" s="18"/>
      <c r="H176" s="15"/>
      <c r="I176" s="15"/>
      <c r="J176" s="24" t="str">
        <f t="array" ref="J176">IF($A176="","",IFERROR(_xlfn.XLOOKUP($A176,'Movimentação'!$B$7:$B$1006,'Movimentação'!$E$7:$E$1006,"",0,-1),""))</f>
        <v/>
      </c>
      <c r="K176" s="24" t="str">
        <f t="array" ref="K176">IF($A176="","",IFERROR(_xlfn.XLOOKUP($A176,'Movimentação'!$B$7:$B$1006,'Movimentação'!$G$7:$G$1006,"",0,-1),""))</f>
        <v/>
      </c>
      <c r="L176" s="24" t="str">
        <f t="shared" si="3"/>
        <v/>
      </c>
      <c r="M176" s="17"/>
      <c r="N176" s="30" t="str">
        <f t="array" ref="N176">IF($A176="","",IFERROR(IF(OR($L176="BAIXADO",$L176="FURTADO"),0,INDEX(Listas!$J$2:$J$40,MATCH($B176,Listas!$I$2:$I$40,0))),""))</f>
        <v/>
      </c>
      <c r="P176" s="31" t="str">
        <f t="array" ref="P176">IF($A176="","",IFERROR(_xlfn.XLOOKUP($A176,'Movimentação'!$B$7:$B$1006,'Movimentação'!$F$7:$F$1006,"",0,-1),""))</f>
        <v/>
      </c>
      <c r="Q176" s="31">
        <f>IF(COUNTIFS('Manutenção'!$B$7:$B$1006,$A176,'Manutenção'!$H$7:$H$1006,"EM CONSERTO")&gt;0,1,0)</f>
        <v>0</v>
      </c>
    </row>
    <row r="177" ht="15.0" hidden="1" customHeight="1">
      <c r="A177" s="15"/>
      <c r="B177" s="17"/>
      <c r="C177" s="17"/>
      <c r="D177" s="17"/>
      <c r="E177" s="17"/>
      <c r="F177" s="17"/>
      <c r="G177" s="18"/>
      <c r="H177" s="15"/>
      <c r="I177" s="15"/>
      <c r="J177" s="24" t="str">
        <f t="array" ref="J177">IF($A177="","",IFERROR(_xlfn.XLOOKUP($A177,'Movimentação'!$B$7:$B$1006,'Movimentação'!$E$7:$E$1006,"",0,-1),""))</f>
        <v/>
      </c>
      <c r="K177" s="24" t="str">
        <f t="array" ref="K177">IF($A177="","",IFERROR(_xlfn.XLOOKUP($A177,'Movimentação'!$B$7:$B$1006,'Movimentação'!$G$7:$G$1006,"",0,-1),""))</f>
        <v/>
      </c>
      <c r="L177" s="24" t="str">
        <f t="shared" si="3"/>
        <v/>
      </c>
      <c r="M177" s="17"/>
      <c r="N177" s="30" t="str">
        <f t="array" ref="N177">IF($A177="","",IFERROR(IF(OR($L177="BAIXADO",$L177="FURTADO"),0,INDEX(Listas!$J$2:$J$40,MATCH($B177,Listas!$I$2:$I$40,0))),""))</f>
        <v/>
      </c>
      <c r="P177" s="31" t="str">
        <f t="array" ref="P177">IF($A177="","",IFERROR(_xlfn.XLOOKUP($A177,'Movimentação'!$B$7:$B$1006,'Movimentação'!$F$7:$F$1006,"",0,-1),""))</f>
        <v/>
      </c>
      <c r="Q177" s="31">
        <f>IF(COUNTIFS('Manutenção'!$B$7:$B$1006,$A177,'Manutenção'!$H$7:$H$1006,"EM CONSERTO")&gt;0,1,0)</f>
        <v>0</v>
      </c>
    </row>
    <row r="178" ht="15.0" hidden="1" customHeight="1">
      <c r="A178" s="15"/>
      <c r="B178" s="17"/>
      <c r="C178" s="17"/>
      <c r="D178" s="17"/>
      <c r="E178" s="17"/>
      <c r="F178" s="17"/>
      <c r="G178" s="18"/>
      <c r="H178" s="15"/>
      <c r="I178" s="15"/>
      <c r="J178" s="24" t="str">
        <f t="array" ref="J178">IF($A178="","",IFERROR(_xlfn.XLOOKUP($A178,'Movimentação'!$B$7:$B$1006,'Movimentação'!$E$7:$E$1006,"",0,-1),""))</f>
        <v/>
      </c>
      <c r="K178" s="24" t="str">
        <f t="array" ref="K178">IF($A178="","",IFERROR(_xlfn.XLOOKUP($A178,'Movimentação'!$B$7:$B$1006,'Movimentação'!$G$7:$G$1006,"",0,-1),""))</f>
        <v/>
      </c>
      <c r="L178" s="24" t="str">
        <f t="shared" si="3"/>
        <v/>
      </c>
      <c r="M178" s="17"/>
      <c r="N178" s="30" t="str">
        <f t="array" ref="N178">IF($A178="","",IFERROR(IF(OR($L178="BAIXADO",$L178="FURTADO"),0,INDEX(Listas!$J$2:$J$40,MATCH($B178,Listas!$I$2:$I$40,0))),""))</f>
        <v/>
      </c>
      <c r="P178" s="31" t="str">
        <f t="array" ref="P178">IF($A178="","",IFERROR(_xlfn.XLOOKUP($A178,'Movimentação'!$B$7:$B$1006,'Movimentação'!$F$7:$F$1006,"",0,-1),""))</f>
        <v/>
      </c>
      <c r="Q178" s="31">
        <f>IF(COUNTIFS('Manutenção'!$B$7:$B$1006,$A178,'Manutenção'!$H$7:$H$1006,"EM CONSERTO")&gt;0,1,0)</f>
        <v>0</v>
      </c>
    </row>
    <row r="179" ht="15.0" hidden="1" customHeight="1">
      <c r="A179" s="15"/>
      <c r="B179" s="17"/>
      <c r="C179" s="17"/>
      <c r="D179" s="17"/>
      <c r="E179" s="17"/>
      <c r="F179" s="17"/>
      <c r="G179" s="18"/>
      <c r="H179" s="15"/>
      <c r="I179" s="15"/>
      <c r="J179" s="24" t="str">
        <f t="array" ref="J179">IF($A179="","",IFERROR(_xlfn.XLOOKUP($A179,'Movimentação'!$B$7:$B$1006,'Movimentação'!$E$7:$E$1006,"",0,-1),""))</f>
        <v/>
      </c>
      <c r="K179" s="24" t="str">
        <f t="array" ref="K179">IF($A179="","",IFERROR(_xlfn.XLOOKUP($A179,'Movimentação'!$B$7:$B$1006,'Movimentação'!$G$7:$G$1006,"",0,-1),""))</f>
        <v/>
      </c>
      <c r="L179" s="24" t="str">
        <f t="shared" si="3"/>
        <v/>
      </c>
      <c r="M179" s="17"/>
      <c r="N179" s="30" t="str">
        <f t="array" ref="N179">IF($A179="","",IFERROR(IF(OR($L179="BAIXADO",$L179="FURTADO"),0,INDEX(Listas!$J$2:$J$40,MATCH($B179,Listas!$I$2:$I$40,0))),""))</f>
        <v/>
      </c>
      <c r="P179" s="31" t="str">
        <f t="array" ref="P179">IF($A179="","",IFERROR(_xlfn.XLOOKUP($A179,'Movimentação'!$B$7:$B$1006,'Movimentação'!$F$7:$F$1006,"",0,-1),""))</f>
        <v/>
      </c>
      <c r="Q179" s="31">
        <f>IF(COUNTIFS('Manutenção'!$B$7:$B$1006,$A179,'Manutenção'!$H$7:$H$1006,"EM CONSERTO")&gt;0,1,0)</f>
        <v>0</v>
      </c>
    </row>
    <row r="180" ht="15.0" hidden="1" customHeight="1">
      <c r="A180" s="15"/>
      <c r="B180" s="17"/>
      <c r="C180" s="17"/>
      <c r="D180" s="17"/>
      <c r="E180" s="17"/>
      <c r="F180" s="17"/>
      <c r="G180" s="18"/>
      <c r="H180" s="15"/>
      <c r="I180" s="15"/>
      <c r="J180" s="24" t="str">
        <f t="array" ref="J180">IF($A180="","",IFERROR(_xlfn.XLOOKUP($A180,'Movimentação'!$B$7:$B$1006,'Movimentação'!$E$7:$E$1006,"",0,-1),""))</f>
        <v/>
      </c>
      <c r="K180" s="24" t="str">
        <f t="array" ref="K180">IF($A180="","",IFERROR(_xlfn.XLOOKUP($A180,'Movimentação'!$B$7:$B$1006,'Movimentação'!$G$7:$G$1006,"",0,-1),""))</f>
        <v/>
      </c>
      <c r="L180" s="24" t="str">
        <f t="shared" si="3"/>
        <v/>
      </c>
      <c r="M180" s="17"/>
      <c r="N180" s="30" t="str">
        <f t="array" ref="N180">IF($A180="","",IFERROR(IF(OR($L180="BAIXADO",$L180="FURTADO"),0,INDEX(Listas!$J$2:$J$40,MATCH($B180,Listas!$I$2:$I$40,0))),""))</f>
        <v/>
      </c>
      <c r="P180" s="31" t="str">
        <f t="array" ref="P180">IF($A180="","",IFERROR(_xlfn.XLOOKUP($A180,'Movimentação'!$B$7:$B$1006,'Movimentação'!$F$7:$F$1006,"",0,-1),""))</f>
        <v/>
      </c>
      <c r="Q180" s="31">
        <f>IF(COUNTIFS('Manutenção'!$B$7:$B$1006,$A180,'Manutenção'!$H$7:$H$1006,"EM CONSERTO")&gt;0,1,0)</f>
        <v>0</v>
      </c>
    </row>
    <row r="181" ht="15.0" hidden="1" customHeight="1">
      <c r="A181" s="15"/>
      <c r="B181" s="17"/>
      <c r="C181" s="17"/>
      <c r="D181" s="17"/>
      <c r="E181" s="17"/>
      <c r="F181" s="17"/>
      <c r="G181" s="18"/>
      <c r="H181" s="15"/>
      <c r="I181" s="15"/>
      <c r="J181" s="24" t="str">
        <f t="array" ref="J181">IF($A181="","",IFERROR(_xlfn.XLOOKUP($A181,'Movimentação'!$B$7:$B$1006,'Movimentação'!$E$7:$E$1006,"",0,-1),""))</f>
        <v/>
      </c>
      <c r="K181" s="24" t="str">
        <f t="array" ref="K181">IF($A181="","",IFERROR(_xlfn.XLOOKUP($A181,'Movimentação'!$B$7:$B$1006,'Movimentação'!$G$7:$G$1006,"",0,-1),""))</f>
        <v/>
      </c>
      <c r="L181" s="24" t="str">
        <f t="shared" si="3"/>
        <v/>
      </c>
      <c r="M181" s="17"/>
      <c r="N181" s="30" t="str">
        <f t="array" ref="N181">IF($A181="","",IFERROR(IF(OR($L181="BAIXADO",$L181="FURTADO"),0,INDEX(Listas!$J$2:$J$40,MATCH($B181,Listas!$I$2:$I$40,0))),""))</f>
        <v/>
      </c>
      <c r="P181" s="31" t="str">
        <f t="array" ref="P181">IF($A181="","",IFERROR(_xlfn.XLOOKUP($A181,'Movimentação'!$B$7:$B$1006,'Movimentação'!$F$7:$F$1006,"",0,-1),""))</f>
        <v/>
      </c>
      <c r="Q181" s="31">
        <f>IF(COUNTIFS('Manutenção'!$B$7:$B$1006,$A181,'Manutenção'!$H$7:$H$1006,"EM CONSERTO")&gt;0,1,0)</f>
        <v>0</v>
      </c>
    </row>
    <row r="182" ht="15.0" hidden="1" customHeight="1">
      <c r="A182" s="15"/>
      <c r="B182" s="17"/>
      <c r="C182" s="17"/>
      <c r="D182" s="17"/>
      <c r="E182" s="17"/>
      <c r="F182" s="17"/>
      <c r="G182" s="18"/>
      <c r="H182" s="15"/>
      <c r="I182" s="15"/>
      <c r="J182" s="24" t="str">
        <f t="array" ref="J182">IF($A182="","",IFERROR(_xlfn.XLOOKUP($A182,'Movimentação'!$B$7:$B$1006,'Movimentação'!$E$7:$E$1006,"",0,-1),""))</f>
        <v/>
      </c>
      <c r="K182" s="24" t="str">
        <f t="array" ref="K182">IF($A182="","",IFERROR(_xlfn.XLOOKUP($A182,'Movimentação'!$B$7:$B$1006,'Movimentação'!$G$7:$G$1006,"",0,-1),""))</f>
        <v/>
      </c>
      <c r="L182" s="24" t="str">
        <f t="shared" si="3"/>
        <v/>
      </c>
      <c r="M182" s="17"/>
      <c r="N182" s="30" t="str">
        <f t="array" ref="N182">IF($A182="","",IFERROR(IF(OR($L182="BAIXADO",$L182="FURTADO"),0,INDEX(Listas!$J$2:$J$40,MATCH($B182,Listas!$I$2:$I$40,0))),""))</f>
        <v/>
      </c>
      <c r="P182" s="31" t="str">
        <f t="array" ref="P182">IF($A182="","",IFERROR(_xlfn.XLOOKUP($A182,'Movimentação'!$B$7:$B$1006,'Movimentação'!$F$7:$F$1006,"",0,-1),""))</f>
        <v/>
      </c>
      <c r="Q182" s="31">
        <f>IF(COUNTIFS('Manutenção'!$B$7:$B$1006,$A182,'Manutenção'!$H$7:$H$1006,"EM CONSERTO")&gt;0,1,0)</f>
        <v>0</v>
      </c>
    </row>
    <row r="183" ht="15.0" hidden="1" customHeight="1">
      <c r="A183" s="15"/>
      <c r="B183" s="17"/>
      <c r="C183" s="17"/>
      <c r="D183" s="17"/>
      <c r="E183" s="17"/>
      <c r="F183" s="17"/>
      <c r="G183" s="18"/>
      <c r="H183" s="15"/>
      <c r="I183" s="15"/>
      <c r="J183" s="24" t="str">
        <f t="array" ref="J183">IF($A183="","",IFERROR(_xlfn.XLOOKUP($A183,'Movimentação'!$B$7:$B$1006,'Movimentação'!$E$7:$E$1006,"",0,-1),""))</f>
        <v/>
      </c>
      <c r="K183" s="24" t="str">
        <f t="array" ref="K183">IF($A183="","",IFERROR(_xlfn.XLOOKUP($A183,'Movimentação'!$B$7:$B$1006,'Movimentação'!$G$7:$G$1006,"",0,-1),""))</f>
        <v/>
      </c>
      <c r="L183" s="24" t="str">
        <f t="shared" si="3"/>
        <v/>
      </c>
      <c r="M183" s="17"/>
      <c r="N183" s="30" t="str">
        <f t="array" ref="N183">IF($A183="","",IFERROR(IF(OR($L183="BAIXADO",$L183="FURTADO"),0,INDEX(Listas!$J$2:$J$40,MATCH($B183,Listas!$I$2:$I$40,0))),""))</f>
        <v/>
      </c>
      <c r="P183" s="31" t="str">
        <f t="array" ref="P183">IF($A183="","",IFERROR(_xlfn.XLOOKUP($A183,'Movimentação'!$B$7:$B$1006,'Movimentação'!$F$7:$F$1006,"",0,-1),""))</f>
        <v/>
      </c>
      <c r="Q183" s="31">
        <f>IF(COUNTIFS('Manutenção'!$B$7:$B$1006,$A183,'Manutenção'!$H$7:$H$1006,"EM CONSERTO")&gt;0,1,0)</f>
        <v>0</v>
      </c>
    </row>
    <row r="184" ht="15.0" hidden="1" customHeight="1">
      <c r="A184" s="15"/>
      <c r="B184" s="17"/>
      <c r="C184" s="17"/>
      <c r="D184" s="17"/>
      <c r="E184" s="17"/>
      <c r="F184" s="17"/>
      <c r="G184" s="18"/>
      <c r="H184" s="15"/>
      <c r="I184" s="15"/>
      <c r="J184" s="24" t="str">
        <f t="array" ref="J184">IF($A184="","",IFERROR(_xlfn.XLOOKUP($A184,'Movimentação'!$B$7:$B$1006,'Movimentação'!$E$7:$E$1006,"",0,-1),""))</f>
        <v/>
      </c>
      <c r="K184" s="24" t="str">
        <f t="array" ref="K184">IF($A184="","",IFERROR(_xlfn.XLOOKUP($A184,'Movimentação'!$B$7:$B$1006,'Movimentação'!$G$7:$G$1006,"",0,-1),""))</f>
        <v/>
      </c>
      <c r="L184" s="24" t="str">
        <f t="shared" si="3"/>
        <v/>
      </c>
      <c r="M184" s="17"/>
      <c r="N184" s="30" t="str">
        <f t="array" ref="N184">IF($A184="","",IFERROR(IF(OR($L184="BAIXADO",$L184="FURTADO"),0,INDEX(Listas!$J$2:$J$40,MATCH($B184,Listas!$I$2:$I$40,0))),""))</f>
        <v/>
      </c>
      <c r="P184" s="31" t="str">
        <f t="array" ref="P184">IF($A184="","",IFERROR(_xlfn.XLOOKUP($A184,'Movimentação'!$B$7:$B$1006,'Movimentação'!$F$7:$F$1006,"",0,-1),""))</f>
        <v/>
      </c>
      <c r="Q184" s="31">
        <f>IF(COUNTIFS('Manutenção'!$B$7:$B$1006,$A184,'Manutenção'!$H$7:$H$1006,"EM CONSERTO")&gt;0,1,0)</f>
        <v>0</v>
      </c>
    </row>
    <row r="185" ht="15.0" hidden="1" customHeight="1">
      <c r="A185" s="15"/>
      <c r="B185" s="17"/>
      <c r="C185" s="17"/>
      <c r="D185" s="17"/>
      <c r="E185" s="17"/>
      <c r="F185" s="17"/>
      <c r="G185" s="18"/>
      <c r="H185" s="15"/>
      <c r="I185" s="15"/>
      <c r="J185" s="24" t="str">
        <f t="array" ref="J185">IF($A185="","",IFERROR(_xlfn.XLOOKUP($A185,'Movimentação'!$B$7:$B$1006,'Movimentação'!$E$7:$E$1006,"",0,-1),""))</f>
        <v/>
      </c>
      <c r="K185" s="24" t="str">
        <f t="array" ref="K185">IF($A185="","",IFERROR(_xlfn.XLOOKUP($A185,'Movimentação'!$B$7:$B$1006,'Movimentação'!$G$7:$G$1006,"",0,-1),""))</f>
        <v/>
      </c>
      <c r="L185" s="24" t="str">
        <f t="shared" si="3"/>
        <v/>
      </c>
      <c r="M185" s="17"/>
      <c r="N185" s="30" t="str">
        <f t="array" ref="N185">IF($A185="","",IFERROR(IF(OR($L185="BAIXADO",$L185="FURTADO"),0,INDEX(Listas!$J$2:$J$40,MATCH($B185,Listas!$I$2:$I$40,0))),""))</f>
        <v/>
      </c>
      <c r="P185" s="31" t="str">
        <f t="array" ref="P185">IF($A185="","",IFERROR(_xlfn.XLOOKUP($A185,'Movimentação'!$B$7:$B$1006,'Movimentação'!$F$7:$F$1006,"",0,-1),""))</f>
        <v/>
      </c>
      <c r="Q185" s="31">
        <f>IF(COUNTIFS('Manutenção'!$B$7:$B$1006,$A185,'Manutenção'!$H$7:$H$1006,"EM CONSERTO")&gt;0,1,0)</f>
        <v>0</v>
      </c>
    </row>
    <row r="186" ht="15.0" hidden="1" customHeight="1">
      <c r="A186" s="15"/>
      <c r="B186" s="17"/>
      <c r="C186" s="17"/>
      <c r="D186" s="17"/>
      <c r="E186" s="17"/>
      <c r="F186" s="17"/>
      <c r="G186" s="18"/>
      <c r="H186" s="15"/>
      <c r="I186" s="15"/>
      <c r="J186" s="24" t="str">
        <f t="array" ref="J186">IF($A186="","",IFERROR(_xlfn.XLOOKUP($A186,'Movimentação'!$B$7:$B$1006,'Movimentação'!$E$7:$E$1006,"",0,-1),""))</f>
        <v/>
      </c>
      <c r="K186" s="24" t="str">
        <f t="array" ref="K186">IF($A186="","",IFERROR(_xlfn.XLOOKUP($A186,'Movimentação'!$B$7:$B$1006,'Movimentação'!$G$7:$G$1006,"",0,-1),""))</f>
        <v/>
      </c>
      <c r="L186" s="24" t="str">
        <f t="shared" si="3"/>
        <v/>
      </c>
      <c r="M186" s="17"/>
      <c r="N186" s="30" t="str">
        <f t="array" ref="N186">IF($A186="","",IFERROR(IF(OR($L186="BAIXADO",$L186="FURTADO"),0,INDEX(Listas!$J$2:$J$40,MATCH($B186,Listas!$I$2:$I$40,0))),""))</f>
        <v/>
      </c>
      <c r="P186" s="31" t="str">
        <f t="array" ref="P186">IF($A186="","",IFERROR(_xlfn.XLOOKUP($A186,'Movimentação'!$B$7:$B$1006,'Movimentação'!$F$7:$F$1006,"",0,-1),""))</f>
        <v/>
      </c>
      <c r="Q186" s="31">
        <f>IF(COUNTIFS('Manutenção'!$B$7:$B$1006,$A186,'Manutenção'!$H$7:$H$1006,"EM CONSERTO")&gt;0,1,0)</f>
        <v>0</v>
      </c>
    </row>
    <row r="187" ht="15.0" hidden="1" customHeight="1">
      <c r="A187" s="15"/>
      <c r="B187" s="17"/>
      <c r="C187" s="17"/>
      <c r="D187" s="17"/>
      <c r="E187" s="17"/>
      <c r="F187" s="17"/>
      <c r="G187" s="18"/>
      <c r="H187" s="15"/>
      <c r="I187" s="15"/>
      <c r="J187" s="24" t="str">
        <f t="array" ref="J187">IF($A187="","",IFERROR(_xlfn.XLOOKUP($A187,'Movimentação'!$B$7:$B$1006,'Movimentação'!$E$7:$E$1006,"",0,-1),""))</f>
        <v/>
      </c>
      <c r="K187" s="24" t="str">
        <f t="array" ref="K187">IF($A187="","",IFERROR(_xlfn.XLOOKUP($A187,'Movimentação'!$B$7:$B$1006,'Movimentação'!$G$7:$G$1006,"",0,-1),""))</f>
        <v/>
      </c>
      <c r="L187" s="24" t="str">
        <f t="shared" si="3"/>
        <v/>
      </c>
      <c r="M187" s="17"/>
      <c r="N187" s="30" t="str">
        <f t="array" ref="N187">IF($A187="","",IFERROR(IF(OR($L187="BAIXADO",$L187="FURTADO"),0,INDEX(Listas!$J$2:$J$40,MATCH($B187,Listas!$I$2:$I$40,0))),""))</f>
        <v/>
      </c>
      <c r="P187" s="31" t="str">
        <f t="array" ref="P187">IF($A187="","",IFERROR(_xlfn.XLOOKUP($A187,'Movimentação'!$B$7:$B$1006,'Movimentação'!$F$7:$F$1006,"",0,-1),""))</f>
        <v/>
      </c>
      <c r="Q187" s="31">
        <f>IF(COUNTIFS('Manutenção'!$B$7:$B$1006,$A187,'Manutenção'!$H$7:$H$1006,"EM CONSERTO")&gt;0,1,0)</f>
        <v>0</v>
      </c>
    </row>
    <row r="188" ht="15.0" hidden="1" customHeight="1">
      <c r="A188" s="15"/>
      <c r="B188" s="17"/>
      <c r="C188" s="17"/>
      <c r="D188" s="17"/>
      <c r="E188" s="17"/>
      <c r="F188" s="17"/>
      <c r="G188" s="18"/>
      <c r="H188" s="15"/>
      <c r="I188" s="15"/>
      <c r="J188" s="24" t="str">
        <f t="array" ref="J188">IF($A188="","",IFERROR(_xlfn.XLOOKUP($A188,'Movimentação'!$B$7:$B$1006,'Movimentação'!$E$7:$E$1006,"",0,-1),""))</f>
        <v/>
      </c>
      <c r="K188" s="24" t="str">
        <f t="array" ref="K188">IF($A188="","",IFERROR(_xlfn.XLOOKUP($A188,'Movimentação'!$B$7:$B$1006,'Movimentação'!$G$7:$G$1006,"",0,-1),""))</f>
        <v/>
      </c>
      <c r="L188" s="24" t="str">
        <f t="shared" si="3"/>
        <v/>
      </c>
      <c r="M188" s="17"/>
      <c r="N188" s="30" t="str">
        <f t="array" ref="N188">IF($A188="","",IFERROR(IF(OR($L188="BAIXADO",$L188="FURTADO"),0,INDEX(Listas!$J$2:$J$40,MATCH($B188,Listas!$I$2:$I$40,0))),""))</f>
        <v/>
      </c>
      <c r="P188" s="31" t="str">
        <f t="array" ref="P188">IF($A188="","",IFERROR(_xlfn.XLOOKUP($A188,'Movimentação'!$B$7:$B$1006,'Movimentação'!$F$7:$F$1006,"",0,-1),""))</f>
        <v/>
      </c>
      <c r="Q188" s="31">
        <f>IF(COUNTIFS('Manutenção'!$B$7:$B$1006,$A188,'Manutenção'!$H$7:$H$1006,"EM CONSERTO")&gt;0,1,0)</f>
        <v>0</v>
      </c>
    </row>
    <row r="189" ht="15.0" hidden="1" customHeight="1">
      <c r="A189" s="15"/>
      <c r="B189" s="17"/>
      <c r="C189" s="17"/>
      <c r="D189" s="17"/>
      <c r="E189" s="17"/>
      <c r="F189" s="17"/>
      <c r="G189" s="18"/>
      <c r="H189" s="15"/>
      <c r="I189" s="15"/>
      <c r="J189" s="24" t="str">
        <f t="array" ref="J189">IF($A189="","",IFERROR(_xlfn.XLOOKUP($A189,'Movimentação'!$B$7:$B$1006,'Movimentação'!$E$7:$E$1006,"",0,-1),""))</f>
        <v/>
      </c>
      <c r="K189" s="24" t="str">
        <f t="array" ref="K189">IF($A189="","",IFERROR(_xlfn.XLOOKUP($A189,'Movimentação'!$B$7:$B$1006,'Movimentação'!$G$7:$G$1006,"",0,-1),""))</f>
        <v/>
      </c>
      <c r="L189" s="24" t="str">
        <f t="shared" si="3"/>
        <v/>
      </c>
      <c r="M189" s="17"/>
      <c r="N189" s="30" t="str">
        <f t="array" ref="N189">IF($A189="","",IFERROR(IF(OR($L189="BAIXADO",$L189="FURTADO"),0,INDEX(Listas!$J$2:$J$40,MATCH($B189,Listas!$I$2:$I$40,0))),""))</f>
        <v/>
      </c>
      <c r="P189" s="31" t="str">
        <f t="array" ref="P189">IF($A189="","",IFERROR(_xlfn.XLOOKUP($A189,'Movimentação'!$B$7:$B$1006,'Movimentação'!$F$7:$F$1006,"",0,-1),""))</f>
        <v/>
      </c>
      <c r="Q189" s="31">
        <f>IF(COUNTIFS('Manutenção'!$B$7:$B$1006,$A189,'Manutenção'!$H$7:$H$1006,"EM CONSERTO")&gt;0,1,0)</f>
        <v>0</v>
      </c>
    </row>
    <row r="190" ht="15.0" hidden="1" customHeight="1">
      <c r="A190" s="15"/>
      <c r="B190" s="17"/>
      <c r="C190" s="17"/>
      <c r="D190" s="17"/>
      <c r="E190" s="17"/>
      <c r="F190" s="17"/>
      <c r="G190" s="18"/>
      <c r="H190" s="15"/>
      <c r="I190" s="15"/>
      <c r="J190" s="24" t="str">
        <f t="array" ref="J190">IF($A190="","",IFERROR(_xlfn.XLOOKUP($A190,'Movimentação'!$B$7:$B$1006,'Movimentação'!$E$7:$E$1006,"",0,-1),""))</f>
        <v/>
      </c>
      <c r="K190" s="24" t="str">
        <f t="array" ref="K190">IF($A190="","",IFERROR(_xlfn.XLOOKUP($A190,'Movimentação'!$B$7:$B$1006,'Movimentação'!$G$7:$G$1006,"",0,-1),""))</f>
        <v/>
      </c>
      <c r="L190" s="24" t="str">
        <f t="shared" si="3"/>
        <v/>
      </c>
      <c r="M190" s="17"/>
      <c r="N190" s="30" t="str">
        <f t="array" ref="N190">IF($A190="","",IFERROR(IF(OR($L190="BAIXADO",$L190="FURTADO"),0,INDEX(Listas!$J$2:$J$40,MATCH($B190,Listas!$I$2:$I$40,0))),""))</f>
        <v/>
      </c>
      <c r="P190" s="31" t="str">
        <f t="array" ref="P190">IF($A190="","",IFERROR(_xlfn.XLOOKUP($A190,'Movimentação'!$B$7:$B$1006,'Movimentação'!$F$7:$F$1006,"",0,-1),""))</f>
        <v/>
      </c>
      <c r="Q190" s="31">
        <f>IF(COUNTIFS('Manutenção'!$B$7:$B$1006,$A190,'Manutenção'!$H$7:$H$1006,"EM CONSERTO")&gt;0,1,0)</f>
        <v>0</v>
      </c>
    </row>
    <row r="191" ht="15.0" hidden="1" customHeight="1">
      <c r="A191" s="15"/>
      <c r="B191" s="17"/>
      <c r="C191" s="17"/>
      <c r="D191" s="17"/>
      <c r="E191" s="17"/>
      <c r="F191" s="17"/>
      <c r="G191" s="18"/>
      <c r="H191" s="15"/>
      <c r="I191" s="15"/>
      <c r="J191" s="24" t="str">
        <f t="array" ref="J191">IF($A191="","",IFERROR(_xlfn.XLOOKUP($A191,'Movimentação'!$B$7:$B$1006,'Movimentação'!$E$7:$E$1006,"",0,-1),""))</f>
        <v/>
      </c>
      <c r="K191" s="24" t="str">
        <f t="array" ref="K191">IF($A191="","",IFERROR(_xlfn.XLOOKUP($A191,'Movimentação'!$B$7:$B$1006,'Movimentação'!$G$7:$G$1006,"",0,-1),""))</f>
        <v/>
      </c>
      <c r="L191" s="24" t="str">
        <f t="shared" si="3"/>
        <v/>
      </c>
      <c r="M191" s="17"/>
      <c r="N191" s="30" t="str">
        <f t="array" ref="N191">IF($A191="","",IFERROR(IF(OR($L191="BAIXADO",$L191="FURTADO"),0,INDEX(Listas!$J$2:$J$40,MATCH($B191,Listas!$I$2:$I$40,0))),""))</f>
        <v/>
      </c>
      <c r="P191" s="31" t="str">
        <f t="array" ref="P191">IF($A191="","",IFERROR(_xlfn.XLOOKUP($A191,'Movimentação'!$B$7:$B$1006,'Movimentação'!$F$7:$F$1006,"",0,-1),""))</f>
        <v/>
      </c>
      <c r="Q191" s="31">
        <f>IF(COUNTIFS('Manutenção'!$B$7:$B$1006,$A191,'Manutenção'!$H$7:$H$1006,"EM CONSERTO")&gt;0,1,0)</f>
        <v>0</v>
      </c>
    </row>
    <row r="192" ht="15.0" hidden="1" customHeight="1">
      <c r="A192" s="15"/>
      <c r="B192" s="17"/>
      <c r="C192" s="17"/>
      <c r="D192" s="17"/>
      <c r="E192" s="17"/>
      <c r="F192" s="17"/>
      <c r="G192" s="18"/>
      <c r="H192" s="15"/>
      <c r="I192" s="15"/>
      <c r="J192" s="24" t="str">
        <f t="array" ref="J192">IF($A192="","",IFERROR(_xlfn.XLOOKUP($A192,'Movimentação'!$B$7:$B$1006,'Movimentação'!$E$7:$E$1006,"",0,-1),""))</f>
        <v/>
      </c>
      <c r="K192" s="24" t="str">
        <f t="array" ref="K192">IF($A192="","",IFERROR(_xlfn.XLOOKUP($A192,'Movimentação'!$B$7:$B$1006,'Movimentação'!$G$7:$G$1006,"",0,-1),""))</f>
        <v/>
      </c>
      <c r="L192" s="24" t="str">
        <f t="shared" si="3"/>
        <v/>
      </c>
      <c r="M192" s="17"/>
      <c r="N192" s="30" t="str">
        <f t="array" ref="N192">IF($A192="","",IFERROR(IF(OR($L192="BAIXADO",$L192="FURTADO"),0,INDEX(Listas!$J$2:$J$40,MATCH($B192,Listas!$I$2:$I$40,0))),""))</f>
        <v/>
      </c>
      <c r="P192" s="31" t="str">
        <f t="array" ref="P192">IF($A192="","",IFERROR(_xlfn.XLOOKUP($A192,'Movimentação'!$B$7:$B$1006,'Movimentação'!$F$7:$F$1006,"",0,-1),""))</f>
        <v/>
      </c>
      <c r="Q192" s="31">
        <f>IF(COUNTIFS('Manutenção'!$B$7:$B$1006,$A192,'Manutenção'!$H$7:$H$1006,"EM CONSERTO")&gt;0,1,0)</f>
        <v>0</v>
      </c>
    </row>
    <row r="193" ht="15.0" hidden="1" customHeight="1">
      <c r="A193" s="15"/>
      <c r="B193" s="17"/>
      <c r="C193" s="17"/>
      <c r="D193" s="17"/>
      <c r="E193" s="17"/>
      <c r="F193" s="17"/>
      <c r="G193" s="18"/>
      <c r="H193" s="15"/>
      <c r="I193" s="15"/>
      <c r="J193" s="24" t="str">
        <f t="array" ref="J193">IF($A193="","",IFERROR(_xlfn.XLOOKUP($A193,'Movimentação'!$B$7:$B$1006,'Movimentação'!$E$7:$E$1006,"",0,-1),""))</f>
        <v/>
      </c>
      <c r="K193" s="24" t="str">
        <f t="array" ref="K193">IF($A193="","",IFERROR(_xlfn.XLOOKUP($A193,'Movimentação'!$B$7:$B$1006,'Movimentação'!$G$7:$G$1006,"",0,-1),""))</f>
        <v/>
      </c>
      <c r="L193" s="24" t="str">
        <f t="shared" si="3"/>
        <v/>
      </c>
      <c r="M193" s="17"/>
      <c r="N193" s="30" t="str">
        <f t="array" ref="N193">IF($A193="","",IFERROR(IF(OR($L193="BAIXADO",$L193="FURTADO"),0,INDEX(Listas!$J$2:$J$40,MATCH($B193,Listas!$I$2:$I$40,0))),""))</f>
        <v/>
      </c>
      <c r="P193" s="31" t="str">
        <f t="array" ref="P193">IF($A193="","",IFERROR(_xlfn.XLOOKUP($A193,'Movimentação'!$B$7:$B$1006,'Movimentação'!$F$7:$F$1006,"",0,-1),""))</f>
        <v/>
      </c>
      <c r="Q193" s="31">
        <f>IF(COUNTIFS('Manutenção'!$B$7:$B$1006,$A193,'Manutenção'!$H$7:$H$1006,"EM CONSERTO")&gt;0,1,0)</f>
        <v>0</v>
      </c>
    </row>
    <row r="194" ht="15.0" hidden="1" customHeight="1">
      <c r="A194" s="15"/>
      <c r="B194" s="17"/>
      <c r="C194" s="17"/>
      <c r="D194" s="17"/>
      <c r="E194" s="17"/>
      <c r="F194" s="17"/>
      <c r="G194" s="18"/>
      <c r="H194" s="15"/>
      <c r="I194" s="15"/>
      <c r="J194" s="24" t="str">
        <f t="array" ref="J194">IF($A194="","",IFERROR(_xlfn.XLOOKUP($A194,'Movimentação'!$B$7:$B$1006,'Movimentação'!$E$7:$E$1006,"",0,-1),""))</f>
        <v/>
      </c>
      <c r="K194" s="24" t="str">
        <f t="array" ref="K194">IF($A194="","",IFERROR(_xlfn.XLOOKUP($A194,'Movimentação'!$B$7:$B$1006,'Movimentação'!$G$7:$G$1006,"",0,-1),""))</f>
        <v/>
      </c>
      <c r="L194" s="24" t="str">
        <f t="shared" si="3"/>
        <v/>
      </c>
      <c r="M194" s="17"/>
      <c r="N194" s="30" t="str">
        <f t="array" ref="N194">IF($A194="","",IFERROR(IF(OR($L194="BAIXADO",$L194="FURTADO"),0,INDEX(Listas!$J$2:$J$40,MATCH($B194,Listas!$I$2:$I$40,0))),""))</f>
        <v/>
      </c>
      <c r="P194" s="31" t="str">
        <f t="array" ref="P194">IF($A194="","",IFERROR(_xlfn.XLOOKUP($A194,'Movimentação'!$B$7:$B$1006,'Movimentação'!$F$7:$F$1006,"",0,-1),""))</f>
        <v/>
      </c>
      <c r="Q194" s="31">
        <f>IF(COUNTIFS('Manutenção'!$B$7:$B$1006,$A194,'Manutenção'!$H$7:$H$1006,"EM CONSERTO")&gt;0,1,0)</f>
        <v>0</v>
      </c>
    </row>
    <row r="195" ht="15.0" hidden="1" customHeight="1">
      <c r="A195" s="15"/>
      <c r="B195" s="17"/>
      <c r="C195" s="17"/>
      <c r="D195" s="17"/>
      <c r="E195" s="17"/>
      <c r="F195" s="17"/>
      <c r="G195" s="18"/>
      <c r="H195" s="15"/>
      <c r="I195" s="15"/>
      <c r="J195" s="24" t="str">
        <f t="array" ref="J195">IF($A195="","",IFERROR(_xlfn.XLOOKUP($A195,'Movimentação'!$B$7:$B$1006,'Movimentação'!$E$7:$E$1006,"",0,-1),""))</f>
        <v/>
      </c>
      <c r="K195" s="24" t="str">
        <f t="array" ref="K195">IF($A195="","",IFERROR(_xlfn.XLOOKUP($A195,'Movimentação'!$B$7:$B$1006,'Movimentação'!$G$7:$G$1006,"",0,-1),""))</f>
        <v/>
      </c>
      <c r="L195" s="24" t="str">
        <f t="shared" si="3"/>
        <v/>
      </c>
      <c r="M195" s="17"/>
      <c r="N195" s="30" t="str">
        <f t="array" ref="N195">IF($A195="","",IFERROR(IF(OR($L195="BAIXADO",$L195="FURTADO"),0,INDEX(Listas!$J$2:$J$40,MATCH($B195,Listas!$I$2:$I$40,0))),""))</f>
        <v/>
      </c>
      <c r="P195" s="31" t="str">
        <f t="array" ref="P195">IF($A195="","",IFERROR(_xlfn.XLOOKUP($A195,'Movimentação'!$B$7:$B$1006,'Movimentação'!$F$7:$F$1006,"",0,-1),""))</f>
        <v/>
      </c>
      <c r="Q195" s="31">
        <f>IF(COUNTIFS('Manutenção'!$B$7:$B$1006,$A195,'Manutenção'!$H$7:$H$1006,"EM CONSERTO")&gt;0,1,0)</f>
        <v>0</v>
      </c>
    </row>
    <row r="196" ht="15.0" hidden="1" customHeight="1">
      <c r="A196" s="15"/>
      <c r="B196" s="17"/>
      <c r="C196" s="17"/>
      <c r="D196" s="17"/>
      <c r="E196" s="17"/>
      <c r="F196" s="17"/>
      <c r="G196" s="18"/>
      <c r="H196" s="15"/>
      <c r="I196" s="15"/>
      <c r="J196" s="24" t="str">
        <f t="array" ref="J196">IF($A196="","",IFERROR(_xlfn.XLOOKUP($A196,'Movimentação'!$B$7:$B$1006,'Movimentação'!$E$7:$E$1006,"",0,-1),""))</f>
        <v/>
      </c>
      <c r="K196" s="24" t="str">
        <f t="array" ref="K196">IF($A196="","",IFERROR(_xlfn.XLOOKUP($A196,'Movimentação'!$B$7:$B$1006,'Movimentação'!$G$7:$G$1006,"",0,-1),""))</f>
        <v/>
      </c>
      <c r="L196" s="24" t="str">
        <f t="shared" si="3"/>
        <v/>
      </c>
      <c r="M196" s="17"/>
      <c r="N196" s="30" t="str">
        <f t="array" ref="N196">IF($A196="","",IFERROR(IF(OR($L196="BAIXADO",$L196="FURTADO"),0,INDEX(Listas!$J$2:$J$40,MATCH($B196,Listas!$I$2:$I$40,0))),""))</f>
        <v/>
      </c>
      <c r="P196" s="31" t="str">
        <f t="array" ref="P196">IF($A196="","",IFERROR(_xlfn.XLOOKUP($A196,'Movimentação'!$B$7:$B$1006,'Movimentação'!$F$7:$F$1006,"",0,-1),""))</f>
        <v/>
      </c>
      <c r="Q196" s="31">
        <f>IF(COUNTIFS('Manutenção'!$B$7:$B$1006,$A196,'Manutenção'!$H$7:$H$1006,"EM CONSERTO")&gt;0,1,0)</f>
        <v>0</v>
      </c>
    </row>
    <row r="197" ht="15.0" hidden="1" customHeight="1">
      <c r="A197" s="15"/>
      <c r="B197" s="17"/>
      <c r="C197" s="17"/>
      <c r="D197" s="17"/>
      <c r="E197" s="17"/>
      <c r="F197" s="17"/>
      <c r="G197" s="18"/>
      <c r="H197" s="15"/>
      <c r="I197" s="15"/>
      <c r="J197" s="24" t="str">
        <f t="array" ref="J197">IF($A197="","",IFERROR(_xlfn.XLOOKUP($A197,'Movimentação'!$B$7:$B$1006,'Movimentação'!$E$7:$E$1006,"",0,-1),""))</f>
        <v/>
      </c>
      <c r="K197" s="24" t="str">
        <f t="array" ref="K197">IF($A197="","",IFERROR(_xlfn.XLOOKUP($A197,'Movimentação'!$B$7:$B$1006,'Movimentação'!$G$7:$G$1006,"",0,-1),""))</f>
        <v/>
      </c>
      <c r="L197" s="24" t="str">
        <f t="shared" si="3"/>
        <v/>
      </c>
      <c r="M197" s="17"/>
      <c r="N197" s="30" t="str">
        <f t="array" ref="N197">IF($A197="","",IFERROR(IF(OR($L197="BAIXADO",$L197="FURTADO"),0,INDEX(Listas!$J$2:$J$40,MATCH($B197,Listas!$I$2:$I$40,0))),""))</f>
        <v/>
      </c>
      <c r="P197" s="31" t="str">
        <f t="array" ref="P197">IF($A197="","",IFERROR(_xlfn.XLOOKUP($A197,'Movimentação'!$B$7:$B$1006,'Movimentação'!$F$7:$F$1006,"",0,-1),""))</f>
        <v/>
      </c>
      <c r="Q197" s="31">
        <f>IF(COUNTIFS('Manutenção'!$B$7:$B$1006,$A197,'Manutenção'!$H$7:$H$1006,"EM CONSERTO")&gt;0,1,0)</f>
        <v>0</v>
      </c>
    </row>
    <row r="198" ht="15.0" hidden="1" customHeight="1">
      <c r="A198" s="15"/>
      <c r="B198" s="17"/>
      <c r="C198" s="17"/>
      <c r="D198" s="17"/>
      <c r="E198" s="17"/>
      <c r="F198" s="17"/>
      <c r="G198" s="18"/>
      <c r="H198" s="15"/>
      <c r="I198" s="15"/>
      <c r="J198" s="24" t="str">
        <f t="array" ref="J198">IF($A198="","",IFERROR(_xlfn.XLOOKUP($A198,'Movimentação'!$B$7:$B$1006,'Movimentação'!$E$7:$E$1006,"",0,-1),""))</f>
        <v/>
      </c>
      <c r="K198" s="24" t="str">
        <f t="array" ref="K198">IF($A198="","",IFERROR(_xlfn.XLOOKUP($A198,'Movimentação'!$B$7:$B$1006,'Movimentação'!$G$7:$G$1006,"",0,-1),""))</f>
        <v/>
      </c>
      <c r="L198" s="24" t="str">
        <f t="shared" si="3"/>
        <v/>
      </c>
      <c r="M198" s="17"/>
      <c r="N198" s="30" t="str">
        <f t="array" ref="N198">IF($A198="","",IFERROR(IF(OR($L198="BAIXADO",$L198="FURTADO"),0,INDEX(Listas!$J$2:$J$40,MATCH($B198,Listas!$I$2:$I$40,0))),""))</f>
        <v/>
      </c>
      <c r="P198" s="31" t="str">
        <f t="array" ref="P198">IF($A198="","",IFERROR(_xlfn.XLOOKUP($A198,'Movimentação'!$B$7:$B$1006,'Movimentação'!$F$7:$F$1006,"",0,-1),""))</f>
        <v/>
      </c>
      <c r="Q198" s="31">
        <f>IF(COUNTIFS('Manutenção'!$B$7:$B$1006,$A198,'Manutenção'!$H$7:$H$1006,"EM CONSERTO")&gt;0,1,0)</f>
        <v>0</v>
      </c>
    </row>
    <row r="199" ht="15.0" hidden="1" customHeight="1">
      <c r="A199" s="15"/>
      <c r="B199" s="17"/>
      <c r="C199" s="17"/>
      <c r="D199" s="17"/>
      <c r="E199" s="17"/>
      <c r="F199" s="17"/>
      <c r="G199" s="18"/>
      <c r="H199" s="15"/>
      <c r="I199" s="15"/>
      <c r="J199" s="24" t="str">
        <f t="array" ref="J199">IF($A199="","",IFERROR(_xlfn.XLOOKUP($A199,'Movimentação'!$B$7:$B$1006,'Movimentação'!$E$7:$E$1006,"",0,-1),""))</f>
        <v/>
      </c>
      <c r="K199" s="24" t="str">
        <f t="array" ref="K199">IF($A199="","",IFERROR(_xlfn.XLOOKUP($A199,'Movimentação'!$B$7:$B$1006,'Movimentação'!$G$7:$G$1006,"",0,-1),""))</f>
        <v/>
      </c>
      <c r="L199" s="24" t="str">
        <f t="shared" si="3"/>
        <v/>
      </c>
      <c r="M199" s="17"/>
      <c r="N199" s="30" t="str">
        <f t="array" ref="N199">IF($A199="","",IFERROR(IF(OR($L199="BAIXADO",$L199="FURTADO"),0,INDEX(Listas!$J$2:$J$40,MATCH($B199,Listas!$I$2:$I$40,0))),""))</f>
        <v/>
      </c>
      <c r="P199" s="31" t="str">
        <f t="array" ref="P199">IF($A199="","",IFERROR(_xlfn.XLOOKUP($A199,'Movimentação'!$B$7:$B$1006,'Movimentação'!$F$7:$F$1006,"",0,-1),""))</f>
        <v/>
      </c>
      <c r="Q199" s="31">
        <f>IF(COUNTIFS('Manutenção'!$B$7:$B$1006,$A199,'Manutenção'!$H$7:$H$1006,"EM CONSERTO")&gt;0,1,0)</f>
        <v>0</v>
      </c>
    </row>
    <row r="200" ht="15.0" hidden="1" customHeight="1">
      <c r="A200" s="15"/>
      <c r="B200" s="17"/>
      <c r="C200" s="17"/>
      <c r="D200" s="17"/>
      <c r="E200" s="17"/>
      <c r="F200" s="17"/>
      <c r="G200" s="18"/>
      <c r="H200" s="15"/>
      <c r="I200" s="15"/>
      <c r="J200" s="24" t="str">
        <f t="array" ref="J200">IF($A200="","",IFERROR(_xlfn.XLOOKUP($A200,'Movimentação'!$B$7:$B$1006,'Movimentação'!$E$7:$E$1006,"",0,-1),""))</f>
        <v/>
      </c>
      <c r="K200" s="24" t="str">
        <f t="array" ref="K200">IF($A200="","",IFERROR(_xlfn.XLOOKUP($A200,'Movimentação'!$B$7:$B$1006,'Movimentação'!$G$7:$G$1006,"",0,-1),""))</f>
        <v/>
      </c>
      <c r="L200" s="24" t="str">
        <f t="shared" si="3"/>
        <v/>
      </c>
      <c r="M200" s="17"/>
      <c r="N200" s="30" t="str">
        <f t="array" ref="N200">IF($A200="","",IFERROR(IF(OR($L200="BAIXADO",$L200="FURTADO"),0,INDEX(Listas!$J$2:$J$40,MATCH($B200,Listas!$I$2:$I$40,0))),""))</f>
        <v/>
      </c>
      <c r="P200" s="31" t="str">
        <f t="array" ref="P200">IF($A200="","",IFERROR(_xlfn.XLOOKUP($A200,'Movimentação'!$B$7:$B$1006,'Movimentação'!$F$7:$F$1006,"",0,-1),""))</f>
        <v/>
      </c>
      <c r="Q200" s="31">
        <f>IF(COUNTIFS('Manutenção'!$B$7:$B$1006,$A200,'Manutenção'!$H$7:$H$1006,"EM CONSERTO")&gt;0,1,0)</f>
        <v>0</v>
      </c>
    </row>
    <row r="201" ht="15.0" hidden="1" customHeight="1">
      <c r="A201" s="15"/>
      <c r="B201" s="17"/>
      <c r="C201" s="17"/>
      <c r="D201" s="17"/>
      <c r="E201" s="17"/>
      <c r="F201" s="17"/>
      <c r="G201" s="18"/>
      <c r="H201" s="15"/>
      <c r="I201" s="15"/>
      <c r="J201" s="24" t="str">
        <f t="array" ref="J201">IF($A201="","",IFERROR(_xlfn.XLOOKUP($A201,'Movimentação'!$B$7:$B$1006,'Movimentação'!$E$7:$E$1006,"",0,-1),""))</f>
        <v/>
      </c>
      <c r="K201" s="24" t="str">
        <f t="array" ref="K201">IF($A201="","",IFERROR(_xlfn.XLOOKUP($A201,'Movimentação'!$B$7:$B$1006,'Movimentação'!$G$7:$G$1006,"",0,-1),""))</f>
        <v/>
      </c>
      <c r="L201" s="24" t="str">
        <f t="shared" si="3"/>
        <v/>
      </c>
      <c r="M201" s="17"/>
      <c r="N201" s="30" t="str">
        <f t="array" ref="N201">IF($A201="","",IFERROR(IF(OR($L201="BAIXADO",$L201="FURTADO"),0,INDEX(Listas!$J$2:$J$40,MATCH($B201,Listas!$I$2:$I$40,0))),""))</f>
        <v/>
      </c>
      <c r="P201" s="31" t="str">
        <f t="array" ref="P201">IF($A201="","",IFERROR(_xlfn.XLOOKUP($A201,'Movimentação'!$B$7:$B$1006,'Movimentação'!$F$7:$F$1006,"",0,-1),""))</f>
        <v/>
      </c>
      <c r="Q201" s="31">
        <f>IF(COUNTIFS('Manutenção'!$B$7:$B$1006,$A201,'Manutenção'!$H$7:$H$1006,"EM CONSERTO")&gt;0,1,0)</f>
        <v>0</v>
      </c>
    </row>
    <row r="202" ht="15.0" hidden="1" customHeight="1">
      <c r="A202" s="15"/>
      <c r="B202" s="17"/>
      <c r="C202" s="17"/>
      <c r="D202" s="17"/>
      <c r="E202" s="17"/>
      <c r="F202" s="17"/>
      <c r="G202" s="18"/>
      <c r="H202" s="15"/>
      <c r="I202" s="15"/>
      <c r="J202" s="24" t="str">
        <f t="array" ref="J202">IF($A202="","",IFERROR(_xlfn.XLOOKUP($A202,'Movimentação'!$B$7:$B$1006,'Movimentação'!$E$7:$E$1006,"",0,-1),""))</f>
        <v/>
      </c>
      <c r="K202" s="24" t="str">
        <f t="array" ref="K202">IF($A202="","",IFERROR(_xlfn.XLOOKUP($A202,'Movimentação'!$B$7:$B$1006,'Movimentação'!$G$7:$G$1006,"",0,-1),""))</f>
        <v/>
      </c>
      <c r="L202" s="24" t="str">
        <f t="shared" si="3"/>
        <v/>
      </c>
      <c r="M202" s="17"/>
      <c r="N202" s="30" t="str">
        <f t="array" ref="N202">IF($A202="","",IFERROR(IF(OR($L202="BAIXADO",$L202="FURTADO"),0,INDEX(Listas!$J$2:$J$40,MATCH($B202,Listas!$I$2:$I$40,0))),""))</f>
        <v/>
      </c>
      <c r="P202" s="31" t="str">
        <f t="array" ref="P202">IF($A202="","",IFERROR(_xlfn.XLOOKUP($A202,'Movimentação'!$B$7:$B$1006,'Movimentação'!$F$7:$F$1006,"",0,-1),""))</f>
        <v/>
      </c>
      <c r="Q202" s="31">
        <f>IF(COUNTIFS('Manutenção'!$B$7:$B$1006,$A202,'Manutenção'!$H$7:$H$1006,"EM CONSERTO")&gt;0,1,0)</f>
        <v>0</v>
      </c>
    </row>
    <row r="203" ht="15.0" hidden="1" customHeight="1">
      <c r="A203" s="15"/>
      <c r="B203" s="17"/>
      <c r="C203" s="17"/>
      <c r="D203" s="17"/>
      <c r="E203" s="17"/>
      <c r="F203" s="17"/>
      <c r="G203" s="18"/>
      <c r="H203" s="15"/>
      <c r="I203" s="15"/>
      <c r="J203" s="24" t="str">
        <f t="array" ref="J203">IF($A203="","",IFERROR(_xlfn.XLOOKUP($A203,'Movimentação'!$B$7:$B$1006,'Movimentação'!$E$7:$E$1006,"",0,-1),""))</f>
        <v/>
      </c>
      <c r="K203" s="24" t="str">
        <f t="array" ref="K203">IF($A203="","",IFERROR(_xlfn.XLOOKUP($A203,'Movimentação'!$B$7:$B$1006,'Movimentação'!$G$7:$G$1006,"",0,-1),""))</f>
        <v/>
      </c>
      <c r="L203" s="24" t="str">
        <f t="shared" si="3"/>
        <v/>
      </c>
      <c r="M203" s="17"/>
      <c r="N203" s="30" t="str">
        <f t="array" ref="N203">IF($A203="","",IFERROR(IF(OR($L203="BAIXADO",$L203="FURTADO"),0,INDEX(Listas!$J$2:$J$40,MATCH($B203,Listas!$I$2:$I$40,0))),""))</f>
        <v/>
      </c>
      <c r="P203" s="31" t="str">
        <f t="array" ref="P203">IF($A203="","",IFERROR(_xlfn.XLOOKUP($A203,'Movimentação'!$B$7:$B$1006,'Movimentação'!$F$7:$F$1006,"",0,-1),""))</f>
        <v/>
      </c>
      <c r="Q203" s="31">
        <f>IF(COUNTIFS('Manutenção'!$B$7:$B$1006,$A203,'Manutenção'!$H$7:$H$1006,"EM CONSERTO")&gt;0,1,0)</f>
        <v>0</v>
      </c>
    </row>
    <row r="204" ht="15.0" hidden="1" customHeight="1">
      <c r="A204" s="15"/>
      <c r="B204" s="17"/>
      <c r="C204" s="17"/>
      <c r="D204" s="17"/>
      <c r="E204" s="17"/>
      <c r="F204" s="17"/>
      <c r="G204" s="18"/>
      <c r="H204" s="15"/>
      <c r="I204" s="15"/>
      <c r="J204" s="24" t="str">
        <f t="array" ref="J204">IF($A204="","",IFERROR(_xlfn.XLOOKUP($A204,'Movimentação'!$B$7:$B$1006,'Movimentação'!$E$7:$E$1006,"",0,-1),""))</f>
        <v/>
      </c>
      <c r="K204" s="24" t="str">
        <f t="array" ref="K204">IF($A204="","",IFERROR(_xlfn.XLOOKUP($A204,'Movimentação'!$B$7:$B$1006,'Movimentação'!$G$7:$G$1006,"",0,-1),""))</f>
        <v/>
      </c>
      <c r="L204" s="24" t="str">
        <f t="shared" si="3"/>
        <v/>
      </c>
      <c r="M204" s="17"/>
      <c r="N204" s="30" t="str">
        <f t="array" ref="N204">IF($A204="","",IFERROR(IF(OR($L204="BAIXADO",$L204="FURTADO"),0,INDEX(Listas!$J$2:$J$40,MATCH($B204,Listas!$I$2:$I$40,0))),""))</f>
        <v/>
      </c>
      <c r="P204" s="31" t="str">
        <f t="array" ref="P204">IF($A204="","",IFERROR(_xlfn.XLOOKUP($A204,'Movimentação'!$B$7:$B$1006,'Movimentação'!$F$7:$F$1006,"",0,-1),""))</f>
        <v/>
      </c>
      <c r="Q204" s="31">
        <f>IF(COUNTIFS('Manutenção'!$B$7:$B$1006,$A204,'Manutenção'!$H$7:$H$1006,"EM CONSERTO")&gt;0,1,0)</f>
        <v>0</v>
      </c>
    </row>
    <row r="205" ht="15.0" hidden="1" customHeight="1">
      <c r="A205" s="15"/>
      <c r="B205" s="17"/>
      <c r="C205" s="17"/>
      <c r="D205" s="17"/>
      <c r="E205" s="17"/>
      <c r="F205" s="17"/>
      <c r="G205" s="18"/>
      <c r="H205" s="15"/>
      <c r="I205" s="15"/>
      <c r="J205" s="24" t="str">
        <f t="array" ref="J205">IF($A205="","",IFERROR(_xlfn.XLOOKUP($A205,'Movimentação'!$B$7:$B$1006,'Movimentação'!$E$7:$E$1006,"",0,-1),""))</f>
        <v/>
      </c>
      <c r="K205" s="24" t="str">
        <f t="array" ref="K205">IF($A205="","",IFERROR(_xlfn.XLOOKUP($A205,'Movimentação'!$B$7:$B$1006,'Movimentação'!$G$7:$G$1006,"",0,-1),""))</f>
        <v/>
      </c>
      <c r="L205" s="24" t="str">
        <f t="shared" si="3"/>
        <v/>
      </c>
      <c r="M205" s="17"/>
      <c r="N205" s="30" t="str">
        <f t="array" ref="N205">IF($A205="","",IFERROR(IF(OR($L205="BAIXADO",$L205="FURTADO"),0,INDEX(Listas!$J$2:$J$40,MATCH($B205,Listas!$I$2:$I$40,0))),""))</f>
        <v/>
      </c>
      <c r="P205" s="31" t="str">
        <f t="array" ref="P205">IF($A205="","",IFERROR(_xlfn.XLOOKUP($A205,'Movimentação'!$B$7:$B$1006,'Movimentação'!$F$7:$F$1006,"",0,-1),""))</f>
        <v/>
      </c>
      <c r="Q205" s="31">
        <f>IF(COUNTIFS('Manutenção'!$B$7:$B$1006,$A205,'Manutenção'!$H$7:$H$1006,"EM CONSERTO")&gt;0,1,0)</f>
        <v>0</v>
      </c>
    </row>
    <row r="206" ht="15.0" hidden="1" customHeight="1">
      <c r="A206" s="15"/>
      <c r="B206" s="17"/>
      <c r="C206" s="17"/>
      <c r="D206" s="17"/>
      <c r="E206" s="17"/>
      <c r="F206" s="17"/>
      <c r="G206" s="18"/>
      <c r="H206" s="15"/>
      <c r="I206" s="15"/>
      <c r="J206" s="24" t="str">
        <f t="array" ref="J206">IF($A206="","",IFERROR(_xlfn.XLOOKUP($A206,'Movimentação'!$B$7:$B$1006,'Movimentação'!$E$7:$E$1006,"",0,-1),""))</f>
        <v/>
      </c>
      <c r="K206" s="24" t="str">
        <f t="array" ref="K206">IF($A206="","",IFERROR(_xlfn.XLOOKUP($A206,'Movimentação'!$B$7:$B$1006,'Movimentação'!$G$7:$G$1006,"",0,-1),""))</f>
        <v/>
      </c>
      <c r="L206" s="24" t="str">
        <f t="shared" si="3"/>
        <v/>
      </c>
      <c r="M206" s="17"/>
      <c r="N206" s="30" t="str">
        <f t="array" ref="N206">IF($A206="","",IFERROR(IF(OR($L206="BAIXADO",$L206="FURTADO"),0,INDEX(Listas!$J$2:$J$40,MATCH($B206,Listas!$I$2:$I$40,0))),""))</f>
        <v/>
      </c>
      <c r="P206" s="31" t="str">
        <f t="array" ref="P206">IF($A206="","",IFERROR(_xlfn.XLOOKUP($A206,'Movimentação'!$B$7:$B$1006,'Movimentação'!$F$7:$F$1006,"",0,-1),""))</f>
        <v/>
      </c>
      <c r="Q206" s="31">
        <f>IF(COUNTIFS('Manutenção'!$B$7:$B$1006,$A206,'Manutenção'!$H$7:$H$1006,"EM CONSERTO")&gt;0,1,0)</f>
        <v>0</v>
      </c>
    </row>
    <row r="207" ht="15.0" hidden="1" customHeight="1">
      <c r="A207" s="15"/>
      <c r="B207" s="17"/>
      <c r="C207" s="17"/>
      <c r="D207" s="17"/>
      <c r="E207" s="17"/>
      <c r="F207" s="17"/>
      <c r="G207" s="18"/>
      <c r="H207" s="15"/>
      <c r="I207" s="15"/>
      <c r="J207" s="24" t="str">
        <f t="array" ref="J207">IF($A207="","",IFERROR(_xlfn.XLOOKUP($A207,'Movimentação'!$B$7:$B$1006,'Movimentação'!$E$7:$E$1006,"",0,-1),""))</f>
        <v/>
      </c>
      <c r="K207" s="24" t="str">
        <f t="array" ref="K207">IF($A207="","",IFERROR(_xlfn.XLOOKUP($A207,'Movimentação'!$B$7:$B$1006,'Movimentação'!$G$7:$G$1006,"",0,-1),""))</f>
        <v/>
      </c>
      <c r="L207" s="24" t="str">
        <f t="shared" si="3"/>
        <v/>
      </c>
      <c r="M207" s="17"/>
      <c r="N207" s="30" t="str">
        <f t="array" ref="N207">IF($A207="","",IFERROR(IF(OR($L207="BAIXADO",$L207="FURTADO"),0,INDEX(Listas!$J$2:$J$40,MATCH($B207,Listas!$I$2:$I$40,0))),""))</f>
        <v/>
      </c>
      <c r="P207" s="31" t="str">
        <f t="array" ref="P207">IF($A207="","",IFERROR(_xlfn.XLOOKUP($A207,'Movimentação'!$B$7:$B$1006,'Movimentação'!$F$7:$F$1006,"",0,-1),""))</f>
        <v/>
      </c>
      <c r="Q207" s="31">
        <f>IF(COUNTIFS('Manutenção'!$B$7:$B$1006,$A207,'Manutenção'!$H$7:$H$1006,"EM CONSERTO")&gt;0,1,0)</f>
        <v>0</v>
      </c>
    </row>
    <row r="208" ht="15.0" hidden="1" customHeight="1">
      <c r="A208" s="15"/>
      <c r="B208" s="17"/>
      <c r="C208" s="17"/>
      <c r="D208" s="17"/>
      <c r="E208" s="17"/>
      <c r="F208" s="17"/>
      <c r="G208" s="18"/>
      <c r="H208" s="15"/>
      <c r="I208" s="15"/>
      <c r="J208" s="24" t="str">
        <f t="array" ref="J208">IF($A208="","",IFERROR(_xlfn.XLOOKUP($A208,'Movimentação'!$B$7:$B$1006,'Movimentação'!$E$7:$E$1006,"",0,-1),""))</f>
        <v/>
      </c>
      <c r="K208" s="24" t="str">
        <f t="array" ref="K208">IF($A208="","",IFERROR(_xlfn.XLOOKUP($A208,'Movimentação'!$B$7:$B$1006,'Movimentação'!$G$7:$G$1006,"",0,-1),""))</f>
        <v/>
      </c>
      <c r="L208" s="24" t="str">
        <f t="shared" si="3"/>
        <v/>
      </c>
      <c r="M208" s="17"/>
      <c r="N208" s="30" t="str">
        <f t="array" ref="N208">IF($A208="","",IFERROR(IF(OR($L208="BAIXADO",$L208="FURTADO"),0,INDEX(Listas!$J$2:$J$40,MATCH($B208,Listas!$I$2:$I$40,0))),""))</f>
        <v/>
      </c>
      <c r="P208" s="31" t="str">
        <f t="array" ref="P208">IF($A208="","",IFERROR(_xlfn.XLOOKUP($A208,'Movimentação'!$B$7:$B$1006,'Movimentação'!$F$7:$F$1006,"",0,-1),""))</f>
        <v/>
      </c>
      <c r="Q208" s="31">
        <f>IF(COUNTIFS('Manutenção'!$B$7:$B$1006,$A208,'Manutenção'!$H$7:$H$1006,"EM CONSERTO")&gt;0,1,0)</f>
        <v>0</v>
      </c>
    </row>
    <row r="209" ht="15.0" hidden="1" customHeight="1">
      <c r="A209" s="15"/>
      <c r="B209" s="17"/>
      <c r="C209" s="17"/>
      <c r="D209" s="17"/>
      <c r="E209" s="17"/>
      <c r="F209" s="17"/>
      <c r="G209" s="18"/>
      <c r="H209" s="15"/>
      <c r="I209" s="15"/>
      <c r="J209" s="24" t="str">
        <f t="array" ref="J209">IF($A209="","",IFERROR(_xlfn.XLOOKUP($A209,'Movimentação'!$B$7:$B$1006,'Movimentação'!$E$7:$E$1006,"",0,-1),""))</f>
        <v/>
      </c>
      <c r="K209" s="24" t="str">
        <f t="array" ref="K209">IF($A209="","",IFERROR(_xlfn.XLOOKUP($A209,'Movimentação'!$B$7:$B$1006,'Movimentação'!$G$7:$G$1006,"",0,-1),""))</f>
        <v/>
      </c>
      <c r="L209" s="24" t="str">
        <f t="shared" si="3"/>
        <v/>
      </c>
      <c r="M209" s="17"/>
      <c r="N209" s="30" t="str">
        <f t="array" ref="N209">IF($A209="","",IFERROR(IF(OR($L209="BAIXADO",$L209="FURTADO"),0,INDEX(Listas!$J$2:$J$40,MATCH($B209,Listas!$I$2:$I$40,0))),""))</f>
        <v/>
      </c>
      <c r="P209" s="31" t="str">
        <f t="array" ref="P209">IF($A209="","",IFERROR(_xlfn.XLOOKUP($A209,'Movimentação'!$B$7:$B$1006,'Movimentação'!$F$7:$F$1006,"",0,-1),""))</f>
        <v/>
      </c>
      <c r="Q209" s="31">
        <f>IF(COUNTIFS('Manutenção'!$B$7:$B$1006,$A209,'Manutenção'!$H$7:$H$1006,"EM CONSERTO")&gt;0,1,0)</f>
        <v>0</v>
      </c>
    </row>
    <row r="210" ht="15.0" hidden="1" customHeight="1">
      <c r="A210" s="15"/>
      <c r="B210" s="17"/>
      <c r="C210" s="17"/>
      <c r="D210" s="17"/>
      <c r="E210" s="17"/>
      <c r="F210" s="17"/>
      <c r="G210" s="18"/>
      <c r="H210" s="15"/>
      <c r="I210" s="15"/>
      <c r="J210" s="24" t="str">
        <f t="array" ref="J210">IF($A210="","",IFERROR(_xlfn.XLOOKUP($A210,'Movimentação'!$B$7:$B$1006,'Movimentação'!$E$7:$E$1006,"",0,-1),""))</f>
        <v/>
      </c>
      <c r="K210" s="24" t="str">
        <f t="array" ref="K210">IF($A210="","",IFERROR(_xlfn.XLOOKUP($A210,'Movimentação'!$B$7:$B$1006,'Movimentação'!$G$7:$G$1006,"",0,-1),""))</f>
        <v/>
      </c>
      <c r="L210" s="24" t="str">
        <f t="shared" si="3"/>
        <v/>
      </c>
      <c r="M210" s="17"/>
      <c r="N210" s="30" t="str">
        <f t="array" ref="N210">IF($A210="","",IFERROR(IF(OR($L210="BAIXADO",$L210="FURTADO"),0,INDEX(Listas!$J$2:$J$40,MATCH($B210,Listas!$I$2:$I$40,0))),""))</f>
        <v/>
      </c>
      <c r="P210" s="31" t="str">
        <f t="array" ref="P210">IF($A210="","",IFERROR(_xlfn.XLOOKUP($A210,'Movimentação'!$B$7:$B$1006,'Movimentação'!$F$7:$F$1006,"",0,-1),""))</f>
        <v/>
      </c>
      <c r="Q210" s="31">
        <f>IF(COUNTIFS('Manutenção'!$B$7:$B$1006,$A210,'Manutenção'!$H$7:$H$1006,"EM CONSERTO")&gt;0,1,0)</f>
        <v>0</v>
      </c>
    </row>
    <row r="211" ht="15.0" hidden="1" customHeight="1">
      <c r="A211" s="15"/>
      <c r="B211" s="17"/>
      <c r="C211" s="17"/>
      <c r="D211" s="17"/>
      <c r="E211" s="17"/>
      <c r="F211" s="17"/>
      <c r="G211" s="18"/>
      <c r="H211" s="15"/>
      <c r="I211" s="15"/>
      <c r="J211" s="24" t="str">
        <f t="array" ref="J211">IF($A211="","",IFERROR(_xlfn.XLOOKUP($A211,'Movimentação'!$B$7:$B$1006,'Movimentação'!$E$7:$E$1006,"",0,-1),""))</f>
        <v/>
      </c>
      <c r="K211" s="24" t="str">
        <f t="array" ref="K211">IF($A211="","",IFERROR(_xlfn.XLOOKUP($A211,'Movimentação'!$B$7:$B$1006,'Movimentação'!$G$7:$G$1006,"",0,-1),""))</f>
        <v/>
      </c>
      <c r="L211" s="24" t="str">
        <f t="shared" si="3"/>
        <v/>
      </c>
      <c r="M211" s="17"/>
      <c r="N211" s="30" t="str">
        <f t="array" ref="N211">IF($A211="","",IFERROR(IF(OR($L211="BAIXADO",$L211="FURTADO"),0,INDEX(Listas!$J$2:$J$40,MATCH($B211,Listas!$I$2:$I$40,0))),""))</f>
        <v/>
      </c>
      <c r="P211" s="31" t="str">
        <f t="array" ref="P211">IF($A211="","",IFERROR(_xlfn.XLOOKUP($A211,'Movimentação'!$B$7:$B$1006,'Movimentação'!$F$7:$F$1006,"",0,-1),""))</f>
        <v/>
      </c>
      <c r="Q211" s="31">
        <f>IF(COUNTIFS('Manutenção'!$B$7:$B$1006,$A211,'Manutenção'!$H$7:$H$1006,"EM CONSERTO")&gt;0,1,0)</f>
        <v>0</v>
      </c>
    </row>
    <row r="212" ht="15.0" hidden="1" customHeight="1">
      <c r="A212" s="15"/>
      <c r="B212" s="17"/>
      <c r="C212" s="17"/>
      <c r="D212" s="17"/>
      <c r="E212" s="17"/>
      <c r="F212" s="17"/>
      <c r="G212" s="18"/>
      <c r="H212" s="15"/>
      <c r="I212" s="15"/>
      <c r="J212" s="24" t="str">
        <f t="array" ref="J212">IF($A212="","",IFERROR(_xlfn.XLOOKUP($A212,'Movimentação'!$B$7:$B$1006,'Movimentação'!$E$7:$E$1006,"",0,-1),""))</f>
        <v/>
      </c>
      <c r="K212" s="24" t="str">
        <f t="array" ref="K212">IF($A212="","",IFERROR(_xlfn.XLOOKUP($A212,'Movimentação'!$B$7:$B$1006,'Movimentação'!$G$7:$G$1006,"",0,-1),""))</f>
        <v/>
      </c>
      <c r="L212" s="24" t="str">
        <f t="shared" si="3"/>
        <v/>
      </c>
      <c r="M212" s="17"/>
      <c r="N212" s="30" t="str">
        <f t="array" ref="N212">IF($A212="","",IFERROR(IF(OR($L212="BAIXADO",$L212="FURTADO"),0,INDEX(Listas!$J$2:$J$40,MATCH($B212,Listas!$I$2:$I$40,0))),""))</f>
        <v/>
      </c>
      <c r="P212" s="31" t="str">
        <f t="array" ref="P212">IF($A212="","",IFERROR(_xlfn.XLOOKUP($A212,'Movimentação'!$B$7:$B$1006,'Movimentação'!$F$7:$F$1006,"",0,-1),""))</f>
        <v/>
      </c>
      <c r="Q212" s="31">
        <f>IF(COUNTIFS('Manutenção'!$B$7:$B$1006,$A212,'Manutenção'!$H$7:$H$1006,"EM CONSERTO")&gt;0,1,0)</f>
        <v>0</v>
      </c>
    </row>
    <row r="213" ht="15.0" hidden="1" customHeight="1">
      <c r="A213" s="15"/>
      <c r="B213" s="17"/>
      <c r="C213" s="17"/>
      <c r="D213" s="17"/>
      <c r="E213" s="17"/>
      <c r="F213" s="17"/>
      <c r="G213" s="18"/>
      <c r="H213" s="15"/>
      <c r="I213" s="15"/>
      <c r="J213" s="24" t="str">
        <f t="array" ref="J213">IF($A213="","",IFERROR(_xlfn.XLOOKUP($A213,'Movimentação'!$B$7:$B$1006,'Movimentação'!$E$7:$E$1006,"",0,-1),""))</f>
        <v/>
      </c>
      <c r="K213" s="24" t="str">
        <f t="array" ref="K213">IF($A213="","",IFERROR(_xlfn.XLOOKUP($A213,'Movimentação'!$B$7:$B$1006,'Movimentação'!$G$7:$G$1006,"",0,-1),""))</f>
        <v/>
      </c>
      <c r="L213" s="24" t="str">
        <f t="shared" si="3"/>
        <v/>
      </c>
      <c r="M213" s="17"/>
      <c r="N213" s="30" t="str">
        <f t="array" ref="N213">IF($A213="","",IFERROR(IF(OR($L213="BAIXADO",$L213="FURTADO"),0,INDEX(Listas!$J$2:$J$40,MATCH($B213,Listas!$I$2:$I$40,0))),""))</f>
        <v/>
      </c>
      <c r="P213" s="31" t="str">
        <f t="array" ref="P213">IF($A213="","",IFERROR(_xlfn.XLOOKUP($A213,'Movimentação'!$B$7:$B$1006,'Movimentação'!$F$7:$F$1006,"",0,-1),""))</f>
        <v/>
      </c>
      <c r="Q213" s="31">
        <f>IF(COUNTIFS('Manutenção'!$B$7:$B$1006,$A213,'Manutenção'!$H$7:$H$1006,"EM CONSERTO")&gt;0,1,0)</f>
        <v>0</v>
      </c>
    </row>
    <row r="214" ht="15.0" hidden="1" customHeight="1">
      <c r="A214" s="15"/>
      <c r="B214" s="17"/>
      <c r="C214" s="17"/>
      <c r="D214" s="17"/>
      <c r="E214" s="17"/>
      <c r="F214" s="17"/>
      <c r="G214" s="18"/>
      <c r="H214" s="15"/>
      <c r="I214" s="15"/>
      <c r="J214" s="24" t="str">
        <f t="array" ref="J214">IF($A214="","",IFERROR(_xlfn.XLOOKUP($A214,'Movimentação'!$B$7:$B$1006,'Movimentação'!$E$7:$E$1006,"",0,-1),""))</f>
        <v/>
      </c>
      <c r="K214" s="24" t="str">
        <f t="array" ref="K214">IF($A214="","",IFERROR(_xlfn.XLOOKUP($A214,'Movimentação'!$B$7:$B$1006,'Movimentação'!$G$7:$G$1006,"",0,-1),""))</f>
        <v/>
      </c>
      <c r="L214" s="24" t="str">
        <f t="shared" si="3"/>
        <v/>
      </c>
      <c r="M214" s="17"/>
      <c r="N214" s="30" t="str">
        <f t="array" ref="N214">IF($A214="","",IFERROR(IF(OR($L214="BAIXADO",$L214="FURTADO"),0,INDEX(Listas!$J$2:$J$40,MATCH($B214,Listas!$I$2:$I$40,0))),""))</f>
        <v/>
      </c>
      <c r="P214" s="31" t="str">
        <f t="array" ref="P214">IF($A214="","",IFERROR(_xlfn.XLOOKUP($A214,'Movimentação'!$B$7:$B$1006,'Movimentação'!$F$7:$F$1006,"",0,-1),""))</f>
        <v/>
      </c>
      <c r="Q214" s="31">
        <f>IF(COUNTIFS('Manutenção'!$B$7:$B$1006,$A214,'Manutenção'!$H$7:$H$1006,"EM CONSERTO")&gt;0,1,0)</f>
        <v>0</v>
      </c>
    </row>
    <row r="215" ht="15.0" hidden="1" customHeight="1">
      <c r="A215" s="15"/>
      <c r="B215" s="17"/>
      <c r="C215" s="17"/>
      <c r="D215" s="17"/>
      <c r="E215" s="17"/>
      <c r="F215" s="17"/>
      <c r="G215" s="18"/>
      <c r="H215" s="15"/>
      <c r="I215" s="15"/>
      <c r="J215" s="24" t="str">
        <f t="array" ref="J215">IF($A215="","",IFERROR(_xlfn.XLOOKUP($A215,'Movimentação'!$B$7:$B$1006,'Movimentação'!$E$7:$E$1006,"",0,-1),""))</f>
        <v/>
      </c>
      <c r="K215" s="24" t="str">
        <f t="array" ref="K215">IF($A215="","",IFERROR(_xlfn.XLOOKUP($A215,'Movimentação'!$B$7:$B$1006,'Movimentação'!$G$7:$G$1006,"",0,-1),""))</f>
        <v/>
      </c>
      <c r="L215" s="24" t="str">
        <f t="shared" si="3"/>
        <v/>
      </c>
      <c r="M215" s="17"/>
      <c r="N215" s="30" t="str">
        <f t="array" ref="N215">IF($A215="","",IFERROR(IF(OR($L215="BAIXADO",$L215="FURTADO"),0,INDEX(Listas!$J$2:$J$40,MATCH($B215,Listas!$I$2:$I$40,0))),""))</f>
        <v/>
      </c>
      <c r="P215" s="31" t="str">
        <f t="array" ref="P215">IF($A215="","",IFERROR(_xlfn.XLOOKUP($A215,'Movimentação'!$B$7:$B$1006,'Movimentação'!$F$7:$F$1006,"",0,-1),""))</f>
        <v/>
      </c>
      <c r="Q215" s="31">
        <f>IF(COUNTIFS('Manutenção'!$B$7:$B$1006,$A215,'Manutenção'!$H$7:$H$1006,"EM CONSERTO")&gt;0,1,0)</f>
        <v>0</v>
      </c>
    </row>
    <row r="216" ht="15.0" hidden="1" customHeight="1">
      <c r="A216" s="15"/>
      <c r="B216" s="17"/>
      <c r="C216" s="17"/>
      <c r="D216" s="17"/>
      <c r="E216" s="17"/>
      <c r="F216" s="17"/>
      <c r="G216" s="18"/>
      <c r="H216" s="15"/>
      <c r="I216" s="15"/>
      <c r="J216" s="24" t="str">
        <f t="array" ref="J216">IF($A216="","",IFERROR(_xlfn.XLOOKUP($A216,'Movimentação'!$B$7:$B$1006,'Movimentação'!$E$7:$E$1006,"",0,-1),""))</f>
        <v/>
      </c>
      <c r="K216" s="24" t="str">
        <f t="array" ref="K216">IF($A216="","",IFERROR(_xlfn.XLOOKUP($A216,'Movimentação'!$B$7:$B$1006,'Movimentação'!$G$7:$G$1006,"",0,-1),""))</f>
        <v/>
      </c>
      <c r="L216" s="24" t="str">
        <f t="shared" si="3"/>
        <v/>
      </c>
      <c r="M216" s="17"/>
      <c r="N216" s="30" t="str">
        <f t="array" ref="N216">IF($A216="","",IFERROR(IF(OR($L216="BAIXADO",$L216="FURTADO"),0,INDEX(Listas!$J$2:$J$40,MATCH($B216,Listas!$I$2:$I$40,0))),""))</f>
        <v/>
      </c>
      <c r="P216" s="31" t="str">
        <f t="array" ref="P216">IF($A216="","",IFERROR(_xlfn.XLOOKUP($A216,'Movimentação'!$B$7:$B$1006,'Movimentação'!$F$7:$F$1006,"",0,-1),""))</f>
        <v/>
      </c>
      <c r="Q216" s="31">
        <f>IF(COUNTIFS('Manutenção'!$B$7:$B$1006,$A216,'Manutenção'!$H$7:$H$1006,"EM CONSERTO")&gt;0,1,0)</f>
        <v>0</v>
      </c>
    </row>
    <row r="217" ht="15.0" hidden="1" customHeight="1">
      <c r="A217" s="15"/>
      <c r="B217" s="17"/>
      <c r="C217" s="17"/>
      <c r="D217" s="17"/>
      <c r="E217" s="17"/>
      <c r="F217" s="17"/>
      <c r="G217" s="18"/>
      <c r="H217" s="15"/>
      <c r="I217" s="15"/>
      <c r="J217" s="24" t="str">
        <f t="array" ref="J217">IF($A217="","",IFERROR(_xlfn.XLOOKUP($A217,'Movimentação'!$B$7:$B$1006,'Movimentação'!$E$7:$E$1006,"",0,-1),""))</f>
        <v/>
      </c>
      <c r="K217" s="24" t="str">
        <f t="array" ref="K217">IF($A217="","",IFERROR(_xlfn.XLOOKUP($A217,'Movimentação'!$B$7:$B$1006,'Movimentação'!$G$7:$G$1006,"",0,-1),""))</f>
        <v/>
      </c>
      <c r="L217" s="24" t="str">
        <f t="shared" si="3"/>
        <v/>
      </c>
      <c r="M217" s="17"/>
      <c r="N217" s="30" t="str">
        <f t="array" ref="N217">IF($A217="","",IFERROR(IF(OR($L217="BAIXADO",$L217="FURTADO"),0,INDEX(Listas!$J$2:$J$40,MATCH($B217,Listas!$I$2:$I$40,0))),""))</f>
        <v/>
      </c>
      <c r="P217" s="31" t="str">
        <f t="array" ref="P217">IF($A217="","",IFERROR(_xlfn.XLOOKUP($A217,'Movimentação'!$B$7:$B$1006,'Movimentação'!$F$7:$F$1006,"",0,-1),""))</f>
        <v/>
      </c>
      <c r="Q217" s="31">
        <f>IF(COUNTIFS('Manutenção'!$B$7:$B$1006,$A217,'Manutenção'!$H$7:$H$1006,"EM CONSERTO")&gt;0,1,0)</f>
        <v>0</v>
      </c>
    </row>
    <row r="218" ht="15.0" hidden="1" customHeight="1">
      <c r="A218" s="15"/>
      <c r="B218" s="17"/>
      <c r="C218" s="17"/>
      <c r="D218" s="17"/>
      <c r="E218" s="17"/>
      <c r="F218" s="17"/>
      <c r="G218" s="18"/>
      <c r="H218" s="15"/>
      <c r="I218" s="15"/>
      <c r="J218" s="24" t="str">
        <f t="array" ref="J218">IF($A218="","",IFERROR(_xlfn.XLOOKUP($A218,'Movimentação'!$B$7:$B$1006,'Movimentação'!$E$7:$E$1006,"",0,-1),""))</f>
        <v/>
      </c>
      <c r="K218" s="24" t="str">
        <f t="array" ref="K218">IF($A218="","",IFERROR(_xlfn.XLOOKUP($A218,'Movimentação'!$B$7:$B$1006,'Movimentação'!$G$7:$G$1006,"",0,-1),""))</f>
        <v/>
      </c>
      <c r="L218" s="24" t="str">
        <f t="shared" si="3"/>
        <v/>
      </c>
      <c r="M218" s="17"/>
      <c r="N218" s="30" t="str">
        <f t="array" ref="N218">IF($A218="","",IFERROR(IF(OR($L218="BAIXADO",$L218="FURTADO"),0,INDEX(Listas!$J$2:$J$40,MATCH($B218,Listas!$I$2:$I$40,0))),""))</f>
        <v/>
      </c>
      <c r="P218" s="31" t="str">
        <f t="array" ref="P218">IF($A218="","",IFERROR(_xlfn.XLOOKUP($A218,'Movimentação'!$B$7:$B$1006,'Movimentação'!$F$7:$F$1006,"",0,-1),""))</f>
        <v/>
      </c>
      <c r="Q218" s="31">
        <f>IF(COUNTIFS('Manutenção'!$B$7:$B$1006,$A218,'Manutenção'!$H$7:$H$1006,"EM CONSERTO")&gt;0,1,0)</f>
        <v>0</v>
      </c>
    </row>
    <row r="219" ht="15.0" hidden="1" customHeight="1">
      <c r="A219" s="15"/>
      <c r="B219" s="17"/>
      <c r="C219" s="17"/>
      <c r="D219" s="17"/>
      <c r="E219" s="17"/>
      <c r="F219" s="17"/>
      <c r="G219" s="18"/>
      <c r="H219" s="15"/>
      <c r="I219" s="15"/>
      <c r="J219" s="24" t="str">
        <f t="array" ref="J219">IF($A219="","",IFERROR(_xlfn.XLOOKUP($A219,'Movimentação'!$B$7:$B$1006,'Movimentação'!$E$7:$E$1006,"",0,-1),""))</f>
        <v/>
      </c>
      <c r="K219" s="24" t="str">
        <f t="array" ref="K219">IF($A219="","",IFERROR(_xlfn.XLOOKUP($A219,'Movimentação'!$B$7:$B$1006,'Movimentação'!$G$7:$G$1006,"",0,-1),""))</f>
        <v/>
      </c>
      <c r="L219" s="24" t="str">
        <f t="shared" si="3"/>
        <v/>
      </c>
      <c r="M219" s="17"/>
      <c r="N219" s="30" t="str">
        <f t="array" ref="N219">IF($A219="","",IFERROR(IF(OR($L219="BAIXADO",$L219="FURTADO"),0,INDEX(Listas!$J$2:$J$40,MATCH($B219,Listas!$I$2:$I$40,0))),""))</f>
        <v/>
      </c>
      <c r="P219" s="31" t="str">
        <f t="array" ref="P219">IF($A219="","",IFERROR(_xlfn.XLOOKUP($A219,'Movimentação'!$B$7:$B$1006,'Movimentação'!$F$7:$F$1006,"",0,-1),""))</f>
        <v/>
      </c>
      <c r="Q219" s="31">
        <f>IF(COUNTIFS('Manutenção'!$B$7:$B$1006,$A219,'Manutenção'!$H$7:$H$1006,"EM CONSERTO")&gt;0,1,0)</f>
        <v>0</v>
      </c>
    </row>
    <row r="220" ht="15.0" hidden="1" customHeight="1">
      <c r="A220" s="15"/>
      <c r="B220" s="17"/>
      <c r="C220" s="17"/>
      <c r="D220" s="17"/>
      <c r="E220" s="17"/>
      <c r="F220" s="17"/>
      <c r="G220" s="18"/>
      <c r="H220" s="15"/>
      <c r="I220" s="15"/>
      <c r="J220" s="24" t="str">
        <f t="array" ref="J220">IF($A220="","",IFERROR(_xlfn.XLOOKUP($A220,'Movimentação'!$B$7:$B$1006,'Movimentação'!$E$7:$E$1006,"",0,-1),""))</f>
        <v/>
      </c>
      <c r="K220" s="24" t="str">
        <f t="array" ref="K220">IF($A220="","",IFERROR(_xlfn.XLOOKUP($A220,'Movimentação'!$B$7:$B$1006,'Movimentação'!$G$7:$G$1006,"",0,-1),""))</f>
        <v/>
      </c>
      <c r="L220" s="24" t="str">
        <f t="shared" si="3"/>
        <v/>
      </c>
      <c r="M220" s="17"/>
      <c r="N220" s="30" t="str">
        <f t="array" ref="N220">IF($A220="","",IFERROR(IF(OR($L220="BAIXADO",$L220="FURTADO"),0,INDEX(Listas!$J$2:$J$40,MATCH($B220,Listas!$I$2:$I$40,0))),""))</f>
        <v/>
      </c>
      <c r="P220" s="31" t="str">
        <f t="array" ref="P220">IF($A220="","",IFERROR(_xlfn.XLOOKUP($A220,'Movimentação'!$B$7:$B$1006,'Movimentação'!$F$7:$F$1006,"",0,-1),""))</f>
        <v/>
      </c>
      <c r="Q220" s="31">
        <f>IF(COUNTIFS('Manutenção'!$B$7:$B$1006,$A220,'Manutenção'!$H$7:$H$1006,"EM CONSERTO")&gt;0,1,0)</f>
        <v>0</v>
      </c>
    </row>
    <row r="221" ht="15.0" hidden="1" customHeight="1">
      <c r="A221" s="15"/>
      <c r="B221" s="17"/>
      <c r="C221" s="17"/>
      <c r="D221" s="17"/>
      <c r="E221" s="17"/>
      <c r="F221" s="17"/>
      <c r="G221" s="18"/>
      <c r="H221" s="15"/>
      <c r="I221" s="15"/>
      <c r="J221" s="24" t="str">
        <f t="array" ref="J221">IF($A221="","",IFERROR(_xlfn.XLOOKUP($A221,'Movimentação'!$B$7:$B$1006,'Movimentação'!$E$7:$E$1006,"",0,-1),""))</f>
        <v/>
      </c>
      <c r="K221" s="24" t="str">
        <f t="array" ref="K221">IF($A221="","",IFERROR(_xlfn.XLOOKUP($A221,'Movimentação'!$B$7:$B$1006,'Movimentação'!$G$7:$G$1006,"",0,-1),""))</f>
        <v/>
      </c>
      <c r="L221" s="24" t="str">
        <f t="shared" si="3"/>
        <v/>
      </c>
      <c r="M221" s="17"/>
      <c r="N221" s="30" t="str">
        <f t="array" ref="N221">IF($A221="","",IFERROR(IF(OR($L221="BAIXADO",$L221="FURTADO"),0,INDEX(Listas!$J$2:$J$40,MATCH($B221,Listas!$I$2:$I$40,0))),""))</f>
        <v/>
      </c>
      <c r="P221" s="31" t="str">
        <f t="array" ref="P221">IF($A221="","",IFERROR(_xlfn.XLOOKUP($A221,'Movimentação'!$B$7:$B$1006,'Movimentação'!$F$7:$F$1006,"",0,-1),""))</f>
        <v/>
      </c>
      <c r="Q221" s="31">
        <f>IF(COUNTIFS('Manutenção'!$B$7:$B$1006,$A221,'Manutenção'!$H$7:$H$1006,"EM CONSERTO")&gt;0,1,0)</f>
        <v>0</v>
      </c>
    </row>
    <row r="222" ht="15.0" hidden="1" customHeight="1">
      <c r="A222" s="15"/>
      <c r="B222" s="17"/>
      <c r="C222" s="17"/>
      <c r="D222" s="17"/>
      <c r="E222" s="17"/>
      <c r="F222" s="17"/>
      <c r="G222" s="18"/>
      <c r="H222" s="15"/>
      <c r="I222" s="15"/>
      <c r="J222" s="24" t="str">
        <f t="array" ref="J222">IF($A222="","",IFERROR(_xlfn.XLOOKUP($A222,'Movimentação'!$B$7:$B$1006,'Movimentação'!$E$7:$E$1006,"",0,-1),""))</f>
        <v/>
      </c>
      <c r="K222" s="24" t="str">
        <f t="array" ref="K222">IF($A222="","",IFERROR(_xlfn.XLOOKUP($A222,'Movimentação'!$B$7:$B$1006,'Movimentação'!$G$7:$G$1006,"",0,-1),""))</f>
        <v/>
      </c>
      <c r="L222" s="24" t="str">
        <f t="shared" si="3"/>
        <v/>
      </c>
      <c r="M222" s="17"/>
      <c r="N222" s="30" t="str">
        <f t="array" ref="N222">IF($A222="","",IFERROR(IF(OR($L222="BAIXADO",$L222="FURTADO"),0,INDEX(Listas!$J$2:$J$40,MATCH($B222,Listas!$I$2:$I$40,0))),""))</f>
        <v/>
      </c>
      <c r="P222" s="31" t="str">
        <f t="array" ref="P222">IF($A222="","",IFERROR(_xlfn.XLOOKUP($A222,'Movimentação'!$B$7:$B$1006,'Movimentação'!$F$7:$F$1006,"",0,-1),""))</f>
        <v/>
      </c>
      <c r="Q222" s="31">
        <f>IF(COUNTIFS('Manutenção'!$B$7:$B$1006,$A222,'Manutenção'!$H$7:$H$1006,"EM CONSERTO")&gt;0,1,0)</f>
        <v>0</v>
      </c>
    </row>
    <row r="223" ht="15.0" hidden="1" customHeight="1">
      <c r="A223" s="15"/>
      <c r="B223" s="17"/>
      <c r="C223" s="17"/>
      <c r="D223" s="17"/>
      <c r="E223" s="17"/>
      <c r="F223" s="17"/>
      <c r="G223" s="18"/>
      <c r="H223" s="15"/>
      <c r="I223" s="15"/>
      <c r="J223" s="24" t="str">
        <f t="array" ref="J223">IF($A223="","",IFERROR(_xlfn.XLOOKUP($A223,'Movimentação'!$B$7:$B$1006,'Movimentação'!$E$7:$E$1006,"",0,-1),""))</f>
        <v/>
      </c>
      <c r="K223" s="24" t="str">
        <f t="array" ref="K223">IF($A223="","",IFERROR(_xlfn.XLOOKUP($A223,'Movimentação'!$B$7:$B$1006,'Movimentação'!$G$7:$G$1006,"",0,-1),""))</f>
        <v/>
      </c>
      <c r="L223" s="24" t="str">
        <f t="shared" si="3"/>
        <v/>
      </c>
      <c r="M223" s="17"/>
      <c r="N223" s="30" t="str">
        <f t="array" ref="N223">IF($A223="","",IFERROR(IF(OR($L223="BAIXADO",$L223="FURTADO"),0,INDEX(Listas!$J$2:$J$40,MATCH($B223,Listas!$I$2:$I$40,0))),""))</f>
        <v/>
      </c>
      <c r="P223" s="31" t="str">
        <f t="array" ref="P223">IF($A223="","",IFERROR(_xlfn.XLOOKUP($A223,'Movimentação'!$B$7:$B$1006,'Movimentação'!$F$7:$F$1006,"",0,-1),""))</f>
        <v/>
      </c>
      <c r="Q223" s="31">
        <f>IF(COUNTIFS('Manutenção'!$B$7:$B$1006,$A223,'Manutenção'!$H$7:$H$1006,"EM CONSERTO")&gt;0,1,0)</f>
        <v>0</v>
      </c>
    </row>
    <row r="224" ht="15.0" hidden="1" customHeight="1">
      <c r="A224" s="15"/>
      <c r="B224" s="17"/>
      <c r="C224" s="17"/>
      <c r="D224" s="17"/>
      <c r="E224" s="17"/>
      <c r="F224" s="17"/>
      <c r="G224" s="18"/>
      <c r="H224" s="15"/>
      <c r="I224" s="15"/>
      <c r="J224" s="24" t="str">
        <f t="array" ref="J224">IF($A224="","",IFERROR(_xlfn.XLOOKUP($A224,'Movimentação'!$B$7:$B$1006,'Movimentação'!$E$7:$E$1006,"",0,-1),""))</f>
        <v/>
      </c>
      <c r="K224" s="24" t="str">
        <f t="array" ref="K224">IF($A224="","",IFERROR(_xlfn.XLOOKUP($A224,'Movimentação'!$B$7:$B$1006,'Movimentação'!$G$7:$G$1006,"",0,-1),""))</f>
        <v/>
      </c>
      <c r="L224" s="24" t="str">
        <f t="shared" si="3"/>
        <v/>
      </c>
      <c r="M224" s="17"/>
      <c r="N224" s="30" t="str">
        <f t="array" ref="N224">IF($A224="","",IFERROR(IF(OR($L224="BAIXADO",$L224="FURTADO"),0,INDEX(Listas!$J$2:$J$40,MATCH($B224,Listas!$I$2:$I$40,0))),""))</f>
        <v/>
      </c>
      <c r="P224" s="31" t="str">
        <f t="array" ref="P224">IF($A224="","",IFERROR(_xlfn.XLOOKUP($A224,'Movimentação'!$B$7:$B$1006,'Movimentação'!$F$7:$F$1006,"",0,-1),""))</f>
        <v/>
      </c>
      <c r="Q224" s="31">
        <f>IF(COUNTIFS('Manutenção'!$B$7:$B$1006,$A224,'Manutenção'!$H$7:$H$1006,"EM CONSERTO")&gt;0,1,0)</f>
        <v>0</v>
      </c>
    </row>
    <row r="225" ht="15.0" hidden="1" customHeight="1">
      <c r="A225" s="15"/>
      <c r="B225" s="17"/>
      <c r="C225" s="17"/>
      <c r="D225" s="17"/>
      <c r="E225" s="17"/>
      <c r="F225" s="17"/>
      <c r="G225" s="18"/>
      <c r="H225" s="15"/>
      <c r="I225" s="15"/>
      <c r="J225" s="24" t="str">
        <f t="array" ref="J225">IF($A225="","",IFERROR(_xlfn.XLOOKUP($A225,'Movimentação'!$B$7:$B$1006,'Movimentação'!$E$7:$E$1006,"",0,-1),""))</f>
        <v/>
      </c>
      <c r="K225" s="24" t="str">
        <f t="array" ref="K225">IF($A225="","",IFERROR(_xlfn.XLOOKUP($A225,'Movimentação'!$B$7:$B$1006,'Movimentação'!$G$7:$G$1006,"",0,-1),""))</f>
        <v/>
      </c>
      <c r="L225" s="24" t="str">
        <f t="shared" si="3"/>
        <v/>
      </c>
      <c r="M225" s="17"/>
      <c r="N225" s="30" t="str">
        <f t="array" ref="N225">IF($A225="","",IFERROR(IF(OR($L225="BAIXADO",$L225="FURTADO"),0,INDEX(Listas!$J$2:$J$40,MATCH($B225,Listas!$I$2:$I$40,0))),""))</f>
        <v/>
      </c>
      <c r="P225" s="31" t="str">
        <f t="array" ref="P225">IF($A225="","",IFERROR(_xlfn.XLOOKUP($A225,'Movimentação'!$B$7:$B$1006,'Movimentação'!$F$7:$F$1006,"",0,-1),""))</f>
        <v/>
      </c>
      <c r="Q225" s="31">
        <f>IF(COUNTIFS('Manutenção'!$B$7:$B$1006,$A225,'Manutenção'!$H$7:$H$1006,"EM CONSERTO")&gt;0,1,0)</f>
        <v>0</v>
      </c>
    </row>
    <row r="226" ht="15.0" hidden="1" customHeight="1">
      <c r="A226" s="15"/>
      <c r="B226" s="17"/>
      <c r="C226" s="17"/>
      <c r="D226" s="17"/>
      <c r="E226" s="17"/>
      <c r="F226" s="17"/>
      <c r="G226" s="18"/>
      <c r="H226" s="15"/>
      <c r="I226" s="15"/>
      <c r="J226" s="24" t="str">
        <f t="array" ref="J226">IF($A226="","",IFERROR(_xlfn.XLOOKUP($A226,'Movimentação'!$B$7:$B$1006,'Movimentação'!$E$7:$E$1006,"",0,-1),""))</f>
        <v/>
      </c>
      <c r="K226" s="24" t="str">
        <f t="array" ref="K226">IF($A226="","",IFERROR(_xlfn.XLOOKUP($A226,'Movimentação'!$B$7:$B$1006,'Movimentação'!$G$7:$G$1006,"",0,-1),""))</f>
        <v/>
      </c>
      <c r="L226" s="24" t="str">
        <f t="shared" si="3"/>
        <v/>
      </c>
      <c r="M226" s="17"/>
      <c r="N226" s="30" t="str">
        <f t="array" ref="N226">IF($A226="","",IFERROR(IF(OR($L226="BAIXADO",$L226="FURTADO"),0,INDEX(Listas!$J$2:$J$40,MATCH($B226,Listas!$I$2:$I$40,0))),""))</f>
        <v/>
      </c>
      <c r="P226" s="31" t="str">
        <f t="array" ref="P226">IF($A226="","",IFERROR(_xlfn.XLOOKUP($A226,'Movimentação'!$B$7:$B$1006,'Movimentação'!$F$7:$F$1006,"",0,-1),""))</f>
        <v/>
      </c>
      <c r="Q226" s="31">
        <f>IF(COUNTIFS('Manutenção'!$B$7:$B$1006,$A226,'Manutenção'!$H$7:$H$1006,"EM CONSERTO")&gt;0,1,0)</f>
        <v>0</v>
      </c>
    </row>
    <row r="227" ht="15.0" hidden="1" customHeight="1">
      <c r="A227" s="15"/>
      <c r="B227" s="17"/>
      <c r="C227" s="17"/>
      <c r="D227" s="17"/>
      <c r="E227" s="17"/>
      <c r="F227" s="17"/>
      <c r="G227" s="18"/>
      <c r="H227" s="15"/>
      <c r="I227" s="15"/>
      <c r="J227" s="24" t="str">
        <f t="array" ref="J227">IF($A227="","",IFERROR(_xlfn.XLOOKUP($A227,'Movimentação'!$B$7:$B$1006,'Movimentação'!$E$7:$E$1006,"",0,-1),""))</f>
        <v/>
      </c>
      <c r="K227" s="24" t="str">
        <f t="array" ref="K227">IF($A227="","",IFERROR(_xlfn.XLOOKUP($A227,'Movimentação'!$B$7:$B$1006,'Movimentação'!$G$7:$G$1006,"",0,-1),""))</f>
        <v/>
      </c>
      <c r="L227" s="24" t="str">
        <f t="shared" si="3"/>
        <v/>
      </c>
      <c r="M227" s="17"/>
      <c r="N227" s="30" t="str">
        <f t="array" ref="N227">IF($A227="","",IFERROR(IF(OR($L227="BAIXADO",$L227="FURTADO"),0,INDEX(Listas!$J$2:$J$40,MATCH($B227,Listas!$I$2:$I$40,0))),""))</f>
        <v/>
      </c>
      <c r="P227" s="31" t="str">
        <f t="array" ref="P227">IF($A227="","",IFERROR(_xlfn.XLOOKUP($A227,'Movimentação'!$B$7:$B$1006,'Movimentação'!$F$7:$F$1006,"",0,-1),""))</f>
        <v/>
      </c>
      <c r="Q227" s="31">
        <f>IF(COUNTIFS('Manutenção'!$B$7:$B$1006,$A227,'Manutenção'!$H$7:$H$1006,"EM CONSERTO")&gt;0,1,0)</f>
        <v>0</v>
      </c>
    </row>
    <row r="228" ht="15.0" hidden="1" customHeight="1">
      <c r="A228" s="15"/>
      <c r="B228" s="17"/>
      <c r="C228" s="17"/>
      <c r="D228" s="17"/>
      <c r="E228" s="17"/>
      <c r="F228" s="17"/>
      <c r="G228" s="18"/>
      <c r="H228" s="15"/>
      <c r="I228" s="15"/>
      <c r="J228" s="24" t="str">
        <f t="array" ref="J228">IF($A228="","",IFERROR(_xlfn.XLOOKUP($A228,'Movimentação'!$B$7:$B$1006,'Movimentação'!$E$7:$E$1006,"",0,-1),""))</f>
        <v/>
      </c>
      <c r="K228" s="24" t="str">
        <f t="array" ref="K228">IF($A228="","",IFERROR(_xlfn.XLOOKUP($A228,'Movimentação'!$B$7:$B$1006,'Movimentação'!$G$7:$G$1006,"",0,-1),""))</f>
        <v/>
      </c>
      <c r="L228" s="24" t="str">
        <f t="shared" si="3"/>
        <v/>
      </c>
      <c r="M228" s="17"/>
      <c r="N228" s="30" t="str">
        <f t="array" ref="N228">IF($A228="","",IFERROR(IF(OR($L228="BAIXADO",$L228="FURTADO"),0,INDEX(Listas!$J$2:$J$40,MATCH($B228,Listas!$I$2:$I$40,0))),""))</f>
        <v/>
      </c>
      <c r="P228" s="31" t="str">
        <f t="array" ref="P228">IF($A228="","",IFERROR(_xlfn.XLOOKUP($A228,'Movimentação'!$B$7:$B$1006,'Movimentação'!$F$7:$F$1006,"",0,-1),""))</f>
        <v/>
      </c>
      <c r="Q228" s="31">
        <f>IF(COUNTIFS('Manutenção'!$B$7:$B$1006,$A228,'Manutenção'!$H$7:$H$1006,"EM CONSERTO")&gt;0,1,0)</f>
        <v>0</v>
      </c>
    </row>
    <row r="229" ht="15.0" hidden="1" customHeight="1">
      <c r="A229" s="15"/>
      <c r="B229" s="17"/>
      <c r="C229" s="17"/>
      <c r="D229" s="17"/>
      <c r="E229" s="17"/>
      <c r="F229" s="17"/>
      <c r="G229" s="18"/>
      <c r="H229" s="15"/>
      <c r="I229" s="15"/>
      <c r="J229" s="24" t="str">
        <f t="array" ref="J229">IF($A229="","",IFERROR(_xlfn.XLOOKUP($A229,'Movimentação'!$B$7:$B$1006,'Movimentação'!$E$7:$E$1006,"",0,-1),""))</f>
        <v/>
      </c>
      <c r="K229" s="24" t="str">
        <f t="array" ref="K229">IF($A229="","",IFERROR(_xlfn.XLOOKUP($A229,'Movimentação'!$B$7:$B$1006,'Movimentação'!$G$7:$G$1006,"",0,-1),""))</f>
        <v/>
      </c>
      <c r="L229" s="24" t="str">
        <f t="shared" si="3"/>
        <v/>
      </c>
      <c r="M229" s="17"/>
      <c r="N229" s="30" t="str">
        <f t="array" ref="N229">IF($A229="","",IFERROR(IF(OR($L229="BAIXADO",$L229="FURTADO"),0,INDEX(Listas!$J$2:$J$40,MATCH($B229,Listas!$I$2:$I$40,0))),""))</f>
        <v/>
      </c>
      <c r="P229" s="31" t="str">
        <f t="array" ref="P229">IF($A229="","",IFERROR(_xlfn.XLOOKUP($A229,'Movimentação'!$B$7:$B$1006,'Movimentação'!$F$7:$F$1006,"",0,-1),""))</f>
        <v/>
      </c>
      <c r="Q229" s="31">
        <f>IF(COUNTIFS('Manutenção'!$B$7:$B$1006,$A229,'Manutenção'!$H$7:$H$1006,"EM CONSERTO")&gt;0,1,0)</f>
        <v>0</v>
      </c>
    </row>
    <row r="230" ht="15.0" hidden="1" customHeight="1">
      <c r="A230" s="15"/>
      <c r="B230" s="17"/>
      <c r="C230" s="17"/>
      <c r="D230" s="17"/>
      <c r="E230" s="17"/>
      <c r="F230" s="17"/>
      <c r="G230" s="18"/>
      <c r="H230" s="15"/>
      <c r="I230" s="15"/>
      <c r="J230" s="24" t="str">
        <f t="array" ref="J230">IF($A230="","",IFERROR(_xlfn.XLOOKUP($A230,'Movimentação'!$B$7:$B$1006,'Movimentação'!$E$7:$E$1006,"",0,-1),""))</f>
        <v/>
      </c>
      <c r="K230" s="24" t="str">
        <f t="array" ref="K230">IF($A230="","",IFERROR(_xlfn.XLOOKUP($A230,'Movimentação'!$B$7:$B$1006,'Movimentação'!$G$7:$G$1006,"",0,-1),""))</f>
        <v/>
      </c>
      <c r="L230" s="24" t="str">
        <f t="shared" si="3"/>
        <v/>
      </c>
      <c r="M230" s="17"/>
      <c r="N230" s="30" t="str">
        <f t="array" ref="N230">IF($A230="","",IFERROR(IF(OR($L230="BAIXADO",$L230="FURTADO"),0,INDEX(Listas!$J$2:$J$40,MATCH($B230,Listas!$I$2:$I$40,0))),""))</f>
        <v/>
      </c>
      <c r="P230" s="31" t="str">
        <f t="array" ref="P230">IF($A230="","",IFERROR(_xlfn.XLOOKUP($A230,'Movimentação'!$B$7:$B$1006,'Movimentação'!$F$7:$F$1006,"",0,-1),""))</f>
        <v/>
      </c>
      <c r="Q230" s="31">
        <f>IF(COUNTIFS('Manutenção'!$B$7:$B$1006,$A230,'Manutenção'!$H$7:$H$1006,"EM CONSERTO")&gt;0,1,0)</f>
        <v>0</v>
      </c>
    </row>
    <row r="231" ht="15.0" hidden="1" customHeight="1">
      <c r="A231" s="15"/>
      <c r="B231" s="17"/>
      <c r="C231" s="17"/>
      <c r="D231" s="17"/>
      <c r="E231" s="17"/>
      <c r="F231" s="17"/>
      <c r="G231" s="18"/>
      <c r="H231" s="15"/>
      <c r="I231" s="15"/>
      <c r="J231" s="24" t="str">
        <f t="array" ref="J231">IF($A231="","",IFERROR(_xlfn.XLOOKUP($A231,'Movimentação'!$B$7:$B$1006,'Movimentação'!$E$7:$E$1006,"",0,-1),""))</f>
        <v/>
      </c>
      <c r="K231" s="24" t="str">
        <f t="array" ref="K231">IF($A231="","",IFERROR(_xlfn.XLOOKUP($A231,'Movimentação'!$B$7:$B$1006,'Movimentação'!$G$7:$G$1006,"",0,-1),""))</f>
        <v/>
      </c>
      <c r="L231" s="24" t="str">
        <f t="shared" si="3"/>
        <v/>
      </c>
      <c r="M231" s="17"/>
      <c r="N231" s="30" t="str">
        <f t="array" ref="N231">IF($A231="","",IFERROR(IF(OR($L231="BAIXADO",$L231="FURTADO"),0,INDEX(Listas!$J$2:$J$40,MATCH($B231,Listas!$I$2:$I$40,0))),""))</f>
        <v/>
      </c>
      <c r="P231" s="31" t="str">
        <f t="array" ref="P231">IF($A231="","",IFERROR(_xlfn.XLOOKUP($A231,'Movimentação'!$B$7:$B$1006,'Movimentação'!$F$7:$F$1006,"",0,-1),""))</f>
        <v/>
      </c>
      <c r="Q231" s="31">
        <f>IF(COUNTIFS('Manutenção'!$B$7:$B$1006,$A231,'Manutenção'!$H$7:$H$1006,"EM CONSERTO")&gt;0,1,0)</f>
        <v>0</v>
      </c>
    </row>
    <row r="232" ht="15.0" hidden="1" customHeight="1">
      <c r="A232" s="15"/>
      <c r="B232" s="17"/>
      <c r="C232" s="17"/>
      <c r="D232" s="17"/>
      <c r="E232" s="17"/>
      <c r="F232" s="17"/>
      <c r="G232" s="18"/>
      <c r="H232" s="15"/>
      <c r="I232" s="15"/>
      <c r="J232" s="24" t="str">
        <f t="array" ref="J232">IF($A232="","",IFERROR(_xlfn.XLOOKUP($A232,'Movimentação'!$B$7:$B$1006,'Movimentação'!$E$7:$E$1006,"",0,-1),""))</f>
        <v/>
      </c>
      <c r="K232" s="24" t="str">
        <f t="array" ref="K232">IF($A232="","",IFERROR(_xlfn.XLOOKUP($A232,'Movimentação'!$B$7:$B$1006,'Movimentação'!$G$7:$G$1006,"",0,-1),""))</f>
        <v/>
      </c>
      <c r="L232" s="24" t="str">
        <f t="shared" si="3"/>
        <v/>
      </c>
      <c r="M232" s="17"/>
      <c r="N232" s="30" t="str">
        <f t="array" ref="N232">IF($A232="","",IFERROR(IF(OR($L232="BAIXADO",$L232="FURTADO"),0,INDEX(Listas!$J$2:$J$40,MATCH($B232,Listas!$I$2:$I$40,0))),""))</f>
        <v/>
      </c>
      <c r="P232" s="31" t="str">
        <f t="array" ref="P232">IF($A232="","",IFERROR(_xlfn.XLOOKUP($A232,'Movimentação'!$B$7:$B$1006,'Movimentação'!$F$7:$F$1006,"",0,-1),""))</f>
        <v/>
      </c>
      <c r="Q232" s="31">
        <f>IF(COUNTIFS('Manutenção'!$B$7:$B$1006,$A232,'Manutenção'!$H$7:$H$1006,"EM CONSERTO")&gt;0,1,0)</f>
        <v>0</v>
      </c>
    </row>
    <row r="233" ht="15.0" hidden="1" customHeight="1">
      <c r="A233" s="15"/>
      <c r="B233" s="17"/>
      <c r="C233" s="17"/>
      <c r="D233" s="17"/>
      <c r="E233" s="17"/>
      <c r="F233" s="17"/>
      <c r="G233" s="18"/>
      <c r="H233" s="15"/>
      <c r="I233" s="15"/>
      <c r="J233" s="24" t="str">
        <f t="array" ref="J233">IF($A233="","",IFERROR(_xlfn.XLOOKUP($A233,'Movimentação'!$B$7:$B$1006,'Movimentação'!$E$7:$E$1006,"",0,-1),""))</f>
        <v/>
      </c>
      <c r="K233" s="24" t="str">
        <f t="array" ref="K233">IF($A233="","",IFERROR(_xlfn.XLOOKUP($A233,'Movimentação'!$B$7:$B$1006,'Movimentação'!$G$7:$G$1006,"",0,-1),""))</f>
        <v/>
      </c>
      <c r="L233" s="24" t="str">
        <f t="shared" si="3"/>
        <v/>
      </c>
      <c r="M233" s="17"/>
      <c r="N233" s="30" t="str">
        <f t="array" ref="N233">IF($A233="","",IFERROR(IF(OR($L233="BAIXADO",$L233="FURTADO"),0,INDEX(Listas!$J$2:$J$40,MATCH($B233,Listas!$I$2:$I$40,0))),""))</f>
        <v/>
      </c>
      <c r="P233" s="31" t="str">
        <f t="array" ref="P233">IF($A233="","",IFERROR(_xlfn.XLOOKUP($A233,'Movimentação'!$B$7:$B$1006,'Movimentação'!$F$7:$F$1006,"",0,-1),""))</f>
        <v/>
      </c>
      <c r="Q233" s="31">
        <f>IF(COUNTIFS('Manutenção'!$B$7:$B$1006,$A233,'Manutenção'!$H$7:$H$1006,"EM CONSERTO")&gt;0,1,0)</f>
        <v>0</v>
      </c>
    </row>
    <row r="234" ht="15.0" hidden="1" customHeight="1">
      <c r="A234" s="15"/>
      <c r="B234" s="17"/>
      <c r="C234" s="17"/>
      <c r="D234" s="17"/>
      <c r="E234" s="17"/>
      <c r="F234" s="17"/>
      <c r="G234" s="18"/>
      <c r="H234" s="15"/>
      <c r="I234" s="15"/>
      <c r="J234" s="24" t="str">
        <f t="array" ref="J234">IF($A234="","",IFERROR(_xlfn.XLOOKUP($A234,'Movimentação'!$B$7:$B$1006,'Movimentação'!$E$7:$E$1006,"",0,-1),""))</f>
        <v/>
      </c>
      <c r="K234" s="24" t="str">
        <f t="array" ref="K234">IF($A234="","",IFERROR(_xlfn.XLOOKUP($A234,'Movimentação'!$B$7:$B$1006,'Movimentação'!$G$7:$G$1006,"",0,-1),""))</f>
        <v/>
      </c>
      <c r="L234" s="24" t="str">
        <f t="shared" si="3"/>
        <v/>
      </c>
      <c r="M234" s="17"/>
      <c r="N234" s="30" t="str">
        <f t="array" ref="N234">IF($A234="","",IFERROR(IF(OR($L234="BAIXADO",$L234="FURTADO"),0,INDEX(Listas!$J$2:$J$40,MATCH($B234,Listas!$I$2:$I$40,0))),""))</f>
        <v/>
      </c>
      <c r="P234" s="31" t="str">
        <f t="array" ref="P234">IF($A234="","",IFERROR(_xlfn.XLOOKUP($A234,'Movimentação'!$B$7:$B$1006,'Movimentação'!$F$7:$F$1006,"",0,-1),""))</f>
        <v/>
      </c>
      <c r="Q234" s="31">
        <f>IF(COUNTIFS('Manutenção'!$B$7:$B$1006,$A234,'Manutenção'!$H$7:$H$1006,"EM CONSERTO")&gt;0,1,0)</f>
        <v>0</v>
      </c>
    </row>
    <row r="235" ht="15.0" hidden="1" customHeight="1">
      <c r="A235" s="15"/>
      <c r="B235" s="17"/>
      <c r="C235" s="17"/>
      <c r="D235" s="17"/>
      <c r="E235" s="17"/>
      <c r="F235" s="17"/>
      <c r="G235" s="18"/>
      <c r="H235" s="15"/>
      <c r="I235" s="15"/>
      <c r="J235" s="24" t="str">
        <f t="array" ref="J235">IF($A235="","",IFERROR(_xlfn.XLOOKUP($A235,'Movimentação'!$B$7:$B$1006,'Movimentação'!$E$7:$E$1006,"",0,-1),""))</f>
        <v/>
      </c>
      <c r="K235" s="24" t="str">
        <f t="array" ref="K235">IF($A235="","",IFERROR(_xlfn.XLOOKUP($A235,'Movimentação'!$B$7:$B$1006,'Movimentação'!$G$7:$G$1006,"",0,-1),""))</f>
        <v/>
      </c>
      <c r="L235" s="24" t="str">
        <f t="shared" si="3"/>
        <v/>
      </c>
      <c r="M235" s="17"/>
      <c r="N235" s="30" t="str">
        <f t="array" ref="N235">IF($A235="","",IFERROR(IF(OR($L235="BAIXADO",$L235="FURTADO"),0,INDEX(Listas!$J$2:$J$40,MATCH($B235,Listas!$I$2:$I$40,0))),""))</f>
        <v/>
      </c>
      <c r="P235" s="31" t="str">
        <f t="array" ref="P235">IF($A235="","",IFERROR(_xlfn.XLOOKUP($A235,'Movimentação'!$B$7:$B$1006,'Movimentação'!$F$7:$F$1006,"",0,-1),""))</f>
        <v/>
      </c>
      <c r="Q235" s="31">
        <f>IF(COUNTIFS('Manutenção'!$B$7:$B$1006,$A235,'Manutenção'!$H$7:$H$1006,"EM CONSERTO")&gt;0,1,0)</f>
        <v>0</v>
      </c>
    </row>
    <row r="236" ht="15.0" hidden="1" customHeight="1">
      <c r="A236" s="15"/>
      <c r="B236" s="17"/>
      <c r="C236" s="17"/>
      <c r="D236" s="17"/>
      <c r="E236" s="17"/>
      <c r="F236" s="17"/>
      <c r="G236" s="18"/>
      <c r="H236" s="15"/>
      <c r="I236" s="15"/>
      <c r="J236" s="24" t="str">
        <f t="array" ref="J236">IF($A236="","",IFERROR(_xlfn.XLOOKUP($A236,'Movimentação'!$B$7:$B$1006,'Movimentação'!$E$7:$E$1006,"",0,-1),""))</f>
        <v/>
      </c>
      <c r="K236" s="24" t="str">
        <f t="array" ref="K236">IF($A236="","",IFERROR(_xlfn.XLOOKUP($A236,'Movimentação'!$B$7:$B$1006,'Movimentação'!$G$7:$G$1006,"",0,-1),""))</f>
        <v/>
      </c>
      <c r="L236" s="24" t="str">
        <f t="shared" si="3"/>
        <v/>
      </c>
      <c r="M236" s="17"/>
      <c r="N236" s="30" t="str">
        <f t="array" ref="N236">IF($A236="","",IFERROR(IF(OR($L236="BAIXADO",$L236="FURTADO"),0,INDEX(Listas!$J$2:$J$40,MATCH($B236,Listas!$I$2:$I$40,0))),""))</f>
        <v/>
      </c>
      <c r="P236" s="31" t="str">
        <f t="array" ref="P236">IF($A236="","",IFERROR(_xlfn.XLOOKUP($A236,'Movimentação'!$B$7:$B$1006,'Movimentação'!$F$7:$F$1006,"",0,-1),""))</f>
        <v/>
      </c>
      <c r="Q236" s="31">
        <f>IF(COUNTIFS('Manutenção'!$B$7:$B$1006,$A236,'Manutenção'!$H$7:$H$1006,"EM CONSERTO")&gt;0,1,0)</f>
        <v>0</v>
      </c>
    </row>
    <row r="237" ht="15.0" hidden="1" customHeight="1">
      <c r="A237" s="15"/>
      <c r="B237" s="17"/>
      <c r="C237" s="17"/>
      <c r="D237" s="17"/>
      <c r="E237" s="17"/>
      <c r="F237" s="17"/>
      <c r="G237" s="18"/>
      <c r="H237" s="15"/>
      <c r="I237" s="15"/>
      <c r="J237" s="24" t="str">
        <f t="array" ref="J237">IF($A237="","",IFERROR(_xlfn.XLOOKUP($A237,'Movimentação'!$B$7:$B$1006,'Movimentação'!$E$7:$E$1006,"",0,-1),""))</f>
        <v/>
      </c>
      <c r="K237" s="24" t="str">
        <f t="array" ref="K237">IF($A237="","",IFERROR(_xlfn.XLOOKUP($A237,'Movimentação'!$B$7:$B$1006,'Movimentação'!$G$7:$G$1006,"",0,-1),""))</f>
        <v/>
      </c>
      <c r="L237" s="24" t="str">
        <f t="shared" si="3"/>
        <v/>
      </c>
      <c r="M237" s="17"/>
      <c r="N237" s="30" t="str">
        <f t="array" ref="N237">IF($A237="","",IFERROR(IF(OR($L237="BAIXADO",$L237="FURTADO"),0,INDEX(Listas!$J$2:$J$40,MATCH($B237,Listas!$I$2:$I$40,0))),""))</f>
        <v/>
      </c>
      <c r="P237" s="31" t="str">
        <f t="array" ref="P237">IF($A237="","",IFERROR(_xlfn.XLOOKUP($A237,'Movimentação'!$B$7:$B$1006,'Movimentação'!$F$7:$F$1006,"",0,-1),""))</f>
        <v/>
      </c>
      <c r="Q237" s="31">
        <f>IF(COUNTIFS('Manutenção'!$B$7:$B$1006,$A237,'Manutenção'!$H$7:$H$1006,"EM CONSERTO")&gt;0,1,0)</f>
        <v>0</v>
      </c>
    </row>
    <row r="238" ht="15.0" hidden="1" customHeight="1">
      <c r="A238" s="15"/>
      <c r="B238" s="17"/>
      <c r="C238" s="17"/>
      <c r="D238" s="17"/>
      <c r="E238" s="17"/>
      <c r="F238" s="17"/>
      <c r="G238" s="18"/>
      <c r="H238" s="15"/>
      <c r="I238" s="15"/>
      <c r="J238" s="24" t="str">
        <f t="array" ref="J238">IF($A238="","",IFERROR(_xlfn.XLOOKUP($A238,'Movimentação'!$B$7:$B$1006,'Movimentação'!$E$7:$E$1006,"",0,-1),""))</f>
        <v/>
      </c>
      <c r="K238" s="24" t="str">
        <f t="array" ref="K238">IF($A238="","",IFERROR(_xlfn.XLOOKUP($A238,'Movimentação'!$B$7:$B$1006,'Movimentação'!$G$7:$G$1006,"",0,-1),""))</f>
        <v/>
      </c>
      <c r="L238" s="24" t="str">
        <f t="shared" si="3"/>
        <v/>
      </c>
      <c r="M238" s="17"/>
      <c r="N238" s="30" t="str">
        <f t="array" ref="N238">IF($A238="","",IFERROR(IF(OR($L238="BAIXADO",$L238="FURTADO"),0,INDEX(Listas!$J$2:$J$40,MATCH($B238,Listas!$I$2:$I$40,0))),""))</f>
        <v/>
      </c>
      <c r="P238" s="31" t="str">
        <f t="array" ref="P238">IF($A238="","",IFERROR(_xlfn.XLOOKUP($A238,'Movimentação'!$B$7:$B$1006,'Movimentação'!$F$7:$F$1006,"",0,-1),""))</f>
        <v/>
      </c>
      <c r="Q238" s="31">
        <f>IF(COUNTIFS('Manutenção'!$B$7:$B$1006,$A238,'Manutenção'!$H$7:$H$1006,"EM CONSERTO")&gt;0,1,0)</f>
        <v>0</v>
      </c>
    </row>
    <row r="239" ht="15.0" hidden="1" customHeight="1">
      <c r="A239" s="15"/>
      <c r="B239" s="17"/>
      <c r="C239" s="17"/>
      <c r="D239" s="17"/>
      <c r="E239" s="17"/>
      <c r="F239" s="17"/>
      <c r="G239" s="18"/>
      <c r="H239" s="15"/>
      <c r="I239" s="15"/>
      <c r="J239" s="24" t="str">
        <f t="array" ref="J239">IF($A239="","",IFERROR(_xlfn.XLOOKUP($A239,'Movimentação'!$B$7:$B$1006,'Movimentação'!$E$7:$E$1006,"",0,-1),""))</f>
        <v/>
      </c>
      <c r="K239" s="24" t="str">
        <f t="array" ref="K239">IF($A239="","",IFERROR(_xlfn.XLOOKUP($A239,'Movimentação'!$B$7:$B$1006,'Movimentação'!$G$7:$G$1006,"",0,-1),""))</f>
        <v/>
      </c>
      <c r="L239" s="24" t="str">
        <f t="shared" si="3"/>
        <v/>
      </c>
      <c r="M239" s="17"/>
      <c r="N239" s="30" t="str">
        <f t="array" ref="N239">IF($A239="","",IFERROR(IF(OR($L239="BAIXADO",$L239="FURTADO"),0,INDEX(Listas!$J$2:$J$40,MATCH($B239,Listas!$I$2:$I$40,0))),""))</f>
        <v/>
      </c>
      <c r="P239" s="31" t="str">
        <f t="array" ref="P239">IF($A239="","",IFERROR(_xlfn.XLOOKUP($A239,'Movimentação'!$B$7:$B$1006,'Movimentação'!$F$7:$F$1006,"",0,-1),""))</f>
        <v/>
      </c>
      <c r="Q239" s="31">
        <f>IF(COUNTIFS('Manutenção'!$B$7:$B$1006,$A239,'Manutenção'!$H$7:$H$1006,"EM CONSERTO")&gt;0,1,0)</f>
        <v>0</v>
      </c>
    </row>
    <row r="240" ht="15.0" hidden="1" customHeight="1">
      <c r="A240" s="15"/>
      <c r="B240" s="17"/>
      <c r="C240" s="17"/>
      <c r="D240" s="17"/>
      <c r="E240" s="17"/>
      <c r="F240" s="17"/>
      <c r="G240" s="18"/>
      <c r="H240" s="15"/>
      <c r="I240" s="15"/>
      <c r="J240" s="24" t="str">
        <f t="array" ref="J240">IF($A240="","",IFERROR(_xlfn.XLOOKUP($A240,'Movimentação'!$B$7:$B$1006,'Movimentação'!$E$7:$E$1006,"",0,-1),""))</f>
        <v/>
      </c>
      <c r="K240" s="24" t="str">
        <f t="array" ref="K240">IF($A240="","",IFERROR(_xlfn.XLOOKUP($A240,'Movimentação'!$B$7:$B$1006,'Movimentação'!$G$7:$G$1006,"",0,-1),""))</f>
        <v/>
      </c>
      <c r="L240" s="24" t="str">
        <f t="shared" si="3"/>
        <v/>
      </c>
      <c r="M240" s="17"/>
      <c r="N240" s="30" t="str">
        <f t="array" ref="N240">IF($A240="","",IFERROR(IF(OR($L240="BAIXADO",$L240="FURTADO"),0,INDEX(Listas!$J$2:$J$40,MATCH($B240,Listas!$I$2:$I$40,0))),""))</f>
        <v/>
      </c>
      <c r="P240" s="31" t="str">
        <f t="array" ref="P240">IF($A240="","",IFERROR(_xlfn.XLOOKUP($A240,'Movimentação'!$B$7:$B$1006,'Movimentação'!$F$7:$F$1006,"",0,-1),""))</f>
        <v/>
      </c>
      <c r="Q240" s="31">
        <f>IF(COUNTIFS('Manutenção'!$B$7:$B$1006,$A240,'Manutenção'!$H$7:$H$1006,"EM CONSERTO")&gt;0,1,0)</f>
        <v>0</v>
      </c>
    </row>
    <row r="241" ht="15.0" hidden="1" customHeight="1">
      <c r="A241" s="15"/>
      <c r="B241" s="17"/>
      <c r="C241" s="17"/>
      <c r="D241" s="17"/>
      <c r="E241" s="17"/>
      <c r="F241" s="17"/>
      <c r="G241" s="18"/>
      <c r="H241" s="15"/>
      <c r="I241" s="15"/>
      <c r="J241" s="24" t="str">
        <f t="array" ref="J241">IF($A241="","",IFERROR(_xlfn.XLOOKUP($A241,'Movimentação'!$B$7:$B$1006,'Movimentação'!$E$7:$E$1006,"",0,-1),""))</f>
        <v/>
      </c>
      <c r="K241" s="24" t="str">
        <f t="array" ref="K241">IF($A241="","",IFERROR(_xlfn.XLOOKUP($A241,'Movimentação'!$B$7:$B$1006,'Movimentação'!$G$7:$G$1006,"",0,-1),""))</f>
        <v/>
      </c>
      <c r="L241" s="24" t="str">
        <f t="shared" si="3"/>
        <v/>
      </c>
      <c r="M241" s="17"/>
      <c r="N241" s="30" t="str">
        <f t="array" ref="N241">IF($A241="","",IFERROR(IF(OR($L241="BAIXADO",$L241="FURTADO"),0,INDEX(Listas!$J$2:$J$40,MATCH($B241,Listas!$I$2:$I$40,0))),""))</f>
        <v/>
      </c>
      <c r="P241" s="31" t="str">
        <f t="array" ref="P241">IF($A241="","",IFERROR(_xlfn.XLOOKUP($A241,'Movimentação'!$B$7:$B$1006,'Movimentação'!$F$7:$F$1006,"",0,-1),""))</f>
        <v/>
      </c>
      <c r="Q241" s="31">
        <f>IF(COUNTIFS('Manutenção'!$B$7:$B$1006,$A241,'Manutenção'!$H$7:$H$1006,"EM CONSERTO")&gt;0,1,0)</f>
        <v>0</v>
      </c>
    </row>
    <row r="242" ht="15.0" hidden="1" customHeight="1">
      <c r="A242" s="15"/>
      <c r="B242" s="17"/>
      <c r="C242" s="17"/>
      <c r="D242" s="17"/>
      <c r="E242" s="17"/>
      <c r="F242" s="17"/>
      <c r="G242" s="18"/>
      <c r="H242" s="15"/>
      <c r="I242" s="15"/>
      <c r="J242" s="24" t="str">
        <f t="array" ref="J242">IF($A242="","",IFERROR(_xlfn.XLOOKUP($A242,'Movimentação'!$B$7:$B$1006,'Movimentação'!$E$7:$E$1006,"",0,-1),""))</f>
        <v/>
      </c>
      <c r="K242" s="24" t="str">
        <f t="array" ref="K242">IF($A242="","",IFERROR(_xlfn.XLOOKUP($A242,'Movimentação'!$B$7:$B$1006,'Movimentação'!$G$7:$G$1006,"",0,-1),""))</f>
        <v/>
      </c>
      <c r="L242" s="24" t="str">
        <f t="shared" si="3"/>
        <v/>
      </c>
      <c r="M242" s="17"/>
      <c r="N242" s="30" t="str">
        <f t="array" ref="N242">IF($A242="","",IFERROR(IF(OR($L242="BAIXADO",$L242="FURTADO"),0,INDEX(Listas!$J$2:$J$40,MATCH($B242,Listas!$I$2:$I$40,0))),""))</f>
        <v/>
      </c>
      <c r="P242" s="31" t="str">
        <f t="array" ref="P242">IF($A242="","",IFERROR(_xlfn.XLOOKUP($A242,'Movimentação'!$B$7:$B$1006,'Movimentação'!$F$7:$F$1006,"",0,-1),""))</f>
        <v/>
      </c>
      <c r="Q242" s="31">
        <f>IF(COUNTIFS('Manutenção'!$B$7:$B$1006,$A242,'Manutenção'!$H$7:$H$1006,"EM CONSERTO")&gt;0,1,0)</f>
        <v>0</v>
      </c>
    </row>
    <row r="243" ht="15.0" hidden="1" customHeight="1">
      <c r="A243" s="15"/>
      <c r="B243" s="17"/>
      <c r="C243" s="17"/>
      <c r="D243" s="17"/>
      <c r="E243" s="17"/>
      <c r="F243" s="17"/>
      <c r="G243" s="18"/>
      <c r="H243" s="15"/>
      <c r="I243" s="15"/>
      <c r="J243" s="24" t="str">
        <f t="array" ref="J243">IF($A243="","",IFERROR(_xlfn.XLOOKUP($A243,'Movimentação'!$B$7:$B$1006,'Movimentação'!$E$7:$E$1006,"",0,-1),""))</f>
        <v/>
      </c>
      <c r="K243" s="24" t="str">
        <f t="array" ref="K243">IF($A243="","",IFERROR(_xlfn.XLOOKUP($A243,'Movimentação'!$B$7:$B$1006,'Movimentação'!$G$7:$G$1006,"",0,-1),""))</f>
        <v/>
      </c>
      <c r="L243" s="24" t="str">
        <f t="shared" si="3"/>
        <v/>
      </c>
      <c r="M243" s="17"/>
      <c r="N243" s="30" t="str">
        <f t="array" ref="N243">IF($A243="","",IFERROR(IF(OR($L243="BAIXADO",$L243="FURTADO"),0,INDEX(Listas!$J$2:$J$40,MATCH($B243,Listas!$I$2:$I$40,0))),""))</f>
        <v/>
      </c>
      <c r="P243" s="31" t="str">
        <f t="array" ref="P243">IF($A243="","",IFERROR(_xlfn.XLOOKUP($A243,'Movimentação'!$B$7:$B$1006,'Movimentação'!$F$7:$F$1006,"",0,-1),""))</f>
        <v/>
      </c>
      <c r="Q243" s="31">
        <f>IF(COUNTIFS('Manutenção'!$B$7:$B$1006,$A243,'Manutenção'!$H$7:$H$1006,"EM CONSERTO")&gt;0,1,0)</f>
        <v>0</v>
      </c>
    </row>
    <row r="244" ht="15.0" hidden="1" customHeight="1">
      <c r="A244" s="15"/>
      <c r="B244" s="17"/>
      <c r="C244" s="17"/>
      <c r="D244" s="17"/>
      <c r="E244" s="17"/>
      <c r="F244" s="17"/>
      <c r="G244" s="18"/>
      <c r="H244" s="15"/>
      <c r="I244" s="15"/>
      <c r="J244" s="24" t="str">
        <f t="array" ref="J244">IF($A244="","",IFERROR(_xlfn.XLOOKUP($A244,'Movimentação'!$B$7:$B$1006,'Movimentação'!$E$7:$E$1006,"",0,-1),""))</f>
        <v/>
      </c>
      <c r="K244" s="24" t="str">
        <f t="array" ref="K244">IF($A244="","",IFERROR(_xlfn.XLOOKUP($A244,'Movimentação'!$B$7:$B$1006,'Movimentação'!$G$7:$G$1006,"",0,-1),""))</f>
        <v/>
      </c>
      <c r="L244" s="24" t="str">
        <f t="shared" si="3"/>
        <v/>
      </c>
      <c r="M244" s="17"/>
      <c r="N244" s="30" t="str">
        <f t="array" ref="N244">IF($A244="","",IFERROR(IF(OR($L244="BAIXADO",$L244="FURTADO"),0,INDEX(Listas!$J$2:$J$40,MATCH($B244,Listas!$I$2:$I$40,0))),""))</f>
        <v/>
      </c>
      <c r="P244" s="31" t="str">
        <f t="array" ref="P244">IF($A244="","",IFERROR(_xlfn.XLOOKUP($A244,'Movimentação'!$B$7:$B$1006,'Movimentação'!$F$7:$F$1006,"",0,-1),""))</f>
        <v/>
      </c>
      <c r="Q244" s="31">
        <f>IF(COUNTIFS('Manutenção'!$B$7:$B$1006,$A244,'Manutenção'!$H$7:$H$1006,"EM CONSERTO")&gt;0,1,0)</f>
        <v>0</v>
      </c>
    </row>
    <row r="245" ht="15.0" hidden="1" customHeight="1">
      <c r="A245" s="15"/>
      <c r="B245" s="17"/>
      <c r="C245" s="17"/>
      <c r="D245" s="17"/>
      <c r="E245" s="17"/>
      <c r="F245" s="17"/>
      <c r="G245" s="18"/>
      <c r="H245" s="15"/>
      <c r="I245" s="15"/>
      <c r="J245" s="24" t="str">
        <f t="array" ref="J245">IF($A245="","",IFERROR(_xlfn.XLOOKUP($A245,'Movimentação'!$B$7:$B$1006,'Movimentação'!$E$7:$E$1006,"",0,-1),""))</f>
        <v/>
      </c>
      <c r="K245" s="24" t="str">
        <f t="array" ref="K245">IF($A245="","",IFERROR(_xlfn.XLOOKUP($A245,'Movimentação'!$B$7:$B$1006,'Movimentação'!$G$7:$G$1006,"",0,-1),""))</f>
        <v/>
      </c>
      <c r="L245" s="24" t="str">
        <f t="shared" si="3"/>
        <v/>
      </c>
      <c r="M245" s="17"/>
      <c r="N245" s="30" t="str">
        <f t="array" ref="N245">IF($A245="","",IFERROR(IF(OR($L245="BAIXADO",$L245="FURTADO"),0,INDEX(Listas!$J$2:$J$40,MATCH($B245,Listas!$I$2:$I$40,0))),""))</f>
        <v/>
      </c>
      <c r="P245" s="31" t="str">
        <f t="array" ref="P245">IF($A245="","",IFERROR(_xlfn.XLOOKUP($A245,'Movimentação'!$B$7:$B$1006,'Movimentação'!$F$7:$F$1006,"",0,-1),""))</f>
        <v/>
      </c>
      <c r="Q245" s="31">
        <f>IF(COUNTIFS('Manutenção'!$B$7:$B$1006,$A245,'Manutenção'!$H$7:$H$1006,"EM CONSERTO")&gt;0,1,0)</f>
        <v>0</v>
      </c>
    </row>
    <row r="246" ht="15.0" hidden="1" customHeight="1">
      <c r="A246" s="15"/>
      <c r="B246" s="17"/>
      <c r="C246" s="17"/>
      <c r="D246" s="17"/>
      <c r="E246" s="17"/>
      <c r="F246" s="17"/>
      <c r="G246" s="18"/>
      <c r="H246" s="15"/>
      <c r="I246" s="15"/>
      <c r="J246" s="24" t="str">
        <f t="array" ref="J246">IF($A246="","",IFERROR(_xlfn.XLOOKUP($A246,'Movimentação'!$B$7:$B$1006,'Movimentação'!$E$7:$E$1006,"",0,-1),""))</f>
        <v/>
      </c>
      <c r="K246" s="24" t="str">
        <f t="array" ref="K246">IF($A246="","",IFERROR(_xlfn.XLOOKUP($A246,'Movimentação'!$B$7:$B$1006,'Movimentação'!$G$7:$G$1006,"",0,-1),""))</f>
        <v/>
      </c>
      <c r="L246" s="24" t="str">
        <f t="shared" si="3"/>
        <v/>
      </c>
      <c r="M246" s="17"/>
      <c r="N246" s="30" t="str">
        <f t="array" ref="N246">IF($A246="","",IFERROR(IF(OR($L246="BAIXADO",$L246="FURTADO"),0,INDEX(Listas!$J$2:$J$40,MATCH($B246,Listas!$I$2:$I$40,0))),""))</f>
        <v/>
      </c>
      <c r="P246" s="31" t="str">
        <f t="array" ref="P246">IF($A246="","",IFERROR(_xlfn.XLOOKUP($A246,'Movimentação'!$B$7:$B$1006,'Movimentação'!$F$7:$F$1006,"",0,-1),""))</f>
        <v/>
      </c>
      <c r="Q246" s="31">
        <f>IF(COUNTIFS('Manutenção'!$B$7:$B$1006,$A246,'Manutenção'!$H$7:$H$1006,"EM CONSERTO")&gt;0,1,0)</f>
        <v>0</v>
      </c>
    </row>
    <row r="247" ht="15.0" hidden="1" customHeight="1">
      <c r="A247" s="15"/>
      <c r="B247" s="17"/>
      <c r="C247" s="17"/>
      <c r="D247" s="17"/>
      <c r="E247" s="17"/>
      <c r="F247" s="17"/>
      <c r="G247" s="18"/>
      <c r="H247" s="15"/>
      <c r="I247" s="15"/>
      <c r="J247" s="24" t="str">
        <f t="array" ref="J247">IF($A247="","",IFERROR(_xlfn.XLOOKUP($A247,'Movimentação'!$B$7:$B$1006,'Movimentação'!$E$7:$E$1006,"",0,-1),""))</f>
        <v/>
      </c>
      <c r="K247" s="24" t="str">
        <f t="array" ref="K247">IF($A247="","",IFERROR(_xlfn.XLOOKUP($A247,'Movimentação'!$B$7:$B$1006,'Movimentação'!$G$7:$G$1006,"",0,-1),""))</f>
        <v/>
      </c>
      <c r="L247" s="24" t="str">
        <f t="shared" si="3"/>
        <v/>
      </c>
      <c r="M247" s="17"/>
      <c r="N247" s="30" t="str">
        <f t="array" ref="N247">IF($A247="","",IFERROR(IF(OR($L247="BAIXADO",$L247="FURTADO"),0,INDEX(Listas!$J$2:$J$40,MATCH($B247,Listas!$I$2:$I$40,0))),""))</f>
        <v/>
      </c>
      <c r="P247" s="31" t="str">
        <f t="array" ref="P247">IF($A247="","",IFERROR(_xlfn.XLOOKUP($A247,'Movimentação'!$B$7:$B$1006,'Movimentação'!$F$7:$F$1006,"",0,-1),""))</f>
        <v/>
      </c>
      <c r="Q247" s="31">
        <f>IF(COUNTIFS('Manutenção'!$B$7:$B$1006,$A247,'Manutenção'!$H$7:$H$1006,"EM CONSERTO")&gt;0,1,0)</f>
        <v>0</v>
      </c>
    </row>
    <row r="248" ht="15.0" hidden="1" customHeight="1">
      <c r="A248" s="15"/>
      <c r="B248" s="17"/>
      <c r="C248" s="17"/>
      <c r="D248" s="17"/>
      <c r="E248" s="17"/>
      <c r="F248" s="17"/>
      <c r="G248" s="18"/>
      <c r="H248" s="15"/>
      <c r="I248" s="15"/>
      <c r="J248" s="24" t="str">
        <f t="array" ref="J248">IF($A248="","",IFERROR(_xlfn.XLOOKUP($A248,'Movimentação'!$B$7:$B$1006,'Movimentação'!$E$7:$E$1006,"",0,-1),""))</f>
        <v/>
      </c>
      <c r="K248" s="24" t="str">
        <f t="array" ref="K248">IF($A248="","",IFERROR(_xlfn.XLOOKUP($A248,'Movimentação'!$B$7:$B$1006,'Movimentação'!$G$7:$G$1006,"",0,-1),""))</f>
        <v/>
      </c>
      <c r="L248" s="24" t="str">
        <f t="shared" si="3"/>
        <v/>
      </c>
      <c r="M248" s="17"/>
      <c r="N248" s="30" t="str">
        <f t="array" ref="N248">IF($A248="","",IFERROR(IF(OR($L248="BAIXADO",$L248="FURTADO"),0,INDEX(Listas!$J$2:$J$40,MATCH($B248,Listas!$I$2:$I$40,0))),""))</f>
        <v/>
      </c>
      <c r="P248" s="31" t="str">
        <f t="array" ref="P248">IF($A248="","",IFERROR(_xlfn.XLOOKUP($A248,'Movimentação'!$B$7:$B$1006,'Movimentação'!$F$7:$F$1006,"",0,-1),""))</f>
        <v/>
      </c>
      <c r="Q248" s="31">
        <f>IF(COUNTIFS('Manutenção'!$B$7:$B$1006,$A248,'Manutenção'!$H$7:$H$1006,"EM CONSERTO")&gt;0,1,0)</f>
        <v>0</v>
      </c>
    </row>
    <row r="249" ht="15.0" hidden="1" customHeight="1">
      <c r="A249" s="15"/>
      <c r="B249" s="17"/>
      <c r="C249" s="17"/>
      <c r="D249" s="17"/>
      <c r="E249" s="17"/>
      <c r="F249" s="17"/>
      <c r="G249" s="18"/>
      <c r="H249" s="15"/>
      <c r="I249" s="15"/>
      <c r="J249" s="24" t="str">
        <f t="array" ref="J249">IF($A249="","",IFERROR(_xlfn.XLOOKUP($A249,'Movimentação'!$B$7:$B$1006,'Movimentação'!$E$7:$E$1006,"",0,-1),""))</f>
        <v/>
      </c>
      <c r="K249" s="24" t="str">
        <f t="array" ref="K249">IF($A249="","",IFERROR(_xlfn.XLOOKUP($A249,'Movimentação'!$B$7:$B$1006,'Movimentação'!$G$7:$G$1006,"",0,-1),""))</f>
        <v/>
      </c>
      <c r="L249" s="24" t="str">
        <f t="shared" si="3"/>
        <v/>
      </c>
      <c r="M249" s="17"/>
      <c r="N249" s="30" t="str">
        <f t="array" ref="N249">IF($A249="","",IFERROR(IF(OR($L249="BAIXADO",$L249="FURTADO"),0,INDEX(Listas!$J$2:$J$40,MATCH($B249,Listas!$I$2:$I$40,0))),""))</f>
        <v/>
      </c>
      <c r="P249" s="31" t="str">
        <f t="array" ref="P249">IF($A249="","",IFERROR(_xlfn.XLOOKUP($A249,'Movimentação'!$B$7:$B$1006,'Movimentação'!$F$7:$F$1006,"",0,-1),""))</f>
        <v/>
      </c>
      <c r="Q249" s="31">
        <f>IF(COUNTIFS('Manutenção'!$B$7:$B$1006,$A249,'Manutenção'!$H$7:$H$1006,"EM CONSERTO")&gt;0,1,0)</f>
        <v>0</v>
      </c>
    </row>
    <row r="250" ht="15.0" hidden="1" customHeight="1">
      <c r="A250" s="15"/>
      <c r="B250" s="17"/>
      <c r="C250" s="17"/>
      <c r="D250" s="17"/>
      <c r="E250" s="17"/>
      <c r="F250" s="17"/>
      <c r="G250" s="18"/>
      <c r="H250" s="15"/>
      <c r="I250" s="15"/>
      <c r="J250" s="24" t="str">
        <f t="array" ref="J250">IF($A250="","",IFERROR(_xlfn.XLOOKUP($A250,'Movimentação'!$B$7:$B$1006,'Movimentação'!$E$7:$E$1006,"",0,-1),""))</f>
        <v/>
      </c>
      <c r="K250" s="24" t="str">
        <f t="array" ref="K250">IF($A250="","",IFERROR(_xlfn.XLOOKUP($A250,'Movimentação'!$B$7:$B$1006,'Movimentação'!$G$7:$G$1006,"",0,-1),""))</f>
        <v/>
      </c>
      <c r="L250" s="24" t="str">
        <f t="shared" si="3"/>
        <v/>
      </c>
      <c r="M250" s="17"/>
      <c r="N250" s="30" t="str">
        <f t="array" ref="N250">IF($A250="","",IFERROR(IF(OR($L250="BAIXADO",$L250="FURTADO"),0,INDEX(Listas!$J$2:$J$40,MATCH($B250,Listas!$I$2:$I$40,0))),""))</f>
        <v/>
      </c>
      <c r="P250" s="31" t="str">
        <f t="array" ref="P250">IF($A250="","",IFERROR(_xlfn.XLOOKUP($A250,'Movimentação'!$B$7:$B$1006,'Movimentação'!$F$7:$F$1006,"",0,-1),""))</f>
        <v/>
      </c>
      <c r="Q250" s="31">
        <f>IF(COUNTIFS('Manutenção'!$B$7:$B$1006,$A250,'Manutenção'!$H$7:$H$1006,"EM CONSERTO")&gt;0,1,0)</f>
        <v>0</v>
      </c>
    </row>
    <row r="251" ht="15.0" hidden="1" customHeight="1">
      <c r="A251" s="15"/>
      <c r="B251" s="17"/>
      <c r="C251" s="17"/>
      <c r="D251" s="17"/>
      <c r="E251" s="17"/>
      <c r="F251" s="17"/>
      <c r="G251" s="18"/>
      <c r="H251" s="15"/>
      <c r="I251" s="15"/>
      <c r="J251" s="24" t="str">
        <f t="array" ref="J251">IF($A251="","",IFERROR(_xlfn.XLOOKUP($A251,'Movimentação'!$B$7:$B$1006,'Movimentação'!$E$7:$E$1006,"",0,-1),""))</f>
        <v/>
      </c>
      <c r="K251" s="24" t="str">
        <f t="array" ref="K251">IF($A251="","",IFERROR(_xlfn.XLOOKUP($A251,'Movimentação'!$B$7:$B$1006,'Movimentação'!$G$7:$G$1006,"",0,-1),""))</f>
        <v/>
      </c>
      <c r="L251" s="24" t="str">
        <f t="shared" si="3"/>
        <v/>
      </c>
      <c r="M251" s="17"/>
      <c r="N251" s="30" t="str">
        <f t="array" ref="N251">IF($A251="","",IFERROR(IF(OR($L251="BAIXADO",$L251="FURTADO"),0,INDEX(Listas!$J$2:$J$40,MATCH($B251,Listas!$I$2:$I$40,0))),""))</f>
        <v/>
      </c>
      <c r="P251" s="31" t="str">
        <f t="array" ref="P251">IF($A251="","",IFERROR(_xlfn.XLOOKUP($A251,'Movimentação'!$B$7:$B$1006,'Movimentação'!$F$7:$F$1006,"",0,-1),""))</f>
        <v/>
      </c>
      <c r="Q251" s="31">
        <f>IF(COUNTIFS('Manutenção'!$B$7:$B$1006,$A251,'Manutenção'!$H$7:$H$1006,"EM CONSERTO")&gt;0,1,0)</f>
        <v>0</v>
      </c>
    </row>
    <row r="252" ht="15.0" hidden="1" customHeight="1">
      <c r="A252" s="15"/>
      <c r="B252" s="17"/>
      <c r="C252" s="17"/>
      <c r="D252" s="17"/>
      <c r="E252" s="17"/>
      <c r="F252" s="17"/>
      <c r="G252" s="18"/>
      <c r="H252" s="15"/>
      <c r="I252" s="15"/>
      <c r="J252" s="24" t="str">
        <f t="array" ref="J252">IF($A252="","",IFERROR(_xlfn.XLOOKUP($A252,'Movimentação'!$B$7:$B$1006,'Movimentação'!$E$7:$E$1006,"",0,-1),""))</f>
        <v/>
      </c>
      <c r="K252" s="24" t="str">
        <f t="array" ref="K252">IF($A252="","",IFERROR(_xlfn.XLOOKUP($A252,'Movimentação'!$B$7:$B$1006,'Movimentação'!$G$7:$G$1006,"",0,-1),""))</f>
        <v/>
      </c>
      <c r="L252" s="24" t="str">
        <f t="shared" si="3"/>
        <v/>
      </c>
      <c r="M252" s="17"/>
      <c r="N252" s="30" t="str">
        <f t="array" ref="N252">IF($A252="","",IFERROR(IF(OR($L252="BAIXADO",$L252="FURTADO"),0,INDEX(Listas!$J$2:$J$40,MATCH($B252,Listas!$I$2:$I$40,0))),""))</f>
        <v/>
      </c>
      <c r="P252" s="31" t="str">
        <f t="array" ref="P252">IF($A252="","",IFERROR(_xlfn.XLOOKUP($A252,'Movimentação'!$B$7:$B$1006,'Movimentação'!$F$7:$F$1006,"",0,-1),""))</f>
        <v/>
      </c>
      <c r="Q252" s="31">
        <f>IF(COUNTIFS('Manutenção'!$B$7:$B$1006,$A252,'Manutenção'!$H$7:$H$1006,"EM CONSERTO")&gt;0,1,0)</f>
        <v>0</v>
      </c>
    </row>
    <row r="253" ht="15.0" hidden="1" customHeight="1">
      <c r="A253" s="15"/>
      <c r="B253" s="17"/>
      <c r="C253" s="17"/>
      <c r="D253" s="17"/>
      <c r="E253" s="17"/>
      <c r="F253" s="17"/>
      <c r="G253" s="18"/>
      <c r="H253" s="15"/>
      <c r="I253" s="15"/>
      <c r="J253" s="24" t="str">
        <f t="array" ref="J253">IF($A253="","",IFERROR(_xlfn.XLOOKUP($A253,'Movimentação'!$B$7:$B$1006,'Movimentação'!$E$7:$E$1006,"",0,-1),""))</f>
        <v/>
      </c>
      <c r="K253" s="24" t="str">
        <f t="array" ref="K253">IF($A253="","",IFERROR(_xlfn.XLOOKUP($A253,'Movimentação'!$B$7:$B$1006,'Movimentação'!$G$7:$G$1006,"",0,-1),""))</f>
        <v/>
      </c>
      <c r="L253" s="24" t="str">
        <f t="shared" si="3"/>
        <v/>
      </c>
      <c r="M253" s="17"/>
      <c r="N253" s="30" t="str">
        <f t="array" ref="N253">IF($A253="","",IFERROR(IF(OR($L253="BAIXADO",$L253="FURTADO"),0,INDEX(Listas!$J$2:$J$40,MATCH($B253,Listas!$I$2:$I$40,0))),""))</f>
        <v/>
      </c>
      <c r="P253" s="31" t="str">
        <f t="array" ref="P253">IF($A253="","",IFERROR(_xlfn.XLOOKUP($A253,'Movimentação'!$B$7:$B$1006,'Movimentação'!$F$7:$F$1006,"",0,-1),""))</f>
        <v/>
      </c>
      <c r="Q253" s="31">
        <f>IF(COUNTIFS('Manutenção'!$B$7:$B$1006,$A253,'Manutenção'!$H$7:$H$1006,"EM CONSERTO")&gt;0,1,0)</f>
        <v>0</v>
      </c>
    </row>
    <row r="254" ht="15.0" hidden="1" customHeight="1">
      <c r="A254" s="15"/>
      <c r="B254" s="17"/>
      <c r="C254" s="17"/>
      <c r="D254" s="17"/>
      <c r="E254" s="17"/>
      <c r="F254" s="17"/>
      <c r="G254" s="18"/>
      <c r="H254" s="15"/>
      <c r="I254" s="15"/>
      <c r="J254" s="24" t="str">
        <f t="array" ref="J254">IF($A254="","",IFERROR(_xlfn.XLOOKUP($A254,'Movimentação'!$B$7:$B$1006,'Movimentação'!$E$7:$E$1006,"",0,-1),""))</f>
        <v/>
      </c>
      <c r="K254" s="24" t="str">
        <f t="array" ref="K254">IF($A254="","",IFERROR(_xlfn.XLOOKUP($A254,'Movimentação'!$B$7:$B$1006,'Movimentação'!$G$7:$G$1006,"",0,-1),""))</f>
        <v/>
      </c>
      <c r="L254" s="24" t="str">
        <f t="shared" si="3"/>
        <v/>
      </c>
      <c r="M254" s="17"/>
      <c r="N254" s="30" t="str">
        <f t="array" ref="N254">IF($A254="","",IFERROR(IF(OR($L254="BAIXADO",$L254="FURTADO"),0,INDEX(Listas!$J$2:$J$40,MATCH($B254,Listas!$I$2:$I$40,0))),""))</f>
        <v/>
      </c>
      <c r="P254" s="31" t="str">
        <f t="array" ref="P254">IF($A254="","",IFERROR(_xlfn.XLOOKUP($A254,'Movimentação'!$B$7:$B$1006,'Movimentação'!$F$7:$F$1006,"",0,-1),""))</f>
        <v/>
      </c>
      <c r="Q254" s="31">
        <f>IF(COUNTIFS('Manutenção'!$B$7:$B$1006,$A254,'Manutenção'!$H$7:$H$1006,"EM CONSERTO")&gt;0,1,0)</f>
        <v>0</v>
      </c>
    </row>
    <row r="255" ht="15.0" hidden="1" customHeight="1">
      <c r="A255" s="15"/>
      <c r="B255" s="17"/>
      <c r="C255" s="17"/>
      <c r="D255" s="17"/>
      <c r="E255" s="17"/>
      <c r="F255" s="17"/>
      <c r="G255" s="18"/>
      <c r="H255" s="15"/>
      <c r="I255" s="15"/>
      <c r="J255" s="24" t="str">
        <f t="array" ref="J255">IF($A255="","",IFERROR(_xlfn.XLOOKUP($A255,'Movimentação'!$B$7:$B$1006,'Movimentação'!$E$7:$E$1006,"",0,-1),""))</f>
        <v/>
      </c>
      <c r="K255" s="24" t="str">
        <f t="array" ref="K255">IF($A255="","",IFERROR(_xlfn.XLOOKUP($A255,'Movimentação'!$B$7:$B$1006,'Movimentação'!$G$7:$G$1006,"",0,-1),""))</f>
        <v/>
      </c>
      <c r="L255" s="24" t="str">
        <f t="shared" si="3"/>
        <v/>
      </c>
      <c r="M255" s="17"/>
      <c r="N255" s="30" t="str">
        <f t="array" ref="N255">IF($A255="","",IFERROR(IF(OR($L255="BAIXADO",$L255="FURTADO"),0,INDEX(Listas!$J$2:$J$40,MATCH($B255,Listas!$I$2:$I$40,0))),""))</f>
        <v/>
      </c>
      <c r="P255" s="31" t="str">
        <f t="array" ref="P255">IF($A255="","",IFERROR(_xlfn.XLOOKUP($A255,'Movimentação'!$B$7:$B$1006,'Movimentação'!$F$7:$F$1006,"",0,-1),""))</f>
        <v/>
      </c>
      <c r="Q255" s="31">
        <f>IF(COUNTIFS('Manutenção'!$B$7:$B$1006,$A255,'Manutenção'!$H$7:$H$1006,"EM CONSERTO")&gt;0,1,0)</f>
        <v>0</v>
      </c>
    </row>
    <row r="256" ht="15.0" hidden="1" customHeight="1">
      <c r="A256" s="15"/>
      <c r="B256" s="17"/>
      <c r="C256" s="17"/>
      <c r="D256" s="17"/>
      <c r="E256" s="17"/>
      <c r="F256" s="17"/>
      <c r="G256" s="18"/>
      <c r="H256" s="15"/>
      <c r="I256" s="15"/>
      <c r="J256" s="24" t="str">
        <f t="array" ref="J256">IF($A256="","",IFERROR(_xlfn.XLOOKUP($A256,'Movimentação'!$B$7:$B$1006,'Movimentação'!$E$7:$E$1006,"",0,-1),""))</f>
        <v/>
      </c>
      <c r="K256" s="24" t="str">
        <f t="array" ref="K256">IF($A256="","",IFERROR(_xlfn.XLOOKUP($A256,'Movimentação'!$B$7:$B$1006,'Movimentação'!$G$7:$G$1006,"",0,-1),""))</f>
        <v/>
      </c>
      <c r="L256" s="24" t="str">
        <f t="shared" si="3"/>
        <v/>
      </c>
      <c r="M256" s="17"/>
      <c r="N256" s="30" t="str">
        <f t="array" ref="N256">IF($A256="","",IFERROR(IF(OR($L256="BAIXADO",$L256="FURTADO"),0,INDEX(Listas!$J$2:$J$40,MATCH($B256,Listas!$I$2:$I$40,0))),""))</f>
        <v/>
      </c>
      <c r="P256" s="31" t="str">
        <f t="array" ref="P256">IF($A256="","",IFERROR(_xlfn.XLOOKUP($A256,'Movimentação'!$B$7:$B$1006,'Movimentação'!$F$7:$F$1006,"",0,-1),""))</f>
        <v/>
      </c>
      <c r="Q256" s="31">
        <f>IF(COUNTIFS('Manutenção'!$B$7:$B$1006,$A256,'Manutenção'!$H$7:$H$1006,"EM CONSERTO")&gt;0,1,0)</f>
        <v>0</v>
      </c>
    </row>
    <row r="257" ht="15.0" hidden="1" customHeight="1">
      <c r="A257" s="15"/>
      <c r="B257" s="17"/>
      <c r="C257" s="17"/>
      <c r="D257" s="17"/>
      <c r="E257" s="17"/>
      <c r="F257" s="17"/>
      <c r="G257" s="18"/>
      <c r="H257" s="15"/>
      <c r="I257" s="15"/>
      <c r="J257" s="24" t="str">
        <f t="array" ref="J257">IF($A257="","",IFERROR(_xlfn.XLOOKUP($A257,'Movimentação'!$B$7:$B$1006,'Movimentação'!$E$7:$E$1006,"",0,-1),""))</f>
        <v/>
      </c>
      <c r="K257" s="24" t="str">
        <f t="array" ref="K257">IF($A257="","",IFERROR(_xlfn.XLOOKUP($A257,'Movimentação'!$B$7:$B$1006,'Movimentação'!$G$7:$G$1006,"",0,-1),""))</f>
        <v/>
      </c>
      <c r="L257" s="24" t="str">
        <f t="shared" si="3"/>
        <v/>
      </c>
      <c r="M257" s="17"/>
      <c r="N257" s="30" t="str">
        <f t="array" ref="N257">IF($A257="","",IFERROR(IF(OR($L257="BAIXADO",$L257="FURTADO"),0,INDEX(Listas!$J$2:$J$40,MATCH($B257,Listas!$I$2:$I$40,0))),""))</f>
        <v/>
      </c>
      <c r="P257" s="31" t="str">
        <f t="array" ref="P257">IF($A257="","",IFERROR(_xlfn.XLOOKUP($A257,'Movimentação'!$B$7:$B$1006,'Movimentação'!$F$7:$F$1006,"",0,-1),""))</f>
        <v/>
      </c>
      <c r="Q257" s="31">
        <f>IF(COUNTIFS('Manutenção'!$B$7:$B$1006,$A257,'Manutenção'!$H$7:$H$1006,"EM CONSERTO")&gt;0,1,0)</f>
        <v>0</v>
      </c>
    </row>
    <row r="258" ht="15.0" hidden="1" customHeight="1">
      <c r="A258" s="15"/>
      <c r="B258" s="17"/>
      <c r="C258" s="17"/>
      <c r="D258" s="17"/>
      <c r="E258" s="17"/>
      <c r="F258" s="17"/>
      <c r="G258" s="18"/>
      <c r="H258" s="15"/>
      <c r="I258" s="15"/>
      <c r="J258" s="24" t="str">
        <f t="array" ref="J258">IF($A258="","",IFERROR(_xlfn.XLOOKUP($A258,'Movimentação'!$B$7:$B$1006,'Movimentação'!$E$7:$E$1006,"",0,-1),""))</f>
        <v/>
      </c>
      <c r="K258" s="24" t="str">
        <f t="array" ref="K258">IF($A258="","",IFERROR(_xlfn.XLOOKUP($A258,'Movimentação'!$B$7:$B$1006,'Movimentação'!$G$7:$G$1006,"",0,-1),""))</f>
        <v/>
      </c>
      <c r="L258" s="24" t="str">
        <f t="shared" si="3"/>
        <v/>
      </c>
      <c r="M258" s="17"/>
      <c r="N258" s="30" t="str">
        <f t="array" ref="N258">IF($A258="","",IFERROR(IF(OR($L258="BAIXADO",$L258="FURTADO"),0,INDEX(Listas!$J$2:$J$40,MATCH($B258,Listas!$I$2:$I$40,0))),""))</f>
        <v/>
      </c>
      <c r="P258" s="31" t="str">
        <f t="array" ref="P258">IF($A258="","",IFERROR(_xlfn.XLOOKUP($A258,'Movimentação'!$B$7:$B$1006,'Movimentação'!$F$7:$F$1006,"",0,-1),""))</f>
        <v/>
      </c>
      <c r="Q258" s="31">
        <f>IF(COUNTIFS('Manutenção'!$B$7:$B$1006,$A258,'Manutenção'!$H$7:$H$1006,"EM CONSERTO")&gt;0,1,0)</f>
        <v>0</v>
      </c>
    </row>
    <row r="259" ht="15.0" hidden="1" customHeight="1">
      <c r="A259" s="15"/>
      <c r="B259" s="17"/>
      <c r="C259" s="17"/>
      <c r="D259" s="17"/>
      <c r="E259" s="17"/>
      <c r="F259" s="17"/>
      <c r="G259" s="18"/>
      <c r="H259" s="15"/>
      <c r="I259" s="15"/>
      <c r="J259" s="24" t="str">
        <f t="array" ref="J259">IF($A259="","",IFERROR(_xlfn.XLOOKUP($A259,'Movimentação'!$B$7:$B$1006,'Movimentação'!$E$7:$E$1006,"",0,-1),""))</f>
        <v/>
      </c>
      <c r="K259" s="24" t="str">
        <f t="array" ref="K259">IF($A259="","",IFERROR(_xlfn.XLOOKUP($A259,'Movimentação'!$B$7:$B$1006,'Movimentação'!$G$7:$G$1006,"",0,-1),""))</f>
        <v/>
      </c>
      <c r="L259" s="24" t="str">
        <f t="shared" si="3"/>
        <v/>
      </c>
      <c r="M259" s="17"/>
      <c r="N259" s="30" t="str">
        <f t="array" ref="N259">IF($A259="","",IFERROR(IF(OR($L259="BAIXADO",$L259="FURTADO"),0,INDEX(Listas!$J$2:$J$40,MATCH($B259,Listas!$I$2:$I$40,0))),""))</f>
        <v/>
      </c>
      <c r="P259" s="31" t="str">
        <f t="array" ref="P259">IF($A259="","",IFERROR(_xlfn.XLOOKUP($A259,'Movimentação'!$B$7:$B$1006,'Movimentação'!$F$7:$F$1006,"",0,-1),""))</f>
        <v/>
      </c>
      <c r="Q259" s="31">
        <f>IF(COUNTIFS('Manutenção'!$B$7:$B$1006,$A259,'Manutenção'!$H$7:$H$1006,"EM CONSERTO")&gt;0,1,0)</f>
        <v>0</v>
      </c>
    </row>
    <row r="260" ht="15.0" hidden="1" customHeight="1">
      <c r="A260" s="15"/>
      <c r="B260" s="17"/>
      <c r="C260" s="17"/>
      <c r="D260" s="17"/>
      <c r="E260" s="17"/>
      <c r="F260" s="17"/>
      <c r="G260" s="18"/>
      <c r="H260" s="15"/>
      <c r="I260" s="15"/>
      <c r="J260" s="24" t="str">
        <f t="array" ref="J260">IF($A260="","",IFERROR(_xlfn.XLOOKUP($A260,'Movimentação'!$B$7:$B$1006,'Movimentação'!$E$7:$E$1006,"",0,-1),""))</f>
        <v/>
      </c>
      <c r="K260" s="24" t="str">
        <f t="array" ref="K260">IF($A260="","",IFERROR(_xlfn.XLOOKUP($A260,'Movimentação'!$B$7:$B$1006,'Movimentação'!$G$7:$G$1006,"",0,-1),""))</f>
        <v/>
      </c>
      <c r="L260" s="24" t="str">
        <f t="shared" si="3"/>
        <v/>
      </c>
      <c r="M260" s="17"/>
      <c r="N260" s="30" t="str">
        <f t="array" ref="N260">IF($A260="","",IFERROR(IF(OR($L260="BAIXADO",$L260="FURTADO"),0,INDEX(Listas!$J$2:$J$40,MATCH($B260,Listas!$I$2:$I$40,0))),""))</f>
        <v/>
      </c>
      <c r="P260" s="31" t="str">
        <f t="array" ref="P260">IF($A260="","",IFERROR(_xlfn.XLOOKUP($A260,'Movimentação'!$B$7:$B$1006,'Movimentação'!$F$7:$F$1006,"",0,-1),""))</f>
        <v/>
      </c>
      <c r="Q260" s="31">
        <f>IF(COUNTIFS('Manutenção'!$B$7:$B$1006,$A260,'Manutenção'!$H$7:$H$1006,"EM CONSERTO")&gt;0,1,0)</f>
        <v>0</v>
      </c>
    </row>
    <row r="261" ht="15.0" hidden="1" customHeight="1">
      <c r="A261" s="15"/>
      <c r="B261" s="17"/>
      <c r="C261" s="17"/>
      <c r="D261" s="17"/>
      <c r="E261" s="17"/>
      <c r="F261" s="17"/>
      <c r="G261" s="18"/>
      <c r="H261" s="15"/>
      <c r="I261" s="15"/>
      <c r="J261" s="24" t="str">
        <f t="array" ref="J261">IF($A261="","",IFERROR(_xlfn.XLOOKUP($A261,'Movimentação'!$B$7:$B$1006,'Movimentação'!$E$7:$E$1006,"",0,-1),""))</f>
        <v/>
      </c>
      <c r="K261" s="24" t="str">
        <f t="array" ref="K261">IF($A261="","",IFERROR(_xlfn.XLOOKUP($A261,'Movimentação'!$B$7:$B$1006,'Movimentação'!$G$7:$G$1006,"",0,-1),""))</f>
        <v/>
      </c>
      <c r="L261" s="24" t="str">
        <f t="shared" si="3"/>
        <v/>
      </c>
      <c r="M261" s="17"/>
      <c r="N261" s="30" t="str">
        <f t="array" ref="N261">IF($A261="","",IFERROR(IF(OR($L261="BAIXADO",$L261="FURTADO"),0,INDEX(Listas!$J$2:$J$40,MATCH($B261,Listas!$I$2:$I$40,0))),""))</f>
        <v/>
      </c>
      <c r="P261" s="31" t="str">
        <f t="array" ref="P261">IF($A261="","",IFERROR(_xlfn.XLOOKUP($A261,'Movimentação'!$B$7:$B$1006,'Movimentação'!$F$7:$F$1006,"",0,-1),""))</f>
        <v/>
      </c>
      <c r="Q261" s="31">
        <f>IF(COUNTIFS('Manutenção'!$B$7:$B$1006,$A261,'Manutenção'!$H$7:$H$1006,"EM CONSERTO")&gt;0,1,0)</f>
        <v>0</v>
      </c>
    </row>
    <row r="262" ht="15.0" hidden="1" customHeight="1">
      <c r="A262" s="15"/>
      <c r="B262" s="17"/>
      <c r="C262" s="17"/>
      <c r="D262" s="17"/>
      <c r="E262" s="17"/>
      <c r="F262" s="17"/>
      <c r="G262" s="18"/>
      <c r="H262" s="15"/>
      <c r="I262" s="15"/>
      <c r="J262" s="24" t="str">
        <f t="array" ref="J262">IF($A262="","",IFERROR(_xlfn.XLOOKUP($A262,'Movimentação'!$B$7:$B$1006,'Movimentação'!$E$7:$E$1006,"",0,-1),""))</f>
        <v/>
      </c>
      <c r="K262" s="24" t="str">
        <f t="array" ref="K262">IF($A262="","",IFERROR(_xlfn.XLOOKUP($A262,'Movimentação'!$B$7:$B$1006,'Movimentação'!$G$7:$G$1006,"",0,-1),""))</f>
        <v/>
      </c>
      <c r="L262" s="24" t="str">
        <f t="shared" si="3"/>
        <v/>
      </c>
      <c r="M262" s="17"/>
      <c r="N262" s="30" t="str">
        <f t="array" ref="N262">IF($A262="","",IFERROR(IF(OR($L262="BAIXADO",$L262="FURTADO"),0,INDEX(Listas!$J$2:$J$40,MATCH($B262,Listas!$I$2:$I$40,0))),""))</f>
        <v/>
      </c>
      <c r="P262" s="31" t="str">
        <f t="array" ref="P262">IF($A262="","",IFERROR(_xlfn.XLOOKUP($A262,'Movimentação'!$B$7:$B$1006,'Movimentação'!$F$7:$F$1006,"",0,-1),""))</f>
        <v/>
      </c>
      <c r="Q262" s="31">
        <f>IF(COUNTIFS('Manutenção'!$B$7:$B$1006,$A262,'Manutenção'!$H$7:$H$1006,"EM CONSERTO")&gt;0,1,0)</f>
        <v>0</v>
      </c>
    </row>
    <row r="263" ht="15.0" hidden="1" customHeight="1">
      <c r="A263" s="15"/>
      <c r="B263" s="17"/>
      <c r="C263" s="17"/>
      <c r="D263" s="17"/>
      <c r="E263" s="17"/>
      <c r="F263" s="17"/>
      <c r="G263" s="18"/>
      <c r="H263" s="15"/>
      <c r="I263" s="15"/>
      <c r="J263" s="24" t="str">
        <f t="array" ref="J263">IF($A263="","",IFERROR(_xlfn.XLOOKUP($A263,'Movimentação'!$B$7:$B$1006,'Movimentação'!$E$7:$E$1006,"",0,-1),""))</f>
        <v/>
      </c>
      <c r="K263" s="24" t="str">
        <f t="array" ref="K263">IF($A263="","",IFERROR(_xlfn.XLOOKUP($A263,'Movimentação'!$B$7:$B$1006,'Movimentação'!$G$7:$G$1006,"",0,-1),""))</f>
        <v/>
      </c>
      <c r="L263" s="24" t="str">
        <f t="shared" si="3"/>
        <v/>
      </c>
      <c r="M263" s="17"/>
      <c r="N263" s="30" t="str">
        <f t="array" ref="N263">IF($A263="","",IFERROR(IF(OR($L263="BAIXADO",$L263="FURTADO"),0,INDEX(Listas!$J$2:$J$40,MATCH($B263,Listas!$I$2:$I$40,0))),""))</f>
        <v/>
      </c>
      <c r="P263" s="31" t="str">
        <f t="array" ref="P263">IF($A263="","",IFERROR(_xlfn.XLOOKUP($A263,'Movimentação'!$B$7:$B$1006,'Movimentação'!$F$7:$F$1006,"",0,-1),""))</f>
        <v/>
      </c>
      <c r="Q263" s="31">
        <f>IF(COUNTIFS('Manutenção'!$B$7:$B$1006,$A263,'Manutenção'!$H$7:$H$1006,"EM CONSERTO")&gt;0,1,0)</f>
        <v>0</v>
      </c>
    </row>
    <row r="264" ht="15.0" hidden="1" customHeight="1">
      <c r="A264" s="15"/>
      <c r="B264" s="17"/>
      <c r="C264" s="17"/>
      <c r="D264" s="17"/>
      <c r="E264" s="17"/>
      <c r="F264" s="17"/>
      <c r="G264" s="18"/>
      <c r="H264" s="15"/>
      <c r="I264" s="15"/>
      <c r="J264" s="24" t="str">
        <f t="array" ref="J264">IF($A264="","",IFERROR(_xlfn.XLOOKUP($A264,'Movimentação'!$B$7:$B$1006,'Movimentação'!$E$7:$E$1006,"",0,-1),""))</f>
        <v/>
      </c>
      <c r="K264" s="24" t="str">
        <f t="array" ref="K264">IF($A264="","",IFERROR(_xlfn.XLOOKUP($A264,'Movimentação'!$B$7:$B$1006,'Movimentação'!$G$7:$G$1006,"",0,-1),""))</f>
        <v/>
      </c>
      <c r="L264" s="24" t="str">
        <f t="shared" si="3"/>
        <v/>
      </c>
      <c r="M264" s="17"/>
      <c r="N264" s="30" t="str">
        <f t="array" ref="N264">IF($A264="","",IFERROR(IF(OR($L264="BAIXADO",$L264="FURTADO"),0,INDEX(Listas!$J$2:$J$40,MATCH($B264,Listas!$I$2:$I$40,0))),""))</f>
        <v/>
      </c>
      <c r="P264" s="31" t="str">
        <f t="array" ref="P264">IF($A264="","",IFERROR(_xlfn.XLOOKUP($A264,'Movimentação'!$B$7:$B$1006,'Movimentação'!$F$7:$F$1006,"",0,-1),""))</f>
        <v/>
      </c>
      <c r="Q264" s="31">
        <f>IF(COUNTIFS('Manutenção'!$B$7:$B$1006,$A264,'Manutenção'!$H$7:$H$1006,"EM CONSERTO")&gt;0,1,0)</f>
        <v>0</v>
      </c>
    </row>
    <row r="265" ht="15.0" hidden="1" customHeight="1">
      <c r="A265" s="15"/>
      <c r="B265" s="17"/>
      <c r="C265" s="17"/>
      <c r="D265" s="17"/>
      <c r="E265" s="17"/>
      <c r="F265" s="17"/>
      <c r="G265" s="18"/>
      <c r="H265" s="15"/>
      <c r="I265" s="15"/>
      <c r="J265" s="24" t="str">
        <f t="array" ref="J265">IF($A265="","",IFERROR(_xlfn.XLOOKUP($A265,'Movimentação'!$B$7:$B$1006,'Movimentação'!$E$7:$E$1006,"",0,-1),""))</f>
        <v/>
      </c>
      <c r="K265" s="24" t="str">
        <f t="array" ref="K265">IF($A265="","",IFERROR(_xlfn.XLOOKUP($A265,'Movimentação'!$B$7:$B$1006,'Movimentação'!$G$7:$G$1006,"",0,-1),""))</f>
        <v/>
      </c>
      <c r="L265" s="24" t="str">
        <f t="shared" si="3"/>
        <v/>
      </c>
      <c r="M265" s="17"/>
      <c r="N265" s="30" t="str">
        <f t="array" ref="N265">IF($A265="","",IFERROR(IF(OR($L265="BAIXADO",$L265="FURTADO"),0,INDEX(Listas!$J$2:$J$40,MATCH($B265,Listas!$I$2:$I$40,0))),""))</f>
        <v/>
      </c>
      <c r="P265" s="31" t="str">
        <f t="array" ref="P265">IF($A265="","",IFERROR(_xlfn.XLOOKUP($A265,'Movimentação'!$B$7:$B$1006,'Movimentação'!$F$7:$F$1006,"",0,-1),""))</f>
        <v/>
      </c>
      <c r="Q265" s="31">
        <f>IF(COUNTIFS('Manutenção'!$B$7:$B$1006,$A265,'Manutenção'!$H$7:$H$1006,"EM CONSERTO")&gt;0,1,0)</f>
        <v>0</v>
      </c>
    </row>
    <row r="266" ht="15.0" hidden="1" customHeight="1">
      <c r="A266" s="15"/>
      <c r="B266" s="17"/>
      <c r="C266" s="17"/>
      <c r="D266" s="17"/>
      <c r="E266" s="17"/>
      <c r="F266" s="17"/>
      <c r="G266" s="18"/>
      <c r="H266" s="15"/>
      <c r="I266" s="15"/>
      <c r="J266" s="24" t="str">
        <f t="array" ref="J266">IF($A266="","",IFERROR(_xlfn.XLOOKUP($A266,'Movimentação'!$B$7:$B$1006,'Movimentação'!$E$7:$E$1006,"",0,-1),""))</f>
        <v/>
      </c>
      <c r="K266" s="24" t="str">
        <f t="array" ref="K266">IF($A266="","",IFERROR(_xlfn.XLOOKUP($A266,'Movimentação'!$B$7:$B$1006,'Movimentação'!$G$7:$G$1006,"",0,-1),""))</f>
        <v/>
      </c>
      <c r="L266" s="24" t="str">
        <f t="shared" si="3"/>
        <v/>
      </c>
      <c r="M266" s="17"/>
      <c r="N266" s="30" t="str">
        <f t="array" ref="N266">IF($A266="","",IFERROR(IF(OR($L266="BAIXADO",$L266="FURTADO"),0,INDEX(Listas!$J$2:$J$40,MATCH($B266,Listas!$I$2:$I$40,0))),""))</f>
        <v/>
      </c>
      <c r="P266" s="31" t="str">
        <f t="array" ref="P266">IF($A266="","",IFERROR(_xlfn.XLOOKUP($A266,'Movimentação'!$B$7:$B$1006,'Movimentação'!$F$7:$F$1006,"",0,-1),""))</f>
        <v/>
      </c>
      <c r="Q266" s="31">
        <f>IF(COUNTIFS('Manutenção'!$B$7:$B$1006,$A266,'Manutenção'!$H$7:$H$1006,"EM CONSERTO")&gt;0,1,0)</f>
        <v>0</v>
      </c>
    </row>
    <row r="267" ht="15.0" hidden="1" customHeight="1">
      <c r="A267" s="15"/>
      <c r="B267" s="17"/>
      <c r="C267" s="17"/>
      <c r="D267" s="17"/>
      <c r="E267" s="17"/>
      <c r="F267" s="17"/>
      <c r="G267" s="18"/>
      <c r="H267" s="15"/>
      <c r="I267" s="15"/>
      <c r="J267" s="24" t="str">
        <f t="array" ref="J267">IF($A267="","",IFERROR(_xlfn.XLOOKUP($A267,'Movimentação'!$B$7:$B$1006,'Movimentação'!$E$7:$E$1006,"",0,-1),""))</f>
        <v/>
      </c>
      <c r="K267" s="24" t="str">
        <f t="array" ref="K267">IF($A267="","",IFERROR(_xlfn.XLOOKUP($A267,'Movimentação'!$B$7:$B$1006,'Movimentação'!$G$7:$G$1006,"",0,-1),""))</f>
        <v/>
      </c>
      <c r="L267" s="24" t="str">
        <f t="shared" si="3"/>
        <v/>
      </c>
      <c r="M267" s="17"/>
      <c r="N267" s="30" t="str">
        <f t="array" ref="N267">IF($A267="","",IFERROR(IF(OR($L267="BAIXADO",$L267="FURTADO"),0,INDEX(Listas!$J$2:$J$40,MATCH($B267,Listas!$I$2:$I$40,0))),""))</f>
        <v/>
      </c>
      <c r="P267" s="31" t="str">
        <f t="array" ref="P267">IF($A267="","",IFERROR(_xlfn.XLOOKUP($A267,'Movimentação'!$B$7:$B$1006,'Movimentação'!$F$7:$F$1006,"",0,-1),""))</f>
        <v/>
      </c>
      <c r="Q267" s="31">
        <f>IF(COUNTIFS('Manutenção'!$B$7:$B$1006,$A267,'Manutenção'!$H$7:$H$1006,"EM CONSERTO")&gt;0,1,0)</f>
        <v>0</v>
      </c>
    </row>
    <row r="268" ht="15.0" hidden="1" customHeight="1">
      <c r="A268" s="15"/>
      <c r="B268" s="17"/>
      <c r="C268" s="17"/>
      <c r="D268" s="17"/>
      <c r="E268" s="17"/>
      <c r="F268" s="17"/>
      <c r="G268" s="18"/>
      <c r="H268" s="15"/>
      <c r="I268" s="15"/>
      <c r="J268" s="24" t="str">
        <f t="array" ref="J268">IF($A268="","",IFERROR(_xlfn.XLOOKUP($A268,'Movimentação'!$B$7:$B$1006,'Movimentação'!$E$7:$E$1006,"",0,-1),""))</f>
        <v/>
      </c>
      <c r="K268" s="24" t="str">
        <f t="array" ref="K268">IF($A268="","",IFERROR(_xlfn.XLOOKUP($A268,'Movimentação'!$B$7:$B$1006,'Movimentação'!$G$7:$G$1006,"",0,-1),""))</f>
        <v/>
      </c>
      <c r="L268" s="24" t="str">
        <f t="shared" si="3"/>
        <v/>
      </c>
      <c r="M268" s="17"/>
      <c r="N268" s="30" t="str">
        <f t="array" ref="N268">IF($A268="","",IFERROR(IF(OR($L268="BAIXADO",$L268="FURTADO"),0,INDEX(Listas!$J$2:$J$40,MATCH($B268,Listas!$I$2:$I$40,0))),""))</f>
        <v/>
      </c>
      <c r="P268" s="31" t="str">
        <f t="array" ref="P268">IF($A268="","",IFERROR(_xlfn.XLOOKUP($A268,'Movimentação'!$B$7:$B$1006,'Movimentação'!$F$7:$F$1006,"",0,-1),""))</f>
        <v/>
      </c>
      <c r="Q268" s="31">
        <f>IF(COUNTIFS('Manutenção'!$B$7:$B$1006,$A268,'Manutenção'!$H$7:$H$1006,"EM CONSERTO")&gt;0,1,0)</f>
        <v>0</v>
      </c>
    </row>
    <row r="269" ht="15.0" hidden="1" customHeight="1">
      <c r="A269" s="15"/>
      <c r="B269" s="17"/>
      <c r="C269" s="17"/>
      <c r="D269" s="17"/>
      <c r="E269" s="17"/>
      <c r="F269" s="17"/>
      <c r="G269" s="18"/>
      <c r="H269" s="15"/>
      <c r="I269" s="15"/>
      <c r="J269" s="24" t="str">
        <f t="array" ref="J269">IF($A269="","",IFERROR(_xlfn.XLOOKUP($A269,'Movimentação'!$B$7:$B$1006,'Movimentação'!$E$7:$E$1006,"",0,-1),""))</f>
        <v/>
      </c>
      <c r="K269" s="24" t="str">
        <f t="array" ref="K269">IF($A269="","",IFERROR(_xlfn.XLOOKUP($A269,'Movimentação'!$B$7:$B$1006,'Movimentação'!$G$7:$G$1006,"",0,-1),""))</f>
        <v/>
      </c>
      <c r="L269" s="24" t="str">
        <f t="shared" si="3"/>
        <v/>
      </c>
      <c r="M269" s="17"/>
      <c r="N269" s="30" t="str">
        <f t="array" ref="N269">IF($A269="","",IFERROR(IF(OR($L269="BAIXADO",$L269="FURTADO"),0,INDEX(Listas!$J$2:$J$40,MATCH($B269,Listas!$I$2:$I$40,0))),""))</f>
        <v/>
      </c>
      <c r="P269" s="31" t="str">
        <f t="array" ref="P269">IF($A269="","",IFERROR(_xlfn.XLOOKUP($A269,'Movimentação'!$B$7:$B$1006,'Movimentação'!$F$7:$F$1006,"",0,-1),""))</f>
        <v/>
      </c>
      <c r="Q269" s="31">
        <f>IF(COUNTIFS('Manutenção'!$B$7:$B$1006,$A269,'Manutenção'!$H$7:$H$1006,"EM CONSERTO")&gt;0,1,0)</f>
        <v>0</v>
      </c>
    </row>
    <row r="270" ht="15.0" hidden="1" customHeight="1">
      <c r="A270" s="15"/>
      <c r="B270" s="17"/>
      <c r="C270" s="17"/>
      <c r="D270" s="17"/>
      <c r="E270" s="17"/>
      <c r="F270" s="17"/>
      <c r="G270" s="18"/>
      <c r="H270" s="15"/>
      <c r="I270" s="15"/>
      <c r="J270" s="24" t="str">
        <f t="array" ref="J270">IF($A270="","",IFERROR(_xlfn.XLOOKUP($A270,'Movimentação'!$B$7:$B$1006,'Movimentação'!$E$7:$E$1006,"",0,-1),""))</f>
        <v/>
      </c>
      <c r="K270" s="24" t="str">
        <f t="array" ref="K270">IF($A270="","",IFERROR(_xlfn.XLOOKUP($A270,'Movimentação'!$B$7:$B$1006,'Movimentação'!$G$7:$G$1006,"",0,-1),""))</f>
        <v/>
      </c>
      <c r="L270" s="24" t="str">
        <f t="shared" si="3"/>
        <v/>
      </c>
      <c r="M270" s="17"/>
      <c r="N270" s="30" t="str">
        <f t="array" ref="N270">IF($A270="","",IFERROR(IF(OR($L270="BAIXADO",$L270="FURTADO"),0,INDEX(Listas!$J$2:$J$40,MATCH($B270,Listas!$I$2:$I$40,0))),""))</f>
        <v/>
      </c>
      <c r="P270" s="31" t="str">
        <f t="array" ref="P270">IF($A270="","",IFERROR(_xlfn.XLOOKUP($A270,'Movimentação'!$B$7:$B$1006,'Movimentação'!$F$7:$F$1006,"",0,-1),""))</f>
        <v/>
      </c>
      <c r="Q270" s="31">
        <f>IF(COUNTIFS('Manutenção'!$B$7:$B$1006,$A270,'Manutenção'!$H$7:$H$1006,"EM CONSERTO")&gt;0,1,0)</f>
        <v>0</v>
      </c>
    </row>
    <row r="271" ht="15.0" hidden="1" customHeight="1">
      <c r="A271" s="15"/>
      <c r="B271" s="17"/>
      <c r="C271" s="17"/>
      <c r="D271" s="17"/>
      <c r="E271" s="17"/>
      <c r="F271" s="17"/>
      <c r="G271" s="18"/>
      <c r="H271" s="15"/>
      <c r="I271" s="15"/>
      <c r="J271" s="24" t="str">
        <f t="array" ref="J271">IF($A271="","",IFERROR(_xlfn.XLOOKUP($A271,'Movimentação'!$B$7:$B$1006,'Movimentação'!$E$7:$E$1006,"",0,-1),""))</f>
        <v/>
      </c>
      <c r="K271" s="24" t="str">
        <f t="array" ref="K271">IF($A271="","",IFERROR(_xlfn.XLOOKUP($A271,'Movimentação'!$B$7:$B$1006,'Movimentação'!$G$7:$G$1006,"",0,-1),""))</f>
        <v/>
      </c>
      <c r="L271" s="24" t="str">
        <f t="shared" si="3"/>
        <v/>
      </c>
      <c r="M271" s="17"/>
      <c r="N271" s="30" t="str">
        <f t="array" ref="N271">IF($A271="","",IFERROR(IF(OR($L271="BAIXADO",$L271="FURTADO"),0,INDEX(Listas!$J$2:$J$40,MATCH($B271,Listas!$I$2:$I$40,0))),""))</f>
        <v/>
      </c>
      <c r="P271" s="31" t="str">
        <f t="array" ref="P271">IF($A271="","",IFERROR(_xlfn.XLOOKUP($A271,'Movimentação'!$B$7:$B$1006,'Movimentação'!$F$7:$F$1006,"",0,-1),""))</f>
        <v/>
      </c>
      <c r="Q271" s="31">
        <f>IF(COUNTIFS('Manutenção'!$B$7:$B$1006,$A271,'Manutenção'!$H$7:$H$1006,"EM CONSERTO")&gt;0,1,0)</f>
        <v>0</v>
      </c>
    </row>
    <row r="272" ht="15.0" hidden="1" customHeight="1">
      <c r="A272" s="15"/>
      <c r="B272" s="17"/>
      <c r="C272" s="17"/>
      <c r="D272" s="17"/>
      <c r="E272" s="17"/>
      <c r="F272" s="17"/>
      <c r="G272" s="18"/>
      <c r="H272" s="15"/>
      <c r="I272" s="15"/>
      <c r="J272" s="24" t="str">
        <f t="array" ref="J272">IF($A272="","",IFERROR(_xlfn.XLOOKUP($A272,'Movimentação'!$B$7:$B$1006,'Movimentação'!$E$7:$E$1006,"",0,-1),""))</f>
        <v/>
      </c>
      <c r="K272" s="24" t="str">
        <f t="array" ref="K272">IF($A272="","",IFERROR(_xlfn.XLOOKUP($A272,'Movimentação'!$B$7:$B$1006,'Movimentação'!$G$7:$G$1006,"",0,-1),""))</f>
        <v/>
      </c>
      <c r="L272" s="24" t="str">
        <f t="shared" si="3"/>
        <v/>
      </c>
      <c r="M272" s="17"/>
      <c r="N272" s="30" t="str">
        <f t="array" ref="N272">IF($A272="","",IFERROR(IF(OR($L272="BAIXADO",$L272="FURTADO"),0,INDEX(Listas!$J$2:$J$40,MATCH($B272,Listas!$I$2:$I$40,0))),""))</f>
        <v/>
      </c>
      <c r="P272" s="31" t="str">
        <f t="array" ref="P272">IF($A272="","",IFERROR(_xlfn.XLOOKUP($A272,'Movimentação'!$B$7:$B$1006,'Movimentação'!$F$7:$F$1006,"",0,-1),""))</f>
        <v/>
      </c>
      <c r="Q272" s="31">
        <f>IF(COUNTIFS('Manutenção'!$B$7:$B$1006,$A272,'Manutenção'!$H$7:$H$1006,"EM CONSERTO")&gt;0,1,0)</f>
        <v>0</v>
      </c>
    </row>
    <row r="273" ht="15.0" hidden="1" customHeight="1">
      <c r="A273" s="15"/>
      <c r="B273" s="17"/>
      <c r="C273" s="17"/>
      <c r="D273" s="17"/>
      <c r="E273" s="17"/>
      <c r="F273" s="17"/>
      <c r="G273" s="18"/>
      <c r="H273" s="15"/>
      <c r="I273" s="15"/>
      <c r="J273" s="24" t="str">
        <f t="array" ref="J273">IF($A273="","",IFERROR(_xlfn.XLOOKUP($A273,'Movimentação'!$B$7:$B$1006,'Movimentação'!$E$7:$E$1006,"",0,-1),""))</f>
        <v/>
      </c>
      <c r="K273" s="24" t="str">
        <f t="array" ref="K273">IF($A273="","",IFERROR(_xlfn.XLOOKUP($A273,'Movimentação'!$B$7:$B$1006,'Movimentação'!$G$7:$G$1006,"",0,-1),""))</f>
        <v/>
      </c>
      <c r="L273" s="24" t="str">
        <f t="shared" si="3"/>
        <v/>
      </c>
      <c r="M273" s="17"/>
      <c r="N273" s="30" t="str">
        <f t="array" ref="N273">IF($A273="","",IFERROR(IF(OR($L273="BAIXADO",$L273="FURTADO"),0,INDEX(Listas!$J$2:$J$40,MATCH($B273,Listas!$I$2:$I$40,0))),""))</f>
        <v/>
      </c>
      <c r="P273" s="31" t="str">
        <f t="array" ref="P273">IF($A273="","",IFERROR(_xlfn.XLOOKUP($A273,'Movimentação'!$B$7:$B$1006,'Movimentação'!$F$7:$F$1006,"",0,-1),""))</f>
        <v/>
      </c>
      <c r="Q273" s="31">
        <f>IF(COUNTIFS('Manutenção'!$B$7:$B$1006,$A273,'Manutenção'!$H$7:$H$1006,"EM CONSERTO")&gt;0,1,0)</f>
        <v>0</v>
      </c>
    </row>
    <row r="274" ht="15.0" hidden="1" customHeight="1">
      <c r="A274" s="15"/>
      <c r="B274" s="17"/>
      <c r="C274" s="17"/>
      <c r="D274" s="17"/>
      <c r="E274" s="17"/>
      <c r="F274" s="17"/>
      <c r="G274" s="18"/>
      <c r="H274" s="15"/>
      <c r="I274" s="15"/>
      <c r="J274" s="24" t="str">
        <f t="array" ref="J274">IF($A274="","",IFERROR(_xlfn.XLOOKUP($A274,'Movimentação'!$B$7:$B$1006,'Movimentação'!$E$7:$E$1006,"",0,-1),""))</f>
        <v/>
      </c>
      <c r="K274" s="24" t="str">
        <f t="array" ref="K274">IF($A274="","",IFERROR(_xlfn.XLOOKUP($A274,'Movimentação'!$B$7:$B$1006,'Movimentação'!$G$7:$G$1006,"",0,-1),""))</f>
        <v/>
      </c>
      <c r="L274" s="24" t="str">
        <f t="shared" si="3"/>
        <v/>
      </c>
      <c r="M274" s="17"/>
      <c r="N274" s="30" t="str">
        <f t="array" ref="N274">IF($A274="","",IFERROR(IF(OR($L274="BAIXADO",$L274="FURTADO"),0,INDEX(Listas!$J$2:$J$40,MATCH($B274,Listas!$I$2:$I$40,0))),""))</f>
        <v/>
      </c>
      <c r="P274" s="31" t="str">
        <f t="array" ref="P274">IF($A274="","",IFERROR(_xlfn.XLOOKUP($A274,'Movimentação'!$B$7:$B$1006,'Movimentação'!$F$7:$F$1006,"",0,-1),""))</f>
        <v/>
      </c>
      <c r="Q274" s="31">
        <f>IF(COUNTIFS('Manutenção'!$B$7:$B$1006,$A274,'Manutenção'!$H$7:$H$1006,"EM CONSERTO")&gt;0,1,0)</f>
        <v>0</v>
      </c>
    </row>
    <row r="275" ht="15.0" hidden="1" customHeight="1">
      <c r="A275" s="15"/>
      <c r="B275" s="17"/>
      <c r="C275" s="17"/>
      <c r="D275" s="17"/>
      <c r="E275" s="17"/>
      <c r="F275" s="17"/>
      <c r="G275" s="18"/>
      <c r="H275" s="15"/>
      <c r="I275" s="15"/>
      <c r="J275" s="24" t="str">
        <f t="array" ref="J275">IF($A275="","",IFERROR(_xlfn.XLOOKUP($A275,'Movimentação'!$B$7:$B$1006,'Movimentação'!$E$7:$E$1006,"",0,-1),""))</f>
        <v/>
      </c>
      <c r="K275" s="24" t="str">
        <f t="array" ref="K275">IF($A275="","",IFERROR(_xlfn.XLOOKUP($A275,'Movimentação'!$B$7:$B$1006,'Movimentação'!$G$7:$G$1006,"",0,-1),""))</f>
        <v/>
      </c>
      <c r="L275" s="24" t="str">
        <f t="shared" si="3"/>
        <v/>
      </c>
      <c r="M275" s="17"/>
      <c r="N275" s="30" t="str">
        <f t="array" ref="N275">IF($A275="","",IFERROR(IF(OR($L275="BAIXADO",$L275="FURTADO"),0,INDEX(Listas!$J$2:$J$40,MATCH($B275,Listas!$I$2:$I$40,0))),""))</f>
        <v/>
      </c>
      <c r="P275" s="31" t="str">
        <f t="array" ref="P275">IF($A275="","",IFERROR(_xlfn.XLOOKUP($A275,'Movimentação'!$B$7:$B$1006,'Movimentação'!$F$7:$F$1006,"",0,-1),""))</f>
        <v/>
      </c>
      <c r="Q275" s="31">
        <f>IF(COUNTIFS('Manutenção'!$B$7:$B$1006,$A275,'Manutenção'!$H$7:$H$1006,"EM CONSERTO")&gt;0,1,0)</f>
        <v>0</v>
      </c>
    </row>
    <row r="276" ht="15.0" hidden="1" customHeight="1">
      <c r="A276" s="15"/>
      <c r="B276" s="17"/>
      <c r="C276" s="17"/>
      <c r="D276" s="17"/>
      <c r="E276" s="17"/>
      <c r="F276" s="17"/>
      <c r="G276" s="18"/>
      <c r="H276" s="15"/>
      <c r="I276" s="15"/>
      <c r="J276" s="24" t="str">
        <f t="array" ref="J276">IF($A276="","",IFERROR(_xlfn.XLOOKUP($A276,'Movimentação'!$B$7:$B$1006,'Movimentação'!$E$7:$E$1006,"",0,-1),""))</f>
        <v/>
      </c>
      <c r="K276" s="24" t="str">
        <f t="array" ref="K276">IF($A276="","",IFERROR(_xlfn.XLOOKUP($A276,'Movimentação'!$B$7:$B$1006,'Movimentação'!$G$7:$G$1006,"",0,-1),""))</f>
        <v/>
      </c>
      <c r="L276" s="24" t="str">
        <f t="shared" si="3"/>
        <v/>
      </c>
      <c r="M276" s="17"/>
      <c r="N276" s="30" t="str">
        <f t="array" ref="N276">IF($A276="","",IFERROR(IF(OR($L276="BAIXADO",$L276="FURTADO"),0,INDEX(Listas!$J$2:$J$40,MATCH($B276,Listas!$I$2:$I$40,0))),""))</f>
        <v/>
      </c>
      <c r="P276" s="31" t="str">
        <f t="array" ref="P276">IF($A276="","",IFERROR(_xlfn.XLOOKUP($A276,'Movimentação'!$B$7:$B$1006,'Movimentação'!$F$7:$F$1006,"",0,-1),""))</f>
        <v/>
      </c>
      <c r="Q276" s="31">
        <f>IF(COUNTIFS('Manutenção'!$B$7:$B$1006,$A276,'Manutenção'!$H$7:$H$1006,"EM CONSERTO")&gt;0,1,0)</f>
        <v>0</v>
      </c>
    </row>
    <row r="277" ht="15.0" hidden="1" customHeight="1">
      <c r="A277" s="15"/>
      <c r="B277" s="17"/>
      <c r="C277" s="17"/>
      <c r="D277" s="17"/>
      <c r="E277" s="17"/>
      <c r="F277" s="17"/>
      <c r="G277" s="18"/>
      <c r="H277" s="15"/>
      <c r="I277" s="15"/>
      <c r="J277" s="24" t="str">
        <f t="array" ref="J277">IF($A277="","",IFERROR(_xlfn.XLOOKUP($A277,'Movimentação'!$B$7:$B$1006,'Movimentação'!$E$7:$E$1006,"",0,-1),""))</f>
        <v/>
      </c>
      <c r="K277" s="24" t="str">
        <f t="array" ref="K277">IF($A277="","",IFERROR(_xlfn.XLOOKUP($A277,'Movimentação'!$B$7:$B$1006,'Movimentação'!$G$7:$G$1006,"",0,-1),""))</f>
        <v/>
      </c>
      <c r="L277" s="24" t="str">
        <f t="shared" si="3"/>
        <v/>
      </c>
      <c r="M277" s="17"/>
      <c r="N277" s="30" t="str">
        <f t="array" ref="N277">IF($A277="","",IFERROR(IF(OR($L277="BAIXADO",$L277="FURTADO"),0,INDEX(Listas!$J$2:$J$40,MATCH($B277,Listas!$I$2:$I$40,0))),""))</f>
        <v/>
      </c>
      <c r="P277" s="31" t="str">
        <f t="array" ref="P277">IF($A277="","",IFERROR(_xlfn.XLOOKUP($A277,'Movimentação'!$B$7:$B$1006,'Movimentação'!$F$7:$F$1006,"",0,-1),""))</f>
        <v/>
      </c>
      <c r="Q277" s="31">
        <f>IF(COUNTIFS('Manutenção'!$B$7:$B$1006,$A277,'Manutenção'!$H$7:$H$1006,"EM CONSERTO")&gt;0,1,0)</f>
        <v>0</v>
      </c>
    </row>
    <row r="278" ht="15.0" hidden="1" customHeight="1">
      <c r="A278" s="15"/>
      <c r="B278" s="17"/>
      <c r="C278" s="17"/>
      <c r="D278" s="17"/>
      <c r="E278" s="17"/>
      <c r="F278" s="17"/>
      <c r="G278" s="18"/>
      <c r="H278" s="15"/>
      <c r="I278" s="15"/>
      <c r="J278" s="24" t="str">
        <f t="array" ref="J278">IF($A278="","",IFERROR(_xlfn.XLOOKUP($A278,'Movimentação'!$B$7:$B$1006,'Movimentação'!$E$7:$E$1006,"",0,-1),""))</f>
        <v/>
      </c>
      <c r="K278" s="24" t="str">
        <f t="array" ref="K278">IF($A278="","",IFERROR(_xlfn.XLOOKUP($A278,'Movimentação'!$B$7:$B$1006,'Movimentação'!$G$7:$G$1006,"",0,-1),""))</f>
        <v/>
      </c>
      <c r="L278" s="24" t="str">
        <f t="shared" si="3"/>
        <v/>
      </c>
      <c r="M278" s="17"/>
      <c r="N278" s="30" t="str">
        <f t="array" ref="N278">IF($A278="","",IFERROR(IF(OR($L278="BAIXADO",$L278="FURTADO"),0,INDEX(Listas!$J$2:$J$40,MATCH($B278,Listas!$I$2:$I$40,0))),""))</f>
        <v/>
      </c>
      <c r="P278" s="31" t="str">
        <f t="array" ref="P278">IF($A278="","",IFERROR(_xlfn.XLOOKUP($A278,'Movimentação'!$B$7:$B$1006,'Movimentação'!$F$7:$F$1006,"",0,-1),""))</f>
        <v/>
      </c>
      <c r="Q278" s="31">
        <f>IF(COUNTIFS('Manutenção'!$B$7:$B$1006,$A278,'Manutenção'!$H$7:$H$1006,"EM CONSERTO")&gt;0,1,0)</f>
        <v>0</v>
      </c>
    </row>
    <row r="279" ht="15.0" hidden="1" customHeight="1">
      <c r="A279" s="15"/>
      <c r="B279" s="17"/>
      <c r="C279" s="17"/>
      <c r="D279" s="17"/>
      <c r="E279" s="17"/>
      <c r="F279" s="17"/>
      <c r="G279" s="18"/>
      <c r="H279" s="15"/>
      <c r="I279" s="15"/>
      <c r="J279" s="24" t="str">
        <f t="array" ref="J279">IF($A279="","",IFERROR(_xlfn.XLOOKUP($A279,'Movimentação'!$B$7:$B$1006,'Movimentação'!$E$7:$E$1006,"",0,-1),""))</f>
        <v/>
      </c>
      <c r="K279" s="24" t="str">
        <f t="array" ref="K279">IF($A279="","",IFERROR(_xlfn.XLOOKUP($A279,'Movimentação'!$B$7:$B$1006,'Movimentação'!$G$7:$G$1006,"",0,-1),""))</f>
        <v/>
      </c>
      <c r="L279" s="24" t="str">
        <f t="shared" si="3"/>
        <v/>
      </c>
      <c r="M279" s="17"/>
      <c r="N279" s="30" t="str">
        <f t="array" ref="N279">IF($A279="","",IFERROR(IF(OR($L279="BAIXADO",$L279="FURTADO"),0,INDEX(Listas!$J$2:$J$40,MATCH($B279,Listas!$I$2:$I$40,0))),""))</f>
        <v/>
      </c>
      <c r="P279" s="31" t="str">
        <f t="array" ref="P279">IF($A279="","",IFERROR(_xlfn.XLOOKUP($A279,'Movimentação'!$B$7:$B$1006,'Movimentação'!$F$7:$F$1006,"",0,-1),""))</f>
        <v/>
      </c>
      <c r="Q279" s="31">
        <f>IF(COUNTIFS('Manutenção'!$B$7:$B$1006,$A279,'Manutenção'!$H$7:$H$1006,"EM CONSERTO")&gt;0,1,0)</f>
        <v>0</v>
      </c>
    </row>
    <row r="280" ht="15.0" hidden="1" customHeight="1">
      <c r="A280" s="15"/>
      <c r="B280" s="17"/>
      <c r="C280" s="17"/>
      <c r="D280" s="17"/>
      <c r="E280" s="17"/>
      <c r="F280" s="17"/>
      <c r="G280" s="18"/>
      <c r="H280" s="15"/>
      <c r="I280" s="15"/>
      <c r="J280" s="24" t="str">
        <f t="array" ref="J280">IF($A280="","",IFERROR(_xlfn.XLOOKUP($A280,'Movimentação'!$B$7:$B$1006,'Movimentação'!$E$7:$E$1006,"",0,-1),""))</f>
        <v/>
      </c>
      <c r="K280" s="24" t="str">
        <f t="array" ref="K280">IF($A280="","",IFERROR(_xlfn.XLOOKUP($A280,'Movimentação'!$B$7:$B$1006,'Movimentação'!$G$7:$G$1006,"",0,-1),""))</f>
        <v/>
      </c>
      <c r="L280" s="24" t="str">
        <f t="shared" si="3"/>
        <v/>
      </c>
      <c r="M280" s="17"/>
      <c r="N280" s="30" t="str">
        <f t="array" ref="N280">IF($A280="","",IFERROR(IF(OR($L280="BAIXADO",$L280="FURTADO"),0,INDEX(Listas!$J$2:$J$40,MATCH($B280,Listas!$I$2:$I$40,0))),""))</f>
        <v/>
      </c>
      <c r="P280" s="31" t="str">
        <f t="array" ref="P280">IF($A280="","",IFERROR(_xlfn.XLOOKUP($A280,'Movimentação'!$B$7:$B$1006,'Movimentação'!$F$7:$F$1006,"",0,-1),""))</f>
        <v/>
      </c>
      <c r="Q280" s="31">
        <f>IF(COUNTIFS('Manutenção'!$B$7:$B$1006,$A280,'Manutenção'!$H$7:$H$1006,"EM CONSERTO")&gt;0,1,0)</f>
        <v>0</v>
      </c>
    </row>
    <row r="281" ht="15.0" hidden="1" customHeight="1">
      <c r="A281" s="15"/>
      <c r="B281" s="17"/>
      <c r="C281" s="17"/>
      <c r="D281" s="17"/>
      <c r="E281" s="17"/>
      <c r="F281" s="17"/>
      <c r="G281" s="18"/>
      <c r="H281" s="15"/>
      <c r="I281" s="15"/>
      <c r="J281" s="24" t="str">
        <f t="array" ref="J281">IF($A281="","",IFERROR(_xlfn.XLOOKUP($A281,'Movimentação'!$B$7:$B$1006,'Movimentação'!$E$7:$E$1006,"",0,-1),""))</f>
        <v/>
      </c>
      <c r="K281" s="24" t="str">
        <f t="array" ref="K281">IF($A281="","",IFERROR(_xlfn.XLOOKUP($A281,'Movimentação'!$B$7:$B$1006,'Movimentação'!$G$7:$G$1006,"",0,-1),""))</f>
        <v/>
      </c>
      <c r="L281" s="24" t="str">
        <f t="shared" si="3"/>
        <v/>
      </c>
      <c r="M281" s="17"/>
      <c r="N281" s="30" t="str">
        <f t="array" ref="N281">IF($A281="","",IFERROR(IF(OR($L281="BAIXADO",$L281="FURTADO"),0,INDEX(Listas!$J$2:$J$40,MATCH($B281,Listas!$I$2:$I$40,0))),""))</f>
        <v/>
      </c>
      <c r="P281" s="31" t="str">
        <f t="array" ref="P281">IF($A281="","",IFERROR(_xlfn.XLOOKUP($A281,'Movimentação'!$B$7:$B$1006,'Movimentação'!$F$7:$F$1006,"",0,-1),""))</f>
        <v/>
      </c>
      <c r="Q281" s="31">
        <f>IF(COUNTIFS('Manutenção'!$B$7:$B$1006,$A281,'Manutenção'!$H$7:$H$1006,"EM CONSERTO")&gt;0,1,0)</f>
        <v>0</v>
      </c>
    </row>
    <row r="282" ht="15.0" hidden="1" customHeight="1">
      <c r="A282" s="15"/>
      <c r="B282" s="17"/>
      <c r="C282" s="17"/>
      <c r="D282" s="17"/>
      <c r="E282" s="17"/>
      <c r="F282" s="17"/>
      <c r="G282" s="18"/>
      <c r="H282" s="15"/>
      <c r="I282" s="15"/>
      <c r="J282" s="24" t="str">
        <f t="array" ref="J282">IF($A282="","",IFERROR(_xlfn.XLOOKUP($A282,'Movimentação'!$B$7:$B$1006,'Movimentação'!$E$7:$E$1006,"",0,-1),""))</f>
        <v/>
      </c>
      <c r="K282" s="24" t="str">
        <f t="array" ref="K282">IF($A282="","",IFERROR(_xlfn.XLOOKUP($A282,'Movimentação'!$B$7:$B$1006,'Movimentação'!$G$7:$G$1006,"",0,-1),""))</f>
        <v/>
      </c>
      <c r="L282" s="24" t="str">
        <f t="shared" si="3"/>
        <v/>
      </c>
      <c r="M282" s="17"/>
      <c r="N282" s="30" t="str">
        <f t="array" ref="N282">IF($A282="","",IFERROR(IF(OR($L282="BAIXADO",$L282="FURTADO"),0,INDEX(Listas!$J$2:$J$40,MATCH($B282,Listas!$I$2:$I$40,0))),""))</f>
        <v/>
      </c>
      <c r="P282" s="31" t="str">
        <f t="array" ref="P282">IF($A282="","",IFERROR(_xlfn.XLOOKUP($A282,'Movimentação'!$B$7:$B$1006,'Movimentação'!$F$7:$F$1006,"",0,-1),""))</f>
        <v/>
      </c>
      <c r="Q282" s="31">
        <f>IF(COUNTIFS('Manutenção'!$B$7:$B$1006,$A282,'Manutenção'!$H$7:$H$1006,"EM CONSERTO")&gt;0,1,0)</f>
        <v>0</v>
      </c>
    </row>
    <row r="283" ht="15.0" hidden="1" customHeight="1">
      <c r="A283" s="15"/>
      <c r="B283" s="17"/>
      <c r="C283" s="17"/>
      <c r="D283" s="17"/>
      <c r="E283" s="17"/>
      <c r="F283" s="17"/>
      <c r="G283" s="18"/>
      <c r="H283" s="15"/>
      <c r="I283" s="15"/>
      <c r="J283" s="24" t="str">
        <f t="array" ref="J283">IF($A283="","",IFERROR(_xlfn.XLOOKUP($A283,'Movimentação'!$B$7:$B$1006,'Movimentação'!$E$7:$E$1006,"",0,-1),""))</f>
        <v/>
      </c>
      <c r="K283" s="24" t="str">
        <f t="array" ref="K283">IF($A283="","",IFERROR(_xlfn.XLOOKUP($A283,'Movimentação'!$B$7:$B$1006,'Movimentação'!$G$7:$G$1006,"",0,-1),""))</f>
        <v/>
      </c>
      <c r="L283" s="24" t="str">
        <f t="shared" si="3"/>
        <v/>
      </c>
      <c r="M283" s="17"/>
      <c r="N283" s="30" t="str">
        <f t="array" ref="N283">IF($A283="","",IFERROR(IF(OR($L283="BAIXADO",$L283="FURTADO"),0,INDEX(Listas!$J$2:$J$40,MATCH($B283,Listas!$I$2:$I$40,0))),""))</f>
        <v/>
      </c>
      <c r="P283" s="31" t="str">
        <f t="array" ref="P283">IF($A283="","",IFERROR(_xlfn.XLOOKUP($A283,'Movimentação'!$B$7:$B$1006,'Movimentação'!$F$7:$F$1006,"",0,-1),""))</f>
        <v/>
      </c>
      <c r="Q283" s="31">
        <f>IF(COUNTIFS('Manutenção'!$B$7:$B$1006,$A283,'Manutenção'!$H$7:$H$1006,"EM CONSERTO")&gt;0,1,0)</f>
        <v>0</v>
      </c>
    </row>
    <row r="284" ht="15.0" hidden="1" customHeight="1">
      <c r="A284" s="15"/>
      <c r="B284" s="17"/>
      <c r="C284" s="17"/>
      <c r="D284" s="17"/>
      <c r="E284" s="17"/>
      <c r="F284" s="17"/>
      <c r="G284" s="18"/>
      <c r="H284" s="15"/>
      <c r="I284" s="15"/>
      <c r="J284" s="24" t="str">
        <f t="array" ref="J284">IF($A284="","",IFERROR(_xlfn.XLOOKUP($A284,'Movimentação'!$B$7:$B$1006,'Movimentação'!$E$7:$E$1006,"",0,-1),""))</f>
        <v/>
      </c>
      <c r="K284" s="24" t="str">
        <f t="array" ref="K284">IF($A284="","",IFERROR(_xlfn.XLOOKUP($A284,'Movimentação'!$B$7:$B$1006,'Movimentação'!$G$7:$G$1006,"",0,-1),""))</f>
        <v/>
      </c>
      <c r="L284" s="24" t="str">
        <f t="shared" si="3"/>
        <v/>
      </c>
      <c r="M284" s="17"/>
      <c r="N284" s="30" t="str">
        <f t="array" ref="N284">IF($A284="","",IFERROR(IF(OR($L284="BAIXADO",$L284="FURTADO"),0,INDEX(Listas!$J$2:$J$40,MATCH($B284,Listas!$I$2:$I$40,0))),""))</f>
        <v/>
      </c>
      <c r="P284" s="31" t="str">
        <f t="array" ref="P284">IF($A284="","",IFERROR(_xlfn.XLOOKUP($A284,'Movimentação'!$B$7:$B$1006,'Movimentação'!$F$7:$F$1006,"",0,-1),""))</f>
        <v/>
      </c>
      <c r="Q284" s="31">
        <f>IF(COUNTIFS('Manutenção'!$B$7:$B$1006,$A284,'Manutenção'!$H$7:$H$1006,"EM CONSERTO")&gt;0,1,0)</f>
        <v>0</v>
      </c>
    </row>
    <row r="285" ht="15.0" hidden="1" customHeight="1">
      <c r="A285" s="15"/>
      <c r="B285" s="17"/>
      <c r="C285" s="17"/>
      <c r="D285" s="17"/>
      <c r="E285" s="17"/>
      <c r="F285" s="17"/>
      <c r="G285" s="18"/>
      <c r="H285" s="15"/>
      <c r="I285" s="15"/>
      <c r="J285" s="24" t="str">
        <f t="array" ref="J285">IF($A285="","",IFERROR(_xlfn.XLOOKUP($A285,'Movimentação'!$B$7:$B$1006,'Movimentação'!$E$7:$E$1006,"",0,-1),""))</f>
        <v/>
      </c>
      <c r="K285" s="24" t="str">
        <f t="array" ref="K285">IF($A285="","",IFERROR(_xlfn.XLOOKUP($A285,'Movimentação'!$B$7:$B$1006,'Movimentação'!$G$7:$G$1006,"",0,-1),""))</f>
        <v/>
      </c>
      <c r="L285" s="24" t="str">
        <f t="shared" si="3"/>
        <v/>
      </c>
      <c r="M285" s="17"/>
      <c r="N285" s="30" t="str">
        <f t="array" ref="N285">IF($A285="","",IFERROR(IF(OR($L285="BAIXADO",$L285="FURTADO"),0,INDEX(Listas!$J$2:$J$40,MATCH($B285,Listas!$I$2:$I$40,0))),""))</f>
        <v/>
      </c>
      <c r="P285" s="31" t="str">
        <f t="array" ref="P285">IF($A285="","",IFERROR(_xlfn.XLOOKUP($A285,'Movimentação'!$B$7:$B$1006,'Movimentação'!$F$7:$F$1006,"",0,-1),""))</f>
        <v/>
      </c>
      <c r="Q285" s="31">
        <f>IF(COUNTIFS('Manutenção'!$B$7:$B$1006,$A285,'Manutenção'!$H$7:$H$1006,"EM CONSERTO")&gt;0,1,0)</f>
        <v>0</v>
      </c>
    </row>
    <row r="286" ht="15.0" hidden="1" customHeight="1">
      <c r="A286" s="15"/>
      <c r="B286" s="17"/>
      <c r="C286" s="17"/>
      <c r="D286" s="17"/>
      <c r="E286" s="17"/>
      <c r="F286" s="17"/>
      <c r="G286" s="18"/>
      <c r="H286" s="15"/>
      <c r="I286" s="15"/>
      <c r="J286" s="24" t="str">
        <f t="array" ref="J286">IF($A286="","",IFERROR(_xlfn.XLOOKUP($A286,'Movimentação'!$B$7:$B$1006,'Movimentação'!$E$7:$E$1006,"",0,-1),""))</f>
        <v/>
      </c>
      <c r="K286" s="24" t="str">
        <f t="array" ref="K286">IF($A286="","",IFERROR(_xlfn.XLOOKUP($A286,'Movimentação'!$B$7:$B$1006,'Movimentação'!$G$7:$G$1006,"",0,-1),""))</f>
        <v/>
      </c>
      <c r="L286" s="24" t="str">
        <f t="shared" si="3"/>
        <v/>
      </c>
      <c r="M286" s="17"/>
      <c r="N286" s="30" t="str">
        <f t="array" ref="N286">IF($A286="","",IFERROR(IF(OR($L286="BAIXADO",$L286="FURTADO"),0,INDEX(Listas!$J$2:$J$40,MATCH($B286,Listas!$I$2:$I$40,0))),""))</f>
        <v/>
      </c>
      <c r="P286" s="31" t="str">
        <f t="array" ref="P286">IF($A286="","",IFERROR(_xlfn.XLOOKUP($A286,'Movimentação'!$B$7:$B$1006,'Movimentação'!$F$7:$F$1006,"",0,-1),""))</f>
        <v/>
      </c>
      <c r="Q286" s="31">
        <f>IF(COUNTIFS('Manutenção'!$B$7:$B$1006,$A286,'Manutenção'!$H$7:$H$1006,"EM CONSERTO")&gt;0,1,0)</f>
        <v>0</v>
      </c>
    </row>
    <row r="287" ht="15.0" hidden="1" customHeight="1">
      <c r="A287" s="15"/>
      <c r="B287" s="17"/>
      <c r="C287" s="17"/>
      <c r="D287" s="17"/>
      <c r="E287" s="17"/>
      <c r="F287" s="17"/>
      <c r="G287" s="18"/>
      <c r="H287" s="15"/>
      <c r="I287" s="15"/>
      <c r="J287" s="24" t="str">
        <f t="array" ref="J287">IF($A287="","",IFERROR(_xlfn.XLOOKUP($A287,'Movimentação'!$B$7:$B$1006,'Movimentação'!$E$7:$E$1006,"",0,-1),""))</f>
        <v/>
      </c>
      <c r="K287" s="24" t="str">
        <f t="array" ref="K287">IF($A287="","",IFERROR(_xlfn.XLOOKUP($A287,'Movimentação'!$B$7:$B$1006,'Movimentação'!$G$7:$G$1006,"",0,-1),""))</f>
        <v/>
      </c>
      <c r="L287" s="24" t="str">
        <f t="shared" si="3"/>
        <v/>
      </c>
      <c r="M287" s="17"/>
      <c r="N287" s="30" t="str">
        <f t="array" ref="N287">IF($A287="","",IFERROR(IF(OR($L287="BAIXADO",$L287="FURTADO"),0,INDEX(Listas!$J$2:$J$40,MATCH($B287,Listas!$I$2:$I$40,0))),""))</f>
        <v/>
      </c>
      <c r="P287" s="31" t="str">
        <f t="array" ref="P287">IF($A287="","",IFERROR(_xlfn.XLOOKUP($A287,'Movimentação'!$B$7:$B$1006,'Movimentação'!$F$7:$F$1006,"",0,-1),""))</f>
        <v/>
      </c>
      <c r="Q287" s="31">
        <f>IF(COUNTIFS('Manutenção'!$B$7:$B$1006,$A287,'Manutenção'!$H$7:$H$1006,"EM CONSERTO")&gt;0,1,0)</f>
        <v>0</v>
      </c>
    </row>
    <row r="288" ht="15.0" hidden="1" customHeight="1">
      <c r="A288" s="15"/>
      <c r="B288" s="17"/>
      <c r="C288" s="17"/>
      <c r="D288" s="17"/>
      <c r="E288" s="17"/>
      <c r="F288" s="17"/>
      <c r="G288" s="18"/>
      <c r="H288" s="15"/>
      <c r="I288" s="15"/>
      <c r="J288" s="24" t="str">
        <f t="array" ref="J288">IF($A288="","",IFERROR(_xlfn.XLOOKUP($A288,'Movimentação'!$B$7:$B$1006,'Movimentação'!$E$7:$E$1006,"",0,-1),""))</f>
        <v/>
      </c>
      <c r="K288" s="24" t="str">
        <f t="array" ref="K288">IF($A288="","",IFERROR(_xlfn.XLOOKUP($A288,'Movimentação'!$B$7:$B$1006,'Movimentação'!$G$7:$G$1006,"",0,-1),""))</f>
        <v/>
      </c>
      <c r="L288" s="24" t="str">
        <f t="shared" si="3"/>
        <v/>
      </c>
      <c r="M288" s="17"/>
      <c r="N288" s="30" t="str">
        <f t="array" ref="N288">IF($A288="","",IFERROR(IF(OR($L288="BAIXADO",$L288="FURTADO"),0,INDEX(Listas!$J$2:$J$40,MATCH($B288,Listas!$I$2:$I$40,0))),""))</f>
        <v/>
      </c>
      <c r="P288" s="31" t="str">
        <f t="array" ref="P288">IF($A288="","",IFERROR(_xlfn.XLOOKUP($A288,'Movimentação'!$B$7:$B$1006,'Movimentação'!$F$7:$F$1006,"",0,-1),""))</f>
        <v/>
      </c>
      <c r="Q288" s="31">
        <f>IF(COUNTIFS('Manutenção'!$B$7:$B$1006,$A288,'Manutenção'!$H$7:$H$1006,"EM CONSERTO")&gt;0,1,0)</f>
        <v>0</v>
      </c>
    </row>
    <row r="289" ht="15.0" hidden="1" customHeight="1">
      <c r="A289" s="15"/>
      <c r="B289" s="17"/>
      <c r="C289" s="17"/>
      <c r="D289" s="17"/>
      <c r="E289" s="17"/>
      <c r="F289" s="17"/>
      <c r="G289" s="18"/>
      <c r="H289" s="15"/>
      <c r="I289" s="15"/>
      <c r="J289" s="24" t="str">
        <f t="array" ref="J289">IF($A289="","",IFERROR(_xlfn.XLOOKUP($A289,'Movimentação'!$B$7:$B$1006,'Movimentação'!$E$7:$E$1006,"",0,-1),""))</f>
        <v/>
      </c>
      <c r="K289" s="24" t="str">
        <f t="array" ref="K289">IF($A289="","",IFERROR(_xlfn.XLOOKUP($A289,'Movimentação'!$B$7:$B$1006,'Movimentação'!$G$7:$G$1006,"",0,-1),""))</f>
        <v/>
      </c>
      <c r="L289" s="24" t="str">
        <f t="shared" si="3"/>
        <v/>
      </c>
      <c r="M289" s="17"/>
      <c r="N289" s="30" t="str">
        <f t="array" ref="N289">IF($A289="","",IFERROR(IF(OR($L289="BAIXADO",$L289="FURTADO"),0,INDEX(Listas!$J$2:$J$40,MATCH($B289,Listas!$I$2:$I$40,0))),""))</f>
        <v/>
      </c>
      <c r="P289" s="31" t="str">
        <f t="array" ref="P289">IF($A289="","",IFERROR(_xlfn.XLOOKUP($A289,'Movimentação'!$B$7:$B$1006,'Movimentação'!$F$7:$F$1006,"",0,-1),""))</f>
        <v/>
      </c>
      <c r="Q289" s="31">
        <f>IF(COUNTIFS('Manutenção'!$B$7:$B$1006,$A289,'Manutenção'!$H$7:$H$1006,"EM CONSERTO")&gt;0,1,0)</f>
        <v>0</v>
      </c>
    </row>
    <row r="290" ht="15.0" hidden="1" customHeight="1">
      <c r="A290" s="15"/>
      <c r="B290" s="17"/>
      <c r="C290" s="17"/>
      <c r="D290" s="17"/>
      <c r="E290" s="17"/>
      <c r="F290" s="17"/>
      <c r="G290" s="18"/>
      <c r="H290" s="15"/>
      <c r="I290" s="15"/>
      <c r="J290" s="24" t="str">
        <f t="array" ref="J290">IF($A290="","",IFERROR(_xlfn.XLOOKUP($A290,'Movimentação'!$B$7:$B$1006,'Movimentação'!$E$7:$E$1006,"",0,-1),""))</f>
        <v/>
      </c>
      <c r="K290" s="24" t="str">
        <f t="array" ref="K290">IF($A290="","",IFERROR(_xlfn.XLOOKUP($A290,'Movimentação'!$B$7:$B$1006,'Movimentação'!$G$7:$G$1006,"",0,-1),""))</f>
        <v/>
      </c>
      <c r="L290" s="24" t="str">
        <f t="shared" si="3"/>
        <v/>
      </c>
      <c r="M290" s="17"/>
      <c r="N290" s="30" t="str">
        <f t="array" ref="N290">IF($A290="","",IFERROR(IF(OR($L290="BAIXADO",$L290="FURTADO"),0,INDEX(Listas!$J$2:$J$40,MATCH($B290,Listas!$I$2:$I$40,0))),""))</f>
        <v/>
      </c>
      <c r="P290" s="31" t="str">
        <f t="array" ref="P290">IF($A290="","",IFERROR(_xlfn.XLOOKUP($A290,'Movimentação'!$B$7:$B$1006,'Movimentação'!$F$7:$F$1006,"",0,-1),""))</f>
        <v/>
      </c>
      <c r="Q290" s="31">
        <f>IF(COUNTIFS('Manutenção'!$B$7:$B$1006,$A290,'Manutenção'!$H$7:$H$1006,"EM CONSERTO")&gt;0,1,0)</f>
        <v>0</v>
      </c>
    </row>
    <row r="291" ht="15.0" hidden="1" customHeight="1">
      <c r="A291" s="15"/>
      <c r="B291" s="17"/>
      <c r="C291" s="17"/>
      <c r="D291" s="17"/>
      <c r="E291" s="17"/>
      <c r="F291" s="17"/>
      <c r="G291" s="18"/>
      <c r="H291" s="15"/>
      <c r="I291" s="15"/>
      <c r="J291" s="24" t="str">
        <f t="array" ref="J291">IF($A291="","",IFERROR(_xlfn.XLOOKUP($A291,'Movimentação'!$B$7:$B$1006,'Movimentação'!$E$7:$E$1006,"",0,-1),""))</f>
        <v/>
      </c>
      <c r="K291" s="24" t="str">
        <f t="array" ref="K291">IF($A291="","",IFERROR(_xlfn.XLOOKUP($A291,'Movimentação'!$B$7:$B$1006,'Movimentação'!$G$7:$G$1006,"",0,-1),""))</f>
        <v/>
      </c>
      <c r="L291" s="24" t="str">
        <f t="shared" si="3"/>
        <v/>
      </c>
      <c r="M291" s="17"/>
      <c r="N291" s="30" t="str">
        <f t="array" ref="N291">IF($A291="","",IFERROR(IF(OR($L291="BAIXADO",$L291="FURTADO"),0,INDEX(Listas!$J$2:$J$40,MATCH($B291,Listas!$I$2:$I$40,0))),""))</f>
        <v/>
      </c>
      <c r="P291" s="31" t="str">
        <f t="array" ref="P291">IF($A291="","",IFERROR(_xlfn.XLOOKUP($A291,'Movimentação'!$B$7:$B$1006,'Movimentação'!$F$7:$F$1006,"",0,-1),""))</f>
        <v/>
      </c>
      <c r="Q291" s="31">
        <f>IF(COUNTIFS('Manutenção'!$B$7:$B$1006,$A291,'Manutenção'!$H$7:$H$1006,"EM CONSERTO")&gt;0,1,0)</f>
        <v>0</v>
      </c>
    </row>
    <row r="292" ht="15.0" hidden="1" customHeight="1">
      <c r="A292" s="15"/>
      <c r="B292" s="17"/>
      <c r="C292" s="17"/>
      <c r="D292" s="17"/>
      <c r="E292" s="17"/>
      <c r="F292" s="17"/>
      <c r="G292" s="18"/>
      <c r="H292" s="15"/>
      <c r="I292" s="15"/>
      <c r="J292" s="24" t="str">
        <f t="array" ref="J292">IF($A292="","",IFERROR(_xlfn.XLOOKUP($A292,'Movimentação'!$B$7:$B$1006,'Movimentação'!$E$7:$E$1006,"",0,-1),""))</f>
        <v/>
      </c>
      <c r="K292" s="24" t="str">
        <f t="array" ref="K292">IF($A292="","",IFERROR(_xlfn.XLOOKUP($A292,'Movimentação'!$B$7:$B$1006,'Movimentação'!$G$7:$G$1006,"",0,-1),""))</f>
        <v/>
      </c>
      <c r="L292" s="24" t="str">
        <f t="shared" si="3"/>
        <v/>
      </c>
      <c r="M292" s="17"/>
      <c r="N292" s="30" t="str">
        <f t="array" ref="N292">IF($A292="","",IFERROR(IF(OR($L292="BAIXADO",$L292="FURTADO"),0,INDEX(Listas!$J$2:$J$40,MATCH($B292,Listas!$I$2:$I$40,0))),""))</f>
        <v/>
      </c>
      <c r="P292" s="31" t="str">
        <f t="array" ref="P292">IF($A292="","",IFERROR(_xlfn.XLOOKUP($A292,'Movimentação'!$B$7:$B$1006,'Movimentação'!$F$7:$F$1006,"",0,-1),""))</f>
        <v/>
      </c>
      <c r="Q292" s="31">
        <f>IF(COUNTIFS('Manutenção'!$B$7:$B$1006,$A292,'Manutenção'!$H$7:$H$1006,"EM CONSERTO")&gt;0,1,0)</f>
        <v>0</v>
      </c>
    </row>
    <row r="293" ht="15.0" hidden="1" customHeight="1">
      <c r="A293" s="15"/>
      <c r="B293" s="17"/>
      <c r="C293" s="17"/>
      <c r="D293" s="17"/>
      <c r="E293" s="17"/>
      <c r="F293" s="17"/>
      <c r="G293" s="18"/>
      <c r="H293" s="15"/>
      <c r="I293" s="15"/>
      <c r="J293" s="24" t="str">
        <f t="array" ref="J293">IF($A293="","",IFERROR(_xlfn.XLOOKUP($A293,'Movimentação'!$B$7:$B$1006,'Movimentação'!$E$7:$E$1006,"",0,-1),""))</f>
        <v/>
      </c>
      <c r="K293" s="24" t="str">
        <f t="array" ref="K293">IF($A293="","",IFERROR(_xlfn.XLOOKUP($A293,'Movimentação'!$B$7:$B$1006,'Movimentação'!$G$7:$G$1006,"",0,-1),""))</f>
        <v/>
      </c>
      <c r="L293" s="24" t="str">
        <f t="shared" si="3"/>
        <v/>
      </c>
      <c r="M293" s="17"/>
      <c r="N293" s="30" t="str">
        <f t="array" ref="N293">IF($A293="","",IFERROR(IF(OR($L293="BAIXADO",$L293="FURTADO"),0,INDEX(Listas!$J$2:$J$40,MATCH($B293,Listas!$I$2:$I$40,0))),""))</f>
        <v/>
      </c>
      <c r="P293" s="31" t="str">
        <f t="array" ref="P293">IF($A293="","",IFERROR(_xlfn.XLOOKUP($A293,'Movimentação'!$B$7:$B$1006,'Movimentação'!$F$7:$F$1006,"",0,-1),""))</f>
        <v/>
      </c>
      <c r="Q293" s="31">
        <f>IF(COUNTIFS('Manutenção'!$B$7:$B$1006,$A293,'Manutenção'!$H$7:$H$1006,"EM CONSERTO")&gt;0,1,0)</f>
        <v>0</v>
      </c>
    </row>
    <row r="294" ht="15.0" hidden="1" customHeight="1">
      <c r="A294" s="15"/>
      <c r="B294" s="17"/>
      <c r="C294" s="17"/>
      <c r="D294" s="17"/>
      <c r="E294" s="17"/>
      <c r="F294" s="17"/>
      <c r="G294" s="18"/>
      <c r="H294" s="15"/>
      <c r="I294" s="15"/>
      <c r="J294" s="24" t="str">
        <f t="array" ref="J294">IF($A294="","",IFERROR(_xlfn.XLOOKUP($A294,'Movimentação'!$B$7:$B$1006,'Movimentação'!$E$7:$E$1006,"",0,-1),""))</f>
        <v/>
      </c>
      <c r="K294" s="24" t="str">
        <f t="array" ref="K294">IF($A294="","",IFERROR(_xlfn.XLOOKUP($A294,'Movimentação'!$B$7:$B$1006,'Movimentação'!$G$7:$G$1006,"",0,-1),""))</f>
        <v/>
      </c>
      <c r="L294" s="24" t="str">
        <f t="shared" si="3"/>
        <v/>
      </c>
      <c r="M294" s="17"/>
      <c r="N294" s="30" t="str">
        <f t="array" ref="N294">IF($A294="","",IFERROR(IF(OR($L294="BAIXADO",$L294="FURTADO"),0,INDEX(Listas!$J$2:$J$40,MATCH($B294,Listas!$I$2:$I$40,0))),""))</f>
        <v/>
      </c>
      <c r="P294" s="31" t="str">
        <f t="array" ref="P294">IF($A294="","",IFERROR(_xlfn.XLOOKUP($A294,'Movimentação'!$B$7:$B$1006,'Movimentação'!$F$7:$F$1006,"",0,-1),""))</f>
        <v/>
      </c>
      <c r="Q294" s="31">
        <f>IF(COUNTIFS('Manutenção'!$B$7:$B$1006,$A294,'Manutenção'!$H$7:$H$1006,"EM CONSERTO")&gt;0,1,0)</f>
        <v>0</v>
      </c>
    </row>
    <row r="295" ht="15.0" hidden="1" customHeight="1">
      <c r="A295" s="15"/>
      <c r="B295" s="17"/>
      <c r="C295" s="17"/>
      <c r="D295" s="17"/>
      <c r="E295" s="17"/>
      <c r="F295" s="17"/>
      <c r="G295" s="18"/>
      <c r="H295" s="15"/>
      <c r="I295" s="15"/>
      <c r="J295" s="24" t="str">
        <f t="array" ref="J295">IF($A295="","",IFERROR(_xlfn.XLOOKUP($A295,'Movimentação'!$B$7:$B$1006,'Movimentação'!$E$7:$E$1006,"",0,-1),""))</f>
        <v/>
      </c>
      <c r="K295" s="24" t="str">
        <f t="array" ref="K295">IF($A295="","",IFERROR(_xlfn.XLOOKUP($A295,'Movimentação'!$B$7:$B$1006,'Movimentação'!$G$7:$G$1006,"",0,-1),""))</f>
        <v/>
      </c>
      <c r="L295" s="24" t="str">
        <f t="shared" si="3"/>
        <v/>
      </c>
      <c r="M295" s="17"/>
      <c r="N295" s="30" t="str">
        <f t="array" ref="N295">IF($A295="","",IFERROR(IF(OR($L295="BAIXADO",$L295="FURTADO"),0,INDEX(Listas!$J$2:$J$40,MATCH($B295,Listas!$I$2:$I$40,0))),""))</f>
        <v/>
      </c>
      <c r="P295" s="31" t="str">
        <f t="array" ref="P295">IF($A295="","",IFERROR(_xlfn.XLOOKUP($A295,'Movimentação'!$B$7:$B$1006,'Movimentação'!$F$7:$F$1006,"",0,-1),""))</f>
        <v/>
      </c>
      <c r="Q295" s="31">
        <f>IF(COUNTIFS('Manutenção'!$B$7:$B$1006,$A295,'Manutenção'!$H$7:$H$1006,"EM CONSERTO")&gt;0,1,0)</f>
        <v>0</v>
      </c>
    </row>
    <row r="296" ht="15.0" hidden="1" customHeight="1">
      <c r="A296" s="15"/>
      <c r="B296" s="17"/>
      <c r="C296" s="17"/>
      <c r="D296" s="17"/>
      <c r="E296" s="17"/>
      <c r="F296" s="17"/>
      <c r="G296" s="18"/>
      <c r="H296" s="15"/>
      <c r="I296" s="15"/>
      <c r="J296" s="24" t="str">
        <f t="array" ref="J296">IF($A296="","",IFERROR(_xlfn.XLOOKUP($A296,'Movimentação'!$B$7:$B$1006,'Movimentação'!$E$7:$E$1006,"",0,-1),""))</f>
        <v/>
      </c>
      <c r="K296" s="24" t="str">
        <f t="array" ref="K296">IF($A296="","",IFERROR(_xlfn.XLOOKUP($A296,'Movimentação'!$B$7:$B$1006,'Movimentação'!$G$7:$G$1006,"",0,-1),""))</f>
        <v/>
      </c>
      <c r="L296" s="24" t="str">
        <f t="shared" si="3"/>
        <v/>
      </c>
      <c r="M296" s="17"/>
      <c r="N296" s="30" t="str">
        <f t="array" ref="N296">IF($A296="","",IFERROR(IF(OR($L296="BAIXADO",$L296="FURTADO"),0,INDEX(Listas!$J$2:$J$40,MATCH($B296,Listas!$I$2:$I$40,0))),""))</f>
        <v/>
      </c>
      <c r="P296" s="31" t="str">
        <f t="array" ref="P296">IF($A296="","",IFERROR(_xlfn.XLOOKUP($A296,'Movimentação'!$B$7:$B$1006,'Movimentação'!$F$7:$F$1006,"",0,-1),""))</f>
        <v/>
      </c>
      <c r="Q296" s="31">
        <f>IF(COUNTIFS('Manutenção'!$B$7:$B$1006,$A296,'Manutenção'!$H$7:$H$1006,"EM CONSERTO")&gt;0,1,0)</f>
        <v>0</v>
      </c>
    </row>
    <row r="297" ht="15.0" hidden="1" customHeight="1">
      <c r="A297" s="15"/>
      <c r="B297" s="17"/>
      <c r="C297" s="17"/>
      <c r="D297" s="17"/>
      <c r="E297" s="17"/>
      <c r="F297" s="17"/>
      <c r="G297" s="18"/>
      <c r="H297" s="15"/>
      <c r="I297" s="15"/>
      <c r="J297" s="24" t="str">
        <f t="array" ref="J297">IF($A297="","",IFERROR(_xlfn.XLOOKUP($A297,'Movimentação'!$B$7:$B$1006,'Movimentação'!$E$7:$E$1006,"",0,-1),""))</f>
        <v/>
      </c>
      <c r="K297" s="24" t="str">
        <f t="array" ref="K297">IF($A297="","",IFERROR(_xlfn.XLOOKUP($A297,'Movimentação'!$B$7:$B$1006,'Movimentação'!$G$7:$G$1006,"",0,-1),""))</f>
        <v/>
      </c>
      <c r="L297" s="24" t="str">
        <f t="shared" si="3"/>
        <v/>
      </c>
      <c r="M297" s="17"/>
      <c r="N297" s="30" t="str">
        <f t="array" ref="N297">IF($A297="","",IFERROR(IF(OR($L297="BAIXADO",$L297="FURTADO"),0,INDEX(Listas!$J$2:$J$40,MATCH($B297,Listas!$I$2:$I$40,0))),""))</f>
        <v/>
      </c>
      <c r="P297" s="31" t="str">
        <f t="array" ref="P297">IF($A297="","",IFERROR(_xlfn.XLOOKUP($A297,'Movimentação'!$B$7:$B$1006,'Movimentação'!$F$7:$F$1006,"",0,-1),""))</f>
        <v/>
      </c>
      <c r="Q297" s="31">
        <f>IF(COUNTIFS('Manutenção'!$B$7:$B$1006,$A297,'Manutenção'!$H$7:$H$1006,"EM CONSERTO")&gt;0,1,0)</f>
        <v>0</v>
      </c>
    </row>
    <row r="298" ht="15.0" hidden="1" customHeight="1">
      <c r="A298" s="15"/>
      <c r="B298" s="17"/>
      <c r="C298" s="17"/>
      <c r="D298" s="17"/>
      <c r="E298" s="17"/>
      <c r="F298" s="17"/>
      <c r="G298" s="18"/>
      <c r="H298" s="15"/>
      <c r="I298" s="15"/>
      <c r="J298" s="24" t="str">
        <f t="array" ref="J298">IF($A298="","",IFERROR(_xlfn.XLOOKUP($A298,'Movimentação'!$B$7:$B$1006,'Movimentação'!$E$7:$E$1006,"",0,-1),""))</f>
        <v/>
      </c>
      <c r="K298" s="24" t="str">
        <f t="array" ref="K298">IF($A298="","",IFERROR(_xlfn.XLOOKUP($A298,'Movimentação'!$B$7:$B$1006,'Movimentação'!$G$7:$G$1006,"",0,-1),""))</f>
        <v/>
      </c>
      <c r="L298" s="24" t="str">
        <f t="shared" si="3"/>
        <v/>
      </c>
      <c r="M298" s="17"/>
      <c r="N298" s="30" t="str">
        <f t="array" ref="N298">IF($A298="","",IFERROR(IF(OR($L298="BAIXADO",$L298="FURTADO"),0,INDEX(Listas!$J$2:$J$40,MATCH($B298,Listas!$I$2:$I$40,0))),""))</f>
        <v/>
      </c>
      <c r="P298" s="31" t="str">
        <f t="array" ref="P298">IF($A298="","",IFERROR(_xlfn.XLOOKUP($A298,'Movimentação'!$B$7:$B$1006,'Movimentação'!$F$7:$F$1006,"",0,-1),""))</f>
        <v/>
      </c>
      <c r="Q298" s="31">
        <f>IF(COUNTIFS('Manutenção'!$B$7:$B$1006,$A298,'Manutenção'!$H$7:$H$1006,"EM CONSERTO")&gt;0,1,0)</f>
        <v>0</v>
      </c>
    </row>
    <row r="299" ht="15.0" hidden="1" customHeight="1">
      <c r="A299" s="15"/>
      <c r="B299" s="17"/>
      <c r="C299" s="17"/>
      <c r="D299" s="17"/>
      <c r="E299" s="17"/>
      <c r="F299" s="17"/>
      <c r="G299" s="18"/>
      <c r="H299" s="15"/>
      <c r="I299" s="15"/>
      <c r="J299" s="24" t="str">
        <f t="array" ref="J299">IF($A299="","",IFERROR(_xlfn.XLOOKUP($A299,'Movimentação'!$B$7:$B$1006,'Movimentação'!$E$7:$E$1006,"",0,-1),""))</f>
        <v/>
      </c>
      <c r="K299" s="24" t="str">
        <f t="array" ref="K299">IF($A299="","",IFERROR(_xlfn.XLOOKUP($A299,'Movimentação'!$B$7:$B$1006,'Movimentação'!$G$7:$G$1006,"",0,-1),""))</f>
        <v/>
      </c>
      <c r="L299" s="24" t="str">
        <f t="shared" si="3"/>
        <v/>
      </c>
      <c r="M299" s="17"/>
      <c r="N299" s="30" t="str">
        <f t="array" ref="N299">IF($A299="","",IFERROR(IF(OR($L299="BAIXADO",$L299="FURTADO"),0,INDEX(Listas!$J$2:$J$40,MATCH($B299,Listas!$I$2:$I$40,0))),""))</f>
        <v/>
      </c>
      <c r="P299" s="31" t="str">
        <f t="array" ref="P299">IF($A299="","",IFERROR(_xlfn.XLOOKUP($A299,'Movimentação'!$B$7:$B$1006,'Movimentação'!$F$7:$F$1006,"",0,-1),""))</f>
        <v/>
      </c>
      <c r="Q299" s="31">
        <f>IF(COUNTIFS('Manutenção'!$B$7:$B$1006,$A299,'Manutenção'!$H$7:$H$1006,"EM CONSERTO")&gt;0,1,0)</f>
        <v>0</v>
      </c>
    </row>
    <row r="300" ht="15.0" hidden="1" customHeight="1">
      <c r="A300" s="15"/>
      <c r="B300" s="17"/>
      <c r="C300" s="17"/>
      <c r="D300" s="17"/>
      <c r="E300" s="17"/>
      <c r="F300" s="17"/>
      <c r="G300" s="18"/>
      <c r="H300" s="15"/>
      <c r="I300" s="15"/>
      <c r="J300" s="24" t="str">
        <f t="array" ref="J300">IF($A300="","",IFERROR(_xlfn.XLOOKUP($A300,'Movimentação'!$B$7:$B$1006,'Movimentação'!$E$7:$E$1006,"",0,-1),""))</f>
        <v/>
      </c>
      <c r="K300" s="24" t="str">
        <f t="array" ref="K300">IF($A300="","",IFERROR(_xlfn.XLOOKUP($A300,'Movimentação'!$B$7:$B$1006,'Movimentação'!$G$7:$G$1006,"",0,-1),""))</f>
        <v/>
      </c>
      <c r="L300" s="24" t="str">
        <f t="shared" si="3"/>
        <v/>
      </c>
      <c r="M300" s="17"/>
      <c r="N300" s="30" t="str">
        <f t="array" ref="N300">IF($A300="","",IFERROR(IF(OR($L300="BAIXADO",$L300="FURTADO"),0,INDEX(Listas!$J$2:$J$40,MATCH($B300,Listas!$I$2:$I$40,0))),""))</f>
        <v/>
      </c>
      <c r="P300" s="31" t="str">
        <f t="array" ref="P300">IF($A300="","",IFERROR(_xlfn.XLOOKUP($A300,'Movimentação'!$B$7:$B$1006,'Movimentação'!$F$7:$F$1006,"",0,-1),""))</f>
        <v/>
      </c>
      <c r="Q300" s="31">
        <f>IF(COUNTIFS('Manutenção'!$B$7:$B$1006,$A300,'Manutenção'!$H$7:$H$1006,"EM CONSERTO")&gt;0,1,0)</f>
        <v>0</v>
      </c>
    </row>
    <row r="301" ht="15.0" hidden="1" customHeight="1">
      <c r="A301" s="15"/>
      <c r="B301" s="17"/>
      <c r="C301" s="17"/>
      <c r="D301" s="17"/>
      <c r="E301" s="17"/>
      <c r="F301" s="17"/>
      <c r="G301" s="18"/>
      <c r="H301" s="15"/>
      <c r="I301" s="15"/>
      <c r="J301" s="24" t="str">
        <f t="array" ref="J301">IF($A301="","",IFERROR(_xlfn.XLOOKUP($A301,'Movimentação'!$B$7:$B$1006,'Movimentação'!$E$7:$E$1006,"",0,-1),""))</f>
        <v/>
      </c>
      <c r="K301" s="24" t="str">
        <f t="array" ref="K301">IF($A301="","",IFERROR(_xlfn.XLOOKUP($A301,'Movimentação'!$B$7:$B$1006,'Movimentação'!$G$7:$G$1006,"",0,-1),""))</f>
        <v/>
      </c>
      <c r="L301" s="24" t="str">
        <f t="shared" si="3"/>
        <v/>
      </c>
      <c r="M301" s="17"/>
      <c r="N301" s="30" t="str">
        <f t="array" ref="N301">IF($A301="","",IFERROR(IF(OR($L301="BAIXADO",$L301="FURTADO"),0,INDEX(Listas!$J$2:$J$40,MATCH($B301,Listas!$I$2:$I$40,0))),""))</f>
        <v/>
      </c>
      <c r="P301" s="31" t="str">
        <f t="array" ref="P301">IF($A301="","",IFERROR(_xlfn.XLOOKUP($A301,'Movimentação'!$B$7:$B$1006,'Movimentação'!$F$7:$F$1006,"",0,-1),""))</f>
        <v/>
      </c>
      <c r="Q301" s="31">
        <f>IF(COUNTIFS('Manutenção'!$B$7:$B$1006,$A301,'Manutenção'!$H$7:$H$1006,"EM CONSERTO")&gt;0,1,0)</f>
        <v>0</v>
      </c>
    </row>
    <row r="302" ht="15.0" hidden="1" customHeight="1">
      <c r="A302" s="15"/>
      <c r="B302" s="17"/>
      <c r="C302" s="17"/>
      <c r="D302" s="17"/>
      <c r="E302" s="17"/>
      <c r="F302" s="17"/>
      <c r="G302" s="18"/>
      <c r="H302" s="15"/>
      <c r="I302" s="15"/>
      <c r="J302" s="24" t="str">
        <f t="array" ref="J302">IF($A302="","",IFERROR(_xlfn.XLOOKUP($A302,'Movimentação'!$B$7:$B$1006,'Movimentação'!$E$7:$E$1006,"",0,-1),""))</f>
        <v/>
      </c>
      <c r="K302" s="24" t="str">
        <f t="array" ref="K302">IF($A302="","",IFERROR(_xlfn.XLOOKUP($A302,'Movimentação'!$B$7:$B$1006,'Movimentação'!$G$7:$G$1006,"",0,-1),""))</f>
        <v/>
      </c>
      <c r="L302" s="24" t="str">
        <f t="shared" si="3"/>
        <v/>
      </c>
      <c r="M302" s="17"/>
      <c r="N302" s="30" t="str">
        <f t="array" ref="N302">IF($A302="","",IFERROR(IF(OR($L302="BAIXADO",$L302="FURTADO"),0,INDEX(Listas!$J$2:$J$40,MATCH($B302,Listas!$I$2:$I$40,0))),""))</f>
        <v/>
      </c>
      <c r="P302" s="31" t="str">
        <f t="array" ref="P302">IF($A302="","",IFERROR(_xlfn.XLOOKUP($A302,'Movimentação'!$B$7:$B$1006,'Movimentação'!$F$7:$F$1006,"",0,-1),""))</f>
        <v/>
      </c>
      <c r="Q302" s="31">
        <f>IF(COUNTIFS('Manutenção'!$B$7:$B$1006,$A302,'Manutenção'!$H$7:$H$1006,"EM CONSERTO")&gt;0,1,0)</f>
        <v>0</v>
      </c>
    </row>
    <row r="303" ht="15.0" hidden="1" customHeight="1">
      <c r="A303" s="15"/>
      <c r="B303" s="17"/>
      <c r="C303" s="17"/>
      <c r="D303" s="17"/>
      <c r="E303" s="17"/>
      <c r="F303" s="17"/>
      <c r="G303" s="18"/>
      <c r="H303" s="15"/>
      <c r="I303" s="15"/>
      <c r="J303" s="24" t="str">
        <f t="array" ref="J303">IF($A303="","",IFERROR(_xlfn.XLOOKUP($A303,'Movimentação'!$B$7:$B$1006,'Movimentação'!$E$7:$E$1006,"",0,-1),""))</f>
        <v/>
      </c>
      <c r="K303" s="24" t="str">
        <f t="array" ref="K303">IF($A303="","",IFERROR(_xlfn.XLOOKUP($A303,'Movimentação'!$B$7:$B$1006,'Movimentação'!$G$7:$G$1006,"",0,-1),""))</f>
        <v/>
      </c>
      <c r="L303" s="24" t="str">
        <f t="shared" si="3"/>
        <v/>
      </c>
      <c r="M303" s="17"/>
      <c r="N303" s="30" t="str">
        <f t="array" ref="N303">IF($A303="","",IFERROR(IF(OR($L303="BAIXADO",$L303="FURTADO"),0,INDEX(Listas!$J$2:$J$40,MATCH($B303,Listas!$I$2:$I$40,0))),""))</f>
        <v/>
      </c>
      <c r="P303" s="31" t="str">
        <f t="array" ref="P303">IF($A303="","",IFERROR(_xlfn.XLOOKUP($A303,'Movimentação'!$B$7:$B$1006,'Movimentação'!$F$7:$F$1006,"",0,-1),""))</f>
        <v/>
      </c>
      <c r="Q303" s="31">
        <f>IF(COUNTIFS('Manutenção'!$B$7:$B$1006,$A303,'Manutenção'!$H$7:$H$1006,"EM CONSERTO")&gt;0,1,0)</f>
        <v>0</v>
      </c>
    </row>
    <row r="304" ht="15.0" hidden="1" customHeight="1">
      <c r="A304" s="15"/>
      <c r="B304" s="17"/>
      <c r="C304" s="17"/>
      <c r="D304" s="17"/>
      <c r="E304" s="17"/>
      <c r="F304" s="17"/>
      <c r="G304" s="18"/>
      <c r="H304" s="15"/>
      <c r="I304" s="15"/>
      <c r="J304" s="24" t="str">
        <f t="array" ref="J304">IF($A304="","",IFERROR(_xlfn.XLOOKUP($A304,'Movimentação'!$B$7:$B$1006,'Movimentação'!$E$7:$E$1006,"",0,-1),""))</f>
        <v/>
      </c>
      <c r="K304" s="24" t="str">
        <f t="array" ref="K304">IF($A304="","",IFERROR(_xlfn.XLOOKUP($A304,'Movimentação'!$B$7:$B$1006,'Movimentação'!$G$7:$G$1006,"",0,-1),""))</f>
        <v/>
      </c>
      <c r="L304" s="24" t="str">
        <f t="shared" si="3"/>
        <v/>
      </c>
      <c r="M304" s="17"/>
      <c r="N304" s="30" t="str">
        <f t="array" ref="N304">IF($A304="","",IFERROR(IF(OR($L304="BAIXADO",$L304="FURTADO"),0,INDEX(Listas!$J$2:$J$40,MATCH($B304,Listas!$I$2:$I$40,0))),""))</f>
        <v/>
      </c>
      <c r="P304" s="31" t="str">
        <f t="array" ref="P304">IF($A304="","",IFERROR(_xlfn.XLOOKUP($A304,'Movimentação'!$B$7:$B$1006,'Movimentação'!$F$7:$F$1006,"",0,-1),""))</f>
        <v/>
      </c>
      <c r="Q304" s="31">
        <f>IF(COUNTIFS('Manutenção'!$B$7:$B$1006,$A304,'Manutenção'!$H$7:$H$1006,"EM CONSERTO")&gt;0,1,0)</f>
        <v>0</v>
      </c>
    </row>
    <row r="305" ht="15.0" hidden="1" customHeight="1">
      <c r="A305" s="15"/>
      <c r="B305" s="17"/>
      <c r="C305" s="17"/>
      <c r="D305" s="17"/>
      <c r="E305" s="17"/>
      <c r="F305" s="17"/>
      <c r="G305" s="18"/>
      <c r="H305" s="15"/>
      <c r="I305" s="15"/>
      <c r="J305" s="24" t="str">
        <f t="array" ref="J305">IF($A305="","",IFERROR(_xlfn.XLOOKUP($A305,'Movimentação'!$B$7:$B$1006,'Movimentação'!$E$7:$E$1006,"",0,-1),""))</f>
        <v/>
      </c>
      <c r="K305" s="24" t="str">
        <f t="array" ref="K305">IF($A305="","",IFERROR(_xlfn.XLOOKUP($A305,'Movimentação'!$B$7:$B$1006,'Movimentação'!$G$7:$G$1006,"",0,-1),""))</f>
        <v/>
      </c>
      <c r="L305" s="24" t="str">
        <f t="shared" si="3"/>
        <v/>
      </c>
      <c r="M305" s="17"/>
      <c r="N305" s="30" t="str">
        <f t="array" ref="N305">IF($A305="","",IFERROR(IF(OR($L305="BAIXADO",$L305="FURTADO"),0,INDEX(Listas!$J$2:$J$40,MATCH($B305,Listas!$I$2:$I$40,0))),""))</f>
        <v/>
      </c>
      <c r="P305" s="31" t="str">
        <f t="array" ref="P305">IF($A305="","",IFERROR(_xlfn.XLOOKUP($A305,'Movimentação'!$B$7:$B$1006,'Movimentação'!$F$7:$F$1006,"",0,-1),""))</f>
        <v/>
      </c>
      <c r="Q305" s="31">
        <f>IF(COUNTIFS('Manutenção'!$B$7:$B$1006,$A305,'Manutenção'!$H$7:$H$1006,"EM CONSERTO")&gt;0,1,0)</f>
        <v>0</v>
      </c>
    </row>
    <row r="306" ht="15.0" hidden="1" customHeight="1">
      <c r="A306" s="15"/>
      <c r="B306" s="17"/>
      <c r="C306" s="17"/>
      <c r="D306" s="17"/>
      <c r="E306" s="17"/>
      <c r="F306" s="17"/>
      <c r="G306" s="18"/>
      <c r="H306" s="15"/>
      <c r="I306" s="15"/>
      <c r="J306" s="24" t="str">
        <f t="array" ref="J306">IF($A306="","",IFERROR(_xlfn.XLOOKUP($A306,'Movimentação'!$B$7:$B$1006,'Movimentação'!$E$7:$E$1006,"",0,-1),""))</f>
        <v/>
      </c>
      <c r="K306" s="24" t="str">
        <f t="array" ref="K306">IF($A306="","",IFERROR(_xlfn.XLOOKUP($A306,'Movimentação'!$B$7:$B$1006,'Movimentação'!$G$7:$G$1006,"",0,-1),""))</f>
        <v/>
      </c>
      <c r="L306" s="24" t="str">
        <f t="shared" si="3"/>
        <v/>
      </c>
      <c r="M306" s="17"/>
      <c r="N306" s="30" t="str">
        <f t="array" ref="N306">IF($A306="","",IFERROR(IF(OR($L306="BAIXADO",$L306="FURTADO"),0,INDEX(Listas!$J$2:$J$40,MATCH($B306,Listas!$I$2:$I$40,0))),""))</f>
        <v/>
      </c>
      <c r="P306" s="31" t="str">
        <f t="array" ref="P306">IF($A306="","",IFERROR(_xlfn.XLOOKUP($A306,'Movimentação'!$B$7:$B$1006,'Movimentação'!$F$7:$F$1006,"",0,-1),""))</f>
        <v/>
      </c>
      <c r="Q306" s="31">
        <f>IF(COUNTIFS('Manutenção'!$B$7:$B$1006,$A306,'Manutenção'!$H$7:$H$1006,"EM CONSERTO")&gt;0,1,0)</f>
        <v>0</v>
      </c>
    </row>
    <row r="307" ht="15.0" hidden="1" customHeight="1">
      <c r="A307" s="15"/>
      <c r="B307" s="17"/>
      <c r="C307" s="17"/>
      <c r="D307" s="17"/>
      <c r="E307" s="17"/>
      <c r="F307" s="17"/>
      <c r="G307" s="18"/>
      <c r="H307" s="15"/>
      <c r="I307" s="15"/>
      <c r="J307" s="24" t="str">
        <f t="array" ref="J307">IF($A307="","",IFERROR(_xlfn.XLOOKUP($A307,'Movimentação'!$B$7:$B$1006,'Movimentação'!$E$7:$E$1006,"",0,-1),""))</f>
        <v/>
      </c>
      <c r="K307" s="24" t="str">
        <f t="array" ref="K307">IF($A307="","",IFERROR(_xlfn.XLOOKUP($A307,'Movimentação'!$B$7:$B$1006,'Movimentação'!$G$7:$G$1006,"",0,-1),""))</f>
        <v/>
      </c>
      <c r="L307" s="24" t="str">
        <f t="shared" si="3"/>
        <v/>
      </c>
      <c r="M307" s="17"/>
      <c r="N307" s="30" t="str">
        <f t="array" ref="N307">IF($A307="","",IFERROR(IF(OR($L307="BAIXADO",$L307="FURTADO"),0,INDEX(Listas!$J$2:$J$40,MATCH($B307,Listas!$I$2:$I$40,0))),""))</f>
        <v/>
      </c>
      <c r="P307" s="31" t="str">
        <f t="array" ref="P307">IF($A307="","",IFERROR(_xlfn.XLOOKUP($A307,'Movimentação'!$B$7:$B$1006,'Movimentação'!$F$7:$F$1006,"",0,-1),""))</f>
        <v/>
      </c>
      <c r="Q307" s="31">
        <f>IF(COUNTIFS('Manutenção'!$B$7:$B$1006,$A307,'Manutenção'!$H$7:$H$1006,"EM CONSERTO")&gt;0,1,0)</f>
        <v>0</v>
      </c>
    </row>
    <row r="308" ht="15.0" hidden="1" customHeight="1">
      <c r="A308" s="15"/>
      <c r="B308" s="17"/>
      <c r="C308" s="17"/>
      <c r="D308" s="17"/>
      <c r="E308" s="17"/>
      <c r="F308" s="17"/>
      <c r="G308" s="18"/>
      <c r="H308" s="15"/>
      <c r="I308" s="15"/>
      <c r="J308" s="24" t="str">
        <f t="array" ref="J308">IF($A308="","",IFERROR(_xlfn.XLOOKUP($A308,'Movimentação'!$B$7:$B$1006,'Movimentação'!$E$7:$E$1006,"",0,-1),""))</f>
        <v/>
      </c>
      <c r="K308" s="24" t="str">
        <f t="array" ref="K308">IF($A308="","",IFERROR(_xlfn.XLOOKUP($A308,'Movimentação'!$B$7:$B$1006,'Movimentação'!$G$7:$G$1006,"",0,-1),""))</f>
        <v/>
      </c>
      <c r="L308" s="24" t="str">
        <f t="shared" si="3"/>
        <v/>
      </c>
      <c r="M308" s="17"/>
      <c r="N308" s="30" t="str">
        <f t="array" ref="N308">IF($A308="","",IFERROR(IF(OR($L308="BAIXADO",$L308="FURTADO"),0,INDEX(Listas!$J$2:$J$40,MATCH($B308,Listas!$I$2:$I$40,0))),""))</f>
        <v/>
      </c>
      <c r="P308" s="31" t="str">
        <f t="array" ref="P308">IF($A308="","",IFERROR(_xlfn.XLOOKUP($A308,'Movimentação'!$B$7:$B$1006,'Movimentação'!$F$7:$F$1006,"",0,-1),""))</f>
        <v/>
      </c>
      <c r="Q308" s="31">
        <f>IF(COUNTIFS('Manutenção'!$B$7:$B$1006,$A308,'Manutenção'!$H$7:$H$1006,"EM CONSERTO")&gt;0,1,0)</f>
        <v>0</v>
      </c>
    </row>
    <row r="309" ht="15.0" hidden="1" customHeight="1">
      <c r="A309" s="15"/>
      <c r="B309" s="17"/>
      <c r="C309" s="17"/>
      <c r="D309" s="17"/>
      <c r="E309" s="17"/>
      <c r="F309" s="17"/>
      <c r="G309" s="18"/>
      <c r="H309" s="15"/>
      <c r="I309" s="15"/>
      <c r="J309" s="24" t="str">
        <f t="array" ref="J309">IF($A309="","",IFERROR(_xlfn.XLOOKUP($A309,'Movimentação'!$B$7:$B$1006,'Movimentação'!$E$7:$E$1006,"",0,-1),""))</f>
        <v/>
      </c>
      <c r="K309" s="24" t="str">
        <f t="array" ref="K309">IF($A309="","",IFERROR(_xlfn.XLOOKUP($A309,'Movimentação'!$B$7:$B$1006,'Movimentação'!$G$7:$G$1006,"",0,-1),""))</f>
        <v/>
      </c>
      <c r="L309" s="24" t="str">
        <f t="shared" si="3"/>
        <v/>
      </c>
      <c r="M309" s="17"/>
      <c r="N309" s="30" t="str">
        <f t="array" ref="N309">IF($A309="","",IFERROR(IF(OR($L309="BAIXADO",$L309="FURTADO"),0,INDEX(Listas!$J$2:$J$40,MATCH($B309,Listas!$I$2:$I$40,0))),""))</f>
        <v/>
      </c>
      <c r="P309" s="31" t="str">
        <f t="array" ref="P309">IF($A309="","",IFERROR(_xlfn.XLOOKUP($A309,'Movimentação'!$B$7:$B$1006,'Movimentação'!$F$7:$F$1006,"",0,-1),""))</f>
        <v/>
      </c>
      <c r="Q309" s="31">
        <f>IF(COUNTIFS('Manutenção'!$B$7:$B$1006,$A309,'Manutenção'!$H$7:$H$1006,"EM CONSERTO")&gt;0,1,0)</f>
        <v>0</v>
      </c>
    </row>
    <row r="310" ht="15.0" hidden="1" customHeight="1">
      <c r="A310" s="15"/>
      <c r="B310" s="17"/>
      <c r="C310" s="17"/>
      <c r="D310" s="17"/>
      <c r="E310" s="17"/>
      <c r="F310" s="17"/>
      <c r="G310" s="18"/>
      <c r="H310" s="15"/>
      <c r="I310" s="15"/>
      <c r="J310" s="24" t="str">
        <f t="array" ref="J310">IF($A310="","",IFERROR(_xlfn.XLOOKUP($A310,'Movimentação'!$B$7:$B$1006,'Movimentação'!$E$7:$E$1006,"",0,-1),""))</f>
        <v/>
      </c>
      <c r="K310" s="24" t="str">
        <f t="array" ref="K310">IF($A310="","",IFERROR(_xlfn.XLOOKUP($A310,'Movimentação'!$B$7:$B$1006,'Movimentação'!$G$7:$G$1006,"",0,-1),""))</f>
        <v/>
      </c>
      <c r="L310" s="24" t="str">
        <f t="shared" si="3"/>
        <v/>
      </c>
      <c r="M310" s="17"/>
      <c r="N310" s="30" t="str">
        <f t="array" ref="N310">IF($A310="","",IFERROR(IF(OR($L310="BAIXADO",$L310="FURTADO"),0,INDEX(Listas!$J$2:$J$40,MATCH($B310,Listas!$I$2:$I$40,0))),""))</f>
        <v/>
      </c>
      <c r="P310" s="31" t="str">
        <f t="array" ref="P310">IF($A310="","",IFERROR(_xlfn.XLOOKUP($A310,'Movimentação'!$B$7:$B$1006,'Movimentação'!$F$7:$F$1006,"",0,-1),""))</f>
        <v/>
      </c>
      <c r="Q310" s="31">
        <f>IF(COUNTIFS('Manutenção'!$B$7:$B$1006,$A310,'Manutenção'!$H$7:$H$1006,"EM CONSERTO")&gt;0,1,0)</f>
        <v>0</v>
      </c>
    </row>
    <row r="311" ht="15.0" hidden="1" customHeight="1">
      <c r="A311" s="15"/>
      <c r="B311" s="17"/>
      <c r="C311" s="17"/>
      <c r="D311" s="17"/>
      <c r="E311" s="17"/>
      <c r="F311" s="17"/>
      <c r="G311" s="18"/>
      <c r="H311" s="15"/>
      <c r="I311" s="15"/>
      <c r="J311" s="24" t="str">
        <f t="array" ref="J311">IF($A311="","",IFERROR(_xlfn.XLOOKUP($A311,'Movimentação'!$B$7:$B$1006,'Movimentação'!$E$7:$E$1006,"",0,-1),""))</f>
        <v/>
      </c>
      <c r="K311" s="24" t="str">
        <f t="array" ref="K311">IF($A311="","",IFERROR(_xlfn.XLOOKUP($A311,'Movimentação'!$B$7:$B$1006,'Movimentação'!$G$7:$G$1006,"",0,-1),""))</f>
        <v/>
      </c>
      <c r="L311" s="24" t="str">
        <f t="shared" si="3"/>
        <v/>
      </c>
      <c r="M311" s="17"/>
      <c r="N311" s="30" t="str">
        <f t="array" ref="N311">IF($A311="","",IFERROR(IF(OR($L311="BAIXADO",$L311="FURTADO"),0,INDEX(Listas!$J$2:$J$40,MATCH($B311,Listas!$I$2:$I$40,0))),""))</f>
        <v/>
      </c>
      <c r="P311" s="31" t="str">
        <f t="array" ref="P311">IF($A311="","",IFERROR(_xlfn.XLOOKUP($A311,'Movimentação'!$B$7:$B$1006,'Movimentação'!$F$7:$F$1006,"",0,-1),""))</f>
        <v/>
      </c>
      <c r="Q311" s="31">
        <f>IF(COUNTIFS('Manutenção'!$B$7:$B$1006,$A311,'Manutenção'!$H$7:$H$1006,"EM CONSERTO")&gt;0,1,0)</f>
        <v>0</v>
      </c>
    </row>
    <row r="312" ht="15.0" hidden="1" customHeight="1">
      <c r="A312" s="15"/>
      <c r="B312" s="17"/>
      <c r="C312" s="17"/>
      <c r="D312" s="17"/>
      <c r="E312" s="17"/>
      <c r="F312" s="17"/>
      <c r="G312" s="18"/>
      <c r="H312" s="15"/>
      <c r="I312" s="15"/>
      <c r="J312" s="24" t="str">
        <f t="array" ref="J312">IF($A312="","",IFERROR(_xlfn.XLOOKUP($A312,'Movimentação'!$B$7:$B$1006,'Movimentação'!$E$7:$E$1006,"",0,-1),""))</f>
        <v/>
      </c>
      <c r="K312" s="24" t="str">
        <f t="array" ref="K312">IF($A312="","",IFERROR(_xlfn.XLOOKUP($A312,'Movimentação'!$B$7:$B$1006,'Movimentação'!$G$7:$G$1006,"",0,-1),""))</f>
        <v/>
      </c>
      <c r="L312" s="24" t="str">
        <f t="shared" si="3"/>
        <v/>
      </c>
      <c r="M312" s="17"/>
      <c r="N312" s="30" t="str">
        <f t="array" ref="N312">IF($A312="","",IFERROR(IF(OR($L312="BAIXADO",$L312="FURTADO"),0,INDEX(Listas!$J$2:$J$40,MATCH($B312,Listas!$I$2:$I$40,0))),""))</f>
        <v/>
      </c>
      <c r="P312" s="31" t="str">
        <f t="array" ref="P312">IF($A312="","",IFERROR(_xlfn.XLOOKUP($A312,'Movimentação'!$B$7:$B$1006,'Movimentação'!$F$7:$F$1006,"",0,-1),""))</f>
        <v/>
      </c>
      <c r="Q312" s="31">
        <f>IF(COUNTIFS('Manutenção'!$B$7:$B$1006,$A312,'Manutenção'!$H$7:$H$1006,"EM CONSERTO")&gt;0,1,0)</f>
        <v>0</v>
      </c>
    </row>
    <row r="313" ht="15.0" hidden="1" customHeight="1">
      <c r="A313" s="15"/>
      <c r="B313" s="17"/>
      <c r="C313" s="17"/>
      <c r="D313" s="17"/>
      <c r="E313" s="17"/>
      <c r="F313" s="17"/>
      <c r="G313" s="18"/>
      <c r="H313" s="15"/>
      <c r="I313" s="15"/>
      <c r="J313" s="24" t="str">
        <f t="array" ref="J313">IF($A313="","",IFERROR(_xlfn.XLOOKUP($A313,'Movimentação'!$B$7:$B$1006,'Movimentação'!$E$7:$E$1006,"",0,-1),""))</f>
        <v/>
      </c>
      <c r="K313" s="24" t="str">
        <f t="array" ref="K313">IF($A313="","",IFERROR(_xlfn.XLOOKUP($A313,'Movimentação'!$B$7:$B$1006,'Movimentação'!$G$7:$G$1006,"",0,-1),""))</f>
        <v/>
      </c>
      <c r="L313" s="24" t="str">
        <f t="shared" si="3"/>
        <v/>
      </c>
      <c r="M313" s="17"/>
      <c r="N313" s="30" t="str">
        <f t="array" ref="N313">IF($A313="","",IFERROR(IF(OR($L313="BAIXADO",$L313="FURTADO"),0,INDEX(Listas!$J$2:$J$40,MATCH($B313,Listas!$I$2:$I$40,0))),""))</f>
        <v/>
      </c>
      <c r="P313" s="31" t="str">
        <f t="array" ref="P313">IF($A313="","",IFERROR(_xlfn.XLOOKUP($A313,'Movimentação'!$B$7:$B$1006,'Movimentação'!$F$7:$F$1006,"",0,-1),""))</f>
        <v/>
      </c>
      <c r="Q313" s="31">
        <f>IF(COUNTIFS('Manutenção'!$B$7:$B$1006,$A313,'Manutenção'!$H$7:$H$1006,"EM CONSERTO")&gt;0,1,0)</f>
        <v>0</v>
      </c>
    </row>
    <row r="314" ht="15.0" hidden="1" customHeight="1">
      <c r="A314" s="15"/>
      <c r="B314" s="17"/>
      <c r="C314" s="17"/>
      <c r="D314" s="17"/>
      <c r="E314" s="17"/>
      <c r="F314" s="17"/>
      <c r="G314" s="18"/>
      <c r="H314" s="15"/>
      <c r="I314" s="15"/>
      <c r="J314" s="24" t="str">
        <f t="array" ref="J314">IF($A314="","",IFERROR(_xlfn.XLOOKUP($A314,'Movimentação'!$B$7:$B$1006,'Movimentação'!$E$7:$E$1006,"",0,-1),""))</f>
        <v/>
      </c>
      <c r="K314" s="24" t="str">
        <f t="array" ref="K314">IF($A314="","",IFERROR(_xlfn.XLOOKUP($A314,'Movimentação'!$B$7:$B$1006,'Movimentação'!$G$7:$G$1006,"",0,-1),""))</f>
        <v/>
      </c>
      <c r="L314" s="24" t="str">
        <f t="shared" si="3"/>
        <v/>
      </c>
      <c r="M314" s="17"/>
      <c r="N314" s="30" t="str">
        <f t="array" ref="N314">IF($A314="","",IFERROR(IF(OR($L314="BAIXADO",$L314="FURTADO"),0,INDEX(Listas!$J$2:$J$40,MATCH($B314,Listas!$I$2:$I$40,0))),""))</f>
        <v/>
      </c>
      <c r="P314" s="31" t="str">
        <f t="array" ref="P314">IF($A314="","",IFERROR(_xlfn.XLOOKUP($A314,'Movimentação'!$B$7:$B$1006,'Movimentação'!$F$7:$F$1006,"",0,-1),""))</f>
        <v/>
      </c>
      <c r="Q314" s="31">
        <f>IF(COUNTIFS('Manutenção'!$B$7:$B$1006,$A314,'Manutenção'!$H$7:$H$1006,"EM CONSERTO")&gt;0,1,0)</f>
        <v>0</v>
      </c>
    </row>
    <row r="315" ht="15.0" hidden="1" customHeight="1">
      <c r="A315" s="15"/>
      <c r="B315" s="17"/>
      <c r="C315" s="17"/>
      <c r="D315" s="17"/>
      <c r="E315" s="17"/>
      <c r="F315" s="17"/>
      <c r="G315" s="18"/>
      <c r="H315" s="15"/>
      <c r="I315" s="15"/>
      <c r="J315" s="24" t="str">
        <f t="array" ref="J315">IF($A315="","",IFERROR(_xlfn.XLOOKUP($A315,'Movimentação'!$B$7:$B$1006,'Movimentação'!$E$7:$E$1006,"",0,-1),""))</f>
        <v/>
      </c>
      <c r="K315" s="24" t="str">
        <f t="array" ref="K315">IF($A315="","",IFERROR(_xlfn.XLOOKUP($A315,'Movimentação'!$B$7:$B$1006,'Movimentação'!$G$7:$G$1006,"",0,-1),""))</f>
        <v/>
      </c>
      <c r="L315" s="24" t="str">
        <f t="shared" si="3"/>
        <v/>
      </c>
      <c r="M315" s="17"/>
      <c r="N315" s="30" t="str">
        <f t="array" ref="N315">IF($A315="","",IFERROR(IF(OR($L315="BAIXADO",$L315="FURTADO"),0,INDEX(Listas!$J$2:$J$40,MATCH($B315,Listas!$I$2:$I$40,0))),""))</f>
        <v/>
      </c>
      <c r="P315" s="31" t="str">
        <f t="array" ref="P315">IF($A315="","",IFERROR(_xlfn.XLOOKUP($A315,'Movimentação'!$B$7:$B$1006,'Movimentação'!$F$7:$F$1006,"",0,-1),""))</f>
        <v/>
      </c>
      <c r="Q315" s="31">
        <f>IF(COUNTIFS('Manutenção'!$B$7:$B$1006,$A315,'Manutenção'!$H$7:$H$1006,"EM CONSERTO")&gt;0,1,0)</f>
        <v>0</v>
      </c>
    </row>
    <row r="316" ht="15.0" hidden="1" customHeight="1">
      <c r="A316" s="15"/>
      <c r="B316" s="17"/>
      <c r="C316" s="17"/>
      <c r="D316" s="17"/>
      <c r="E316" s="17"/>
      <c r="F316" s="17"/>
      <c r="G316" s="18"/>
      <c r="H316" s="15"/>
      <c r="I316" s="15"/>
      <c r="J316" s="24" t="str">
        <f t="array" ref="J316">IF($A316="","",IFERROR(_xlfn.XLOOKUP($A316,'Movimentação'!$B$7:$B$1006,'Movimentação'!$E$7:$E$1006,"",0,-1),""))</f>
        <v/>
      </c>
      <c r="K316" s="24" t="str">
        <f t="array" ref="K316">IF($A316="","",IFERROR(_xlfn.XLOOKUP($A316,'Movimentação'!$B$7:$B$1006,'Movimentação'!$G$7:$G$1006,"",0,-1),""))</f>
        <v/>
      </c>
      <c r="L316" s="24" t="str">
        <f t="shared" si="3"/>
        <v/>
      </c>
      <c r="M316" s="17"/>
      <c r="N316" s="30" t="str">
        <f t="array" ref="N316">IF($A316="","",IFERROR(IF(OR($L316="BAIXADO",$L316="FURTADO"),0,INDEX(Listas!$J$2:$J$40,MATCH($B316,Listas!$I$2:$I$40,0))),""))</f>
        <v/>
      </c>
      <c r="P316" s="31" t="str">
        <f t="array" ref="P316">IF($A316="","",IFERROR(_xlfn.XLOOKUP($A316,'Movimentação'!$B$7:$B$1006,'Movimentação'!$F$7:$F$1006,"",0,-1),""))</f>
        <v/>
      </c>
      <c r="Q316" s="31">
        <f>IF(COUNTIFS('Manutenção'!$B$7:$B$1006,$A316,'Manutenção'!$H$7:$H$1006,"EM CONSERTO")&gt;0,1,0)</f>
        <v>0</v>
      </c>
    </row>
    <row r="317" ht="15.0" hidden="1" customHeight="1">
      <c r="A317" s="15"/>
      <c r="B317" s="17"/>
      <c r="C317" s="17"/>
      <c r="D317" s="17"/>
      <c r="E317" s="17"/>
      <c r="F317" s="17"/>
      <c r="G317" s="18"/>
      <c r="H317" s="15"/>
      <c r="I317" s="15"/>
      <c r="J317" s="24" t="str">
        <f t="array" ref="J317">IF($A317="","",IFERROR(_xlfn.XLOOKUP($A317,'Movimentação'!$B$7:$B$1006,'Movimentação'!$E$7:$E$1006,"",0,-1),""))</f>
        <v/>
      </c>
      <c r="K317" s="24" t="str">
        <f t="array" ref="K317">IF($A317="","",IFERROR(_xlfn.XLOOKUP($A317,'Movimentação'!$B$7:$B$1006,'Movimentação'!$G$7:$G$1006,"",0,-1),""))</f>
        <v/>
      </c>
      <c r="L317" s="24" t="str">
        <f t="shared" si="3"/>
        <v/>
      </c>
      <c r="M317" s="17"/>
      <c r="N317" s="30" t="str">
        <f t="array" ref="N317">IF($A317="","",IFERROR(IF(OR($L317="BAIXADO",$L317="FURTADO"),0,INDEX(Listas!$J$2:$J$40,MATCH($B317,Listas!$I$2:$I$40,0))),""))</f>
        <v/>
      </c>
      <c r="P317" s="31" t="str">
        <f t="array" ref="P317">IF($A317="","",IFERROR(_xlfn.XLOOKUP($A317,'Movimentação'!$B$7:$B$1006,'Movimentação'!$F$7:$F$1006,"",0,-1),""))</f>
        <v/>
      </c>
      <c r="Q317" s="31">
        <f>IF(COUNTIFS('Manutenção'!$B$7:$B$1006,$A317,'Manutenção'!$H$7:$H$1006,"EM CONSERTO")&gt;0,1,0)</f>
        <v>0</v>
      </c>
    </row>
    <row r="318" ht="15.0" hidden="1" customHeight="1">
      <c r="A318" s="15"/>
      <c r="B318" s="17"/>
      <c r="C318" s="17"/>
      <c r="D318" s="17"/>
      <c r="E318" s="17"/>
      <c r="F318" s="17"/>
      <c r="G318" s="18"/>
      <c r="H318" s="15"/>
      <c r="I318" s="15"/>
      <c r="J318" s="24" t="str">
        <f t="array" ref="J318">IF($A318="","",IFERROR(_xlfn.XLOOKUP($A318,'Movimentação'!$B$7:$B$1006,'Movimentação'!$E$7:$E$1006,"",0,-1),""))</f>
        <v/>
      </c>
      <c r="K318" s="24" t="str">
        <f t="array" ref="K318">IF($A318="","",IFERROR(_xlfn.XLOOKUP($A318,'Movimentação'!$B$7:$B$1006,'Movimentação'!$G$7:$G$1006,"",0,-1),""))</f>
        <v/>
      </c>
      <c r="L318" s="24" t="str">
        <f t="shared" si="3"/>
        <v/>
      </c>
      <c r="M318" s="17"/>
      <c r="N318" s="30" t="str">
        <f t="array" ref="N318">IF($A318="","",IFERROR(IF(OR($L318="BAIXADO",$L318="FURTADO"),0,INDEX(Listas!$J$2:$J$40,MATCH($B318,Listas!$I$2:$I$40,0))),""))</f>
        <v/>
      </c>
      <c r="P318" s="31" t="str">
        <f t="array" ref="P318">IF($A318="","",IFERROR(_xlfn.XLOOKUP($A318,'Movimentação'!$B$7:$B$1006,'Movimentação'!$F$7:$F$1006,"",0,-1),""))</f>
        <v/>
      </c>
      <c r="Q318" s="31">
        <f>IF(COUNTIFS('Manutenção'!$B$7:$B$1006,$A318,'Manutenção'!$H$7:$H$1006,"EM CONSERTO")&gt;0,1,0)</f>
        <v>0</v>
      </c>
    </row>
    <row r="319" ht="15.0" hidden="1" customHeight="1">
      <c r="A319" s="15"/>
      <c r="B319" s="17"/>
      <c r="C319" s="17"/>
      <c r="D319" s="17"/>
      <c r="E319" s="17"/>
      <c r="F319" s="17"/>
      <c r="G319" s="18"/>
      <c r="H319" s="15"/>
      <c r="I319" s="15"/>
      <c r="J319" s="24" t="str">
        <f t="array" ref="J319">IF($A319="","",IFERROR(_xlfn.XLOOKUP($A319,'Movimentação'!$B$7:$B$1006,'Movimentação'!$E$7:$E$1006,"",0,-1),""))</f>
        <v/>
      </c>
      <c r="K319" s="24" t="str">
        <f t="array" ref="K319">IF($A319="","",IFERROR(_xlfn.XLOOKUP($A319,'Movimentação'!$B$7:$B$1006,'Movimentação'!$G$7:$G$1006,"",0,-1),""))</f>
        <v/>
      </c>
      <c r="L319" s="24" t="str">
        <f t="shared" si="3"/>
        <v/>
      </c>
      <c r="M319" s="17"/>
      <c r="N319" s="30" t="str">
        <f t="array" ref="N319">IF($A319="","",IFERROR(IF(OR($L319="BAIXADO",$L319="FURTADO"),0,INDEX(Listas!$J$2:$J$40,MATCH($B319,Listas!$I$2:$I$40,0))),""))</f>
        <v/>
      </c>
      <c r="P319" s="31" t="str">
        <f t="array" ref="P319">IF($A319="","",IFERROR(_xlfn.XLOOKUP($A319,'Movimentação'!$B$7:$B$1006,'Movimentação'!$F$7:$F$1006,"",0,-1),""))</f>
        <v/>
      </c>
      <c r="Q319" s="31">
        <f>IF(COUNTIFS('Manutenção'!$B$7:$B$1006,$A319,'Manutenção'!$H$7:$H$1006,"EM CONSERTO")&gt;0,1,0)</f>
        <v>0</v>
      </c>
    </row>
    <row r="320" ht="15.0" hidden="1" customHeight="1">
      <c r="A320" s="15"/>
      <c r="B320" s="17"/>
      <c r="C320" s="17"/>
      <c r="D320" s="17"/>
      <c r="E320" s="17"/>
      <c r="F320" s="17"/>
      <c r="G320" s="18"/>
      <c r="H320" s="15"/>
      <c r="I320" s="15"/>
      <c r="J320" s="24" t="str">
        <f t="array" ref="J320">IF($A320="","",IFERROR(_xlfn.XLOOKUP($A320,'Movimentação'!$B$7:$B$1006,'Movimentação'!$E$7:$E$1006,"",0,-1),""))</f>
        <v/>
      </c>
      <c r="K320" s="24" t="str">
        <f t="array" ref="K320">IF($A320="","",IFERROR(_xlfn.XLOOKUP($A320,'Movimentação'!$B$7:$B$1006,'Movimentação'!$G$7:$G$1006,"",0,-1),""))</f>
        <v/>
      </c>
      <c r="L320" s="24" t="str">
        <f t="shared" si="3"/>
        <v/>
      </c>
      <c r="M320" s="17"/>
      <c r="N320" s="30" t="str">
        <f t="array" ref="N320">IF($A320="","",IFERROR(IF(OR($L320="BAIXADO",$L320="FURTADO"),0,INDEX(Listas!$J$2:$J$40,MATCH($B320,Listas!$I$2:$I$40,0))),""))</f>
        <v/>
      </c>
      <c r="P320" s="31" t="str">
        <f t="array" ref="P320">IF($A320="","",IFERROR(_xlfn.XLOOKUP($A320,'Movimentação'!$B$7:$B$1006,'Movimentação'!$F$7:$F$1006,"",0,-1),""))</f>
        <v/>
      </c>
      <c r="Q320" s="31">
        <f>IF(COUNTIFS('Manutenção'!$B$7:$B$1006,$A320,'Manutenção'!$H$7:$H$1006,"EM CONSERTO")&gt;0,1,0)</f>
        <v>0</v>
      </c>
    </row>
    <row r="321" ht="15.0" hidden="1" customHeight="1">
      <c r="A321" s="15"/>
      <c r="B321" s="17"/>
      <c r="C321" s="17"/>
      <c r="D321" s="17"/>
      <c r="E321" s="17"/>
      <c r="F321" s="17"/>
      <c r="G321" s="18"/>
      <c r="H321" s="15"/>
      <c r="I321" s="15"/>
      <c r="J321" s="24" t="str">
        <f t="array" ref="J321">IF($A321="","",IFERROR(_xlfn.XLOOKUP($A321,'Movimentação'!$B$7:$B$1006,'Movimentação'!$E$7:$E$1006,"",0,-1),""))</f>
        <v/>
      </c>
      <c r="K321" s="24" t="str">
        <f t="array" ref="K321">IF($A321="","",IFERROR(_xlfn.XLOOKUP($A321,'Movimentação'!$B$7:$B$1006,'Movimentação'!$G$7:$G$1006,"",0,-1),""))</f>
        <v/>
      </c>
      <c r="L321" s="24" t="str">
        <f t="shared" si="3"/>
        <v/>
      </c>
      <c r="M321" s="17"/>
      <c r="N321" s="30" t="str">
        <f t="array" ref="N321">IF($A321="","",IFERROR(IF(OR($L321="BAIXADO",$L321="FURTADO"),0,INDEX(Listas!$J$2:$J$40,MATCH($B321,Listas!$I$2:$I$40,0))),""))</f>
        <v/>
      </c>
      <c r="P321" s="31" t="str">
        <f t="array" ref="P321">IF($A321="","",IFERROR(_xlfn.XLOOKUP($A321,'Movimentação'!$B$7:$B$1006,'Movimentação'!$F$7:$F$1006,"",0,-1),""))</f>
        <v/>
      </c>
      <c r="Q321" s="31">
        <f>IF(COUNTIFS('Manutenção'!$B$7:$B$1006,$A321,'Manutenção'!$H$7:$H$1006,"EM CONSERTO")&gt;0,1,0)</f>
        <v>0</v>
      </c>
    </row>
    <row r="322" ht="15.0" hidden="1" customHeight="1">
      <c r="A322" s="15"/>
      <c r="B322" s="17"/>
      <c r="C322" s="17"/>
      <c r="D322" s="17"/>
      <c r="E322" s="17"/>
      <c r="F322" s="17"/>
      <c r="G322" s="18"/>
      <c r="H322" s="15"/>
      <c r="I322" s="15"/>
      <c r="J322" s="24" t="str">
        <f t="array" ref="J322">IF($A322="","",IFERROR(_xlfn.XLOOKUP($A322,'Movimentação'!$B$7:$B$1006,'Movimentação'!$E$7:$E$1006,"",0,-1),""))</f>
        <v/>
      </c>
      <c r="K322" s="24" t="str">
        <f t="array" ref="K322">IF($A322="","",IFERROR(_xlfn.XLOOKUP($A322,'Movimentação'!$B$7:$B$1006,'Movimentação'!$G$7:$G$1006,"",0,-1),""))</f>
        <v/>
      </c>
      <c r="L322" s="24" t="str">
        <f t="shared" si="3"/>
        <v/>
      </c>
      <c r="M322" s="17"/>
      <c r="N322" s="30" t="str">
        <f t="array" ref="N322">IF($A322="","",IFERROR(IF(OR($L322="BAIXADO",$L322="FURTADO"),0,INDEX(Listas!$J$2:$J$40,MATCH($B322,Listas!$I$2:$I$40,0))),""))</f>
        <v/>
      </c>
      <c r="P322" s="31" t="str">
        <f t="array" ref="P322">IF($A322="","",IFERROR(_xlfn.XLOOKUP($A322,'Movimentação'!$B$7:$B$1006,'Movimentação'!$F$7:$F$1006,"",0,-1),""))</f>
        <v/>
      </c>
      <c r="Q322" s="31">
        <f>IF(COUNTIFS('Manutenção'!$B$7:$B$1006,$A322,'Manutenção'!$H$7:$H$1006,"EM CONSERTO")&gt;0,1,0)</f>
        <v>0</v>
      </c>
    </row>
    <row r="323" ht="15.0" hidden="1" customHeight="1">
      <c r="A323" s="15"/>
      <c r="B323" s="17"/>
      <c r="C323" s="17"/>
      <c r="D323" s="17"/>
      <c r="E323" s="17"/>
      <c r="F323" s="17"/>
      <c r="G323" s="18"/>
      <c r="H323" s="15"/>
      <c r="I323" s="15"/>
      <c r="J323" s="24" t="str">
        <f t="array" ref="J323">IF($A323="","",IFERROR(_xlfn.XLOOKUP($A323,'Movimentação'!$B$7:$B$1006,'Movimentação'!$E$7:$E$1006,"",0,-1),""))</f>
        <v/>
      </c>
      <c r="K323" s="24" t="str">
        <f t="array" ref="K323">IF($A323="","",IFERROR(_xlfn.XLOOKUP($A323,'Movimentação'!$B$7:$B$1006,'Movimentação'!$G$7:$G$1006,"",0,-1),""))</f>
        <v/>
      </c>
      <c r="L323" s="24" t="str">
        <f t="shared" si="3"/>
        <v/>
      </c>
      <c r="M323" s="17"/>
      <c r="N323" s="30" t="str">
        <f t="array" ref="N323">IF($A323="","",IFERROR(IF(OR($L323="BAIXADO",$L323="FURTADO"),0,INDEX(Listas!$J$2:$J$40,MATCH($B323,Listas!$I$2:$I$40,0))),""))</f>
        <v/>
      </c>
      <c r="P323" s="31" t="str">
        <f t="array" ref="P323">IF($A323="","",IFERROR(_xlfn.XLOOKUP($A323,'Movimentação'!$B$7:$B$1006,'Movimentação'!$F$7:$F$1006,"",0,-1),""))</f>
        <v/>
      </c>
      <c r="Q323" s="31">
        <f>IF(COUNTIFS('Manutenção'!$B$7:$B$1006,$A323,'Manutenção'!$H$7:$H$1006,"EM CONSERTO")&gt;0,1,0)</f>
        <v>0</v>
      </c>
    </row>
    <row r="324" ht="15.0" hidden="1" customHeight="1">
      <c r="A324" s="15"/>
      <c r="B324" s="17"/>
      <c r="C324" s="17"/>
      <c r="D324" s="17"/>
      <c r="E324" s="17"/>
      <c r="F324" s="17"/>
      <c r="G324" s="18"/>
      <c r="H324" s="15"/>
      <c r="I324" s="15"/>
      <c r="J324" s="24" t="str">
        <f t="array" ref="J324">IF($A324="","",IFERROR(_xlfn.XLOOKUP($A324,'Movimentação'!$B$7:$B$1006,'Movimentação'!$E$7:$E$1006,"",0,-1),""))</f>
        <v/>
      </c>
      <c r="K324" s="24" t="str">
        <f t="array" ref="K324">IF($A324="","",IFERROR(_xlfn.XLOOKUP($A324,'Movimentação'!$B$7:$B$1006,'Movimentação'!$G$7:$G$1006,"",0,-1),""))</f>
        <v/>
      </c>
      <c r="L324" s="24" t="str">
        <f t="shared" si="3"/>
        <v/>
      </c>
      <c r="M324" s="17"/>
      <c r="N324" s="30" t="str">
        <f t="array" ref="N324">IF($A324="","",IFERROR(IF(OR($L324="BAIXADO",$L324="FURTADO"),0,INDEX(Listas!$J$2:$J$40,MATCH($B324,Listas!$I$2:$I$40,0))),""))</f>
        <v/>
      </c>
      <c r="P324" s="31" t="str">
        <f t="array" ref="P324">IF($A324="","",IFERROR(_xlfn.XLOOKUP($A324,'Movimentação'!$B$7:$B$1006,'Movimentação'!$F$7:$F$1006,"",0,-1),""))</f>
        <v/>
      </c>
      <c r="Q324" s="31">
        <f>IF(COUNTIFS('Manutenção'!$B$7:$B$1006,$A324,'Manutenção'!$H$7:$H$1006,"EM CONSERTO")&gt;0,1,0)</f>
        <v>0</v>
      </c>
    </row>
    <row r="325" ht="15.0" hidden="1" customHeight="1">
      <c r="A325" s="15"/>
      <c r="B325" s="17"/>
      <c r="C325" s="17"/>
      <c r="D325" s="17"/>
      <c r="E325" s="17"/>
      <c r="F325" s="17"/>
      <c r="G325" s="18"/>
      <c r="H325" s="15"/>
      <c r="I325" s="15"/>
      <c r="J325" s="24" t="str">
        <f t="array" ref="J325">IF($A325="","",IFERROR(_xlfn.XLOOKUP($A325,'Movimentação'!$B$7:$B$1006,'Movimentação'!$E$7:$E$1006,"",0,-1),""))</f>
        <v/>
      </c>
      <c r="K325" s="24" t="str">
        <f t="array" ref="K325">IF($A325="","",IFERROR(_xlfn.XLOOKUP($A325,'Movimentação'!$B$7:$B$1006,'Movimentação'!$G$7:$G$1006,"",0,-1),""))</f>
        <v/>
      </c>
      <c r="L325" s="24" t="str">
        <f t="shared" si="3"/>
        <v/>
      </c>
      <c r="M325" s="17"/>
      <c r="N325" s="30" t="str">
        <f t="array" ref="N325">IF($A325="","",IFERROR(IF(OR($L325="BAIXADO",$L325="FURTADO"),0,INDEX(Listas!$J$2:$J$40,MATCH($B325,Listas!$I$2:$I$40,0))),""))</f>
        <v/>
      </c>
      <c r="P325" s="31" t="str">
        <f t="array" ref="P325">IF($A325="","",IFERROR(_xlfn.XLOOKUP($A325,'Movimentação'!$B$7:$B$1006,'Movimentação'!$F$7:$F$1006,"",0,-1),""))</f>
        <v/>
      </c>
      <c r="Q325" s="31">
        <f>IF(COUNTIFS('Manutenção'!$B$7:$B$1006,$A325,'Manutenção'!$H$7:$H$1006,"EM CONSERTO")&gt;0,1,0)</f>
        <v>0</v>
      </c>
    </row>
    <row r="326" ht="15.0" hidden="1" customHeight="1">
      <c r="A326" s="15"/>
      <c r="B326" s="17"/>
      <c r="C326" s="17"/>
      <c r="D326" s="17"/>
      <c r="E326" s="17"/>
      <c r="F326" s="17"/>
      <c r="G326" s="18"/>
      <c r="H326" s="15"/>
      <c r="I326" s="15"/>
      <c r="J326" s="24" t="str">
        <f t="array" ref="J326">IF($A326="","",IFERROR(_xlfn.XLOOKUP($A326,'Movimentação'!$B$7:$B$1006,'Movimentação'!$E$7:$E$1006,"",0,-1),""))</f>
        <v/>
      </c>
      <c r="K326" s="24" t="str">
        <f t="array" ref="K326">IF($A326="","",IFERROR(_xlfn.XLOOKUP($A326,'Movimentação'!$B$7:$B$1006,'Movimentação'!$G$7:$G$1006,"",0,-1),""))</f>
        <v/>
      </c>
      <c r="L326" s="24" t="str">
        <f t="shared" si="3"/>
        <v/>
      </c>
      <c r="M326" s="17"/>
      <c r="N326" s="30" t="str">
        <f t="array" ref="N326">IF($A326="","",IFERROR(IF(OR($L326="BAIXADO",$L326="FURTADO"),0,INDEX(Listas!$J$2:$J$40,MATCH($B326,Listas!$I$2:$I$40,0))),""))</f>
        <v/>
      </c>
      <c r="P326" s="31" t="str">
        <f t="array" ref="P326">IF($A326="","",IFERROR(_xlfn.XLOOKUP($A326,'Movimentação'!$B$7:$B$1006,'Movimentação'!$F$7:$F$1006,"",0,-1),""))</f>
        <v/>
      </c>
      <c r="Q326" s="31">
        <f>IF(COUNTIFS('Manutenção'!$B$7:$B$1006,$A326,'Manutenção'!$H$7:$H$1006,"EM CONSERTO")&gt;0,1,0)</f>
        <v>0</v>
      </c>
    </row>
    <row r="327" ht="15.0" hidden="1" customHeight="1">
      <c r="A327" s="15"/>
      <c r="B327" s="17"/>
      <c r="C327" s="17"/>
      <c r="D327" s="17"/>
      <c r="E327" s="17"/>
      <c r="F327" s="17"/>
      <c r="G327" s="18"/>
      <c r="H327" s="15"/>
      <c r="I327" s="15"/>
      <c r="J327" s="24" t="str">
        <f t="array" ref="J327">IF($A327="","",IFERROR(_xlfn.XLOOKUP($A327,'Movimentação'!$B$7:$B$1006,'Movimentação'!$E$7:$E$1006,"",0,-1),""))</f>
        <v/>
      </c>
      <c r="K327" s="24" t="str">
        <f t="array" ref="K327">IF($A327="","",IFERROR(_xlfn.XLOOKUP($A327,'Movimentação'!$B$7:$B$1006,'Movimentação'!$G$7:$G$1006,"",0,-1),""))</f>
        <v/>
      </c>
      <c r="L327" s="24" t="str">
        <f t="shared" si="3"/>
        <v/>
      </c>
      <c r="M327" s="17"/>
      <c r="N327" s="30" t="str">
        <f t="array" ref="N327">IF($A327="","",IFERROR(IF(OR($L327="BAIXADO",$L327="FURTADO"),0,INDEX(Listas!$J$2:$J$40,MATCH($B327,Listas!$I$2:$I$40,0))),""))</f>
        <v/>
      </c>
      <c r="P327" s="31" t="str">
        <f t="array" ref="P327">IF($A327="","",IFERROR(_xlfn.XLOOKUP($A327,'Movimentação'!$B$7:$B$1006,'Movimentação'!$F$7:$F$1006,"",0,-1),""))</f>
        <v/>
      </c>
      <c r="Q327" s="31">
        <f>IF(COUNTIFS('Manutenção'!$B$7:$B$1006,$A327,'Manutenção'!$H$7:$H$1006,"EM CONSERTO")&gt;0,1,0)</f>
        <v>0</v>
      </c>
    </row>
    <row r="328" ht="15.0" hidden="1" customHeight="1">
      <c r="A328" s="15"/>
      <c r="B328" s="17"/>
      <c r="C328" s="17"/>
      <c r="D328" s="17"/>
      <c r="E328" s="17"/>
      <c r="F328" s="17"/>
      <c r="G328" s="18"/>
      <c r="H328" s="15"/>
      <c r="I328" s="15"/>
      <c r="J328" s="24" t="str">
        <f t="array" ref="J328">IF($A328="","",IFERROR(_xlfn.XLOOKUP($A328,'Movimentação'!$B$7:$B$1006,'Movimentação'!$E$7:$E$1006,"",0,-1),""))</f>
        <v/>
      </c>
      <c r="K328" s="24" t="str">
        <f t="array" ref="K328">IF($A328="","",IFERROR(_xlfn.XLOOKUP($A328,'Movimentação'!$B$7:$B$1006,'Movimentação'!$G$7:$G$1006,"",0,-1),""))</f>
        <v/>
      </c>
      <c r="L328" s="24" t="str">
        <f t="shared" si="3"/>
        <v/>
      </c>
      <c r="M328" s="17"/>
      <c r="N328" s="30" t="str">
        <f t="array" ref="N328">IF($A328="","",IFERROR(IF(OR($L328="BAIXADO",$L328="FURTADO"),0,INDEX(Listas!$J$2:$J$40,MATCH($B328,Listas!$I$2:$I$40,0))),""))</f>
        <v/>
      </c>
      <c r="P328" s="31" t="str">
        <f t="array" ref="P328">IF($A328="","",IFERROR(_xlfn.XLOOKUP($A328,'Movimentação'!$B$7:$B$1006,'Movimentação'!$F$7:$F$1006,"",0,-1),""))</f>
        <v/>
      </c>
      <c r="Q328" s="31">
        <f>IF(COUNTIFS('Manutenção'!$B$7:$B$1006,$A328,'Manutenção'!$H$7:$H$1006,"EM CONSERTO")&gt;0,1,0)</f>
        <v>0</v>
      </c>
    </row>
    <row r="329" ht="15.0" hidden="1" customHeight="1">
      <c r="A329" s="15"/>
      <c r="B329" s="17"/>
      <c r="C329" s="17"/>
      <c r="D329" s="17"/>
      <c r="E329" s="17"/>
      <c r="F329" s="17"/>
      <c r="G329" s="18"/>
      <c r="H329" s="15"/>
      <c r="I329" s="15"/>
      <c r="J329" s="24" t="str">
        <f t="array" ref="J329">IF($A329="","",IFERROR(_xlfn.XLOOKUP($A329,'Movimentação'!$B$7:$B$1006,'Movimentação'!$E$7:$E$1006,"",0,-1),""))</f>
        <v/>
      </c>
      <c r="K329" s="24" t="str">
        <f t="array" ref="K329">IF($A329="","",IFERROR(_xlfn.XLOOKUP($A329,'Movimentação'!$B$7:$B$1006,'Movimentação'!$G$7:$G$1006,"",0,-1),""))</f>
        <v/>
      </c>
      <c r="L329" s="24" t="str">
        <f t="shared" si="3"/>
        <v/>
      </c>
      <c r="M329" s="17"/>
      <c r="N329" s="30" t="str">
        <f t="array" ref="N329">IF($A329="","",IFERROR(IF(OR($L329="BAIXADO",$L329="FURTADO"),0,INDEX(Listas!$J$2:$J$40,MATCH($B329,Listas!$I$2:$I$40,0))),""))</f>
        <v/>
      </c>
      <c r="P329" s="31" t="str">
        <f t="array" ref="P329">IF($A329="","",IFERROR(_xlfn.XLOOKUP($A329,'Movimentação'!$B$7:$B$1006,'Movimentação'!$F$7:$F$1006,"",0,-1),""))</f>
        <v/>
      </c>
      <c r="Q329" s="31">
        <f>IF(COUNTIFS('Manutenção'!$B$7:$B$1006,$A329,'Manutenção'!$H$7:$H$1006,"EM CONSERTO")&gt;0,1,0)</f>
        <v>0</v>
      </c>
    </row>
    <row r="330" ht="15.0" hidden="1" customHeight="1">
      <c r="A330" s="15"/>
      <c r="B330" s="17"/>
      <c r="C330" s="17"/>
      <c r="D330" s="17"/>
      <c r="E330" s="17"/>
      <c r="F330" s="17"/>
      <c r="G330" s="18"/>
      <c r="H330" s="15"/>
      <c r="I330" s="15"/>
      <c r="J330" s="24" t="str">
        <f t="array" ref="J330">IF($A330="","",IFERROR(_xlfn.XLOOKUP($A330,'Movimentação'!$B$7:$B$1006,'Movimentação'!$E$7:$E$1006,"",0,-1),""))</f>
        <v/>
      </c>
      <c r="K330" s="24" t="str">
        <f t="array" ref="K330">IF($A330="","",IFERROR(_xlfn.XLOOKUP($A330,'Movimentação'!$B$7:$B$1006,'Movimentação'!$G$7:$G$1006,"",0,-1),""))</f>
        <v/>
      </c>
      <c r="L330" s="24" t="str">
        <f t="shared" si="3"/>
        <v/>
      </c>
      <c r="M330" s="17"/>
      <c r="N330" s="30" t="str">
        <f t="array" ref="N330">IF($A330="","",IFERROR(IF(OR($L330="BAIXADO",$L330="FURTADO"),0,INDEX(Listas!$J$2:$J$40,MATCH($B330,Listas!$I$2:$I$40,0))),""))</f>
        <v/>
      </c>
      <c r="P330" s="31" t="str">
        <f t="array" ref="P330">IF($A330="","",IFERROR(_xlfn.XLOOKUP($A330,'Movimentação'!$B$7:$B$1006,'Movimentação'!$F$7:$F$1006,"",0,-1),""))</f>
        <v/>
      </c>
      <c r="Q330" s="31">
        <f>IF(COUNTIFS('Manutenção'!$B$7:$B$1006,$A330,'Manutenção'!$H$7:$H$1006,"EM CONSERTO")&gt;0,1,0)</f>
        <v>0</v>
      </c>
    </row>
    <row r="331" ht="15.0" hidden="1" customHeight="1">
      <c r="A331" s="15"/>
      <c r="B331" s="17"/>
      <c r="C331" s="17"/>
      <c r="D331" s="17"/>
      <c r="E331" s="17"/>
      <c r="F331" s="17"/>
      <c r="G331" s="18"/>
      <c r="H331" s="15"/>
      <c r="I331" s="15"/>
      <c r="J331" s="24" t="str">
        <f t="array" ref="J331">IF($A331="","",IFERROR(_xlfn.XLOOKUP($A331,'Movimentação'!$B$7:$B$1006,'Movimentação'!$E$7:$E$1006,"",0,-1),""))</f>
        <v/>
      </c>
      <c r="K331" s="24" t="str">
        <f t="array" ref="K331">IF($A331="","",IFERROR(_xlfn.XLOOKUP($A331,'Movimentação'!$B$7:$B$1006,'Movimentação'!$G$7:$G$1006,"",0,-1),""))</f>
        <v/>
      </c>
      <c r="L331" s="24" t="str">
        <f t="shared" si="3"/>
        <v/>
      </c>
      <c r="M331" s="17"/>
      <c r="N331" s="30" t="str">
        <f t="array" ref="N331">IF($A331="","",IFERROR(IF(OR($L331="BAIXADO",$L331="FURTADO"),0,INDEX(Listas!$J$2:$J$40,MATCH($B331,Listas!$I$2:$I$40,0))),""))</f>
        <v/>
      </c>
      <c r="P331" s="31" t="str">
        <f t="array" ref="P331">IF($A331="","",IFERROR(_xlfn.XLOOKUP($A331,'Movimentação'!$B$7:$B$1006,'Movimentação'!$F$7:$F$1006,"",0,-1),""))</f>
        <v/>
      </c>
      <c r="Q331" s="31">
        <f>IF(COUNTIFS('Manutenção'!$B$7:$B$1006,$A331,'Manutenção'!$H$7:$H$1006,"EM CONSERTO")&gt;0,1,0)</f>
        <v>0</v>
      </c>
    </row>
    <row r="332" ht="15.0" hidden="1" customHeight="1">
      <c r="A332" s="15"/>
      <c r="B332" s="17"/>
      <c r="C332" s="17"/>
      <c r="D332" s="17"/>
      <c r="E332" s="17"/>
      <c r="F332" s="17"/>
      <c r="G332" s="18"/>
      <c r="H332" s="15"/>
      <c r="I332" s="15"/>
      <c r="J332" s="24" t="str">
        <f t="array" ref="J332">IF($A332="","",IFERROR(_xlfn.XLOOKUP($A332,'Movimentação'!$B$7:$B$1006,'Movimentação'!$E$7:$E$1006,"",0,-1),""))</f>
        <v/>
      </c>
      <c r="K332" s="24" t="str">
        <f t="array" ref="K332">IF($A332="","",IFERROR(_xlfn.XLOOKUP($A332,'Movimentação'!$B$7:$B$1006,'Movimentação'!$G$7:$G$1006,"",0,-1),""))</f>
        <v/>
      </c>
      <c r="L332" s="24" t="str">
        <f t="shared" si="3"/>
        <v/>
      </c>
      <c r="M332" s="17"/>
      <c r="N332" s="30" t="str">
        <f t="array" ref="N332">IF($A332="","",IFERROR(IF(OR($L332="BAIXADO",$L332="FURTADO"),0,INDEX(Listas!$J$2:$J$40,MATCH($B332,Listas!$I$2:$I$40,0))),""))</f>
        <v/>
      </c>
      <c r="P332" s="31" t="str">
        <f t="array" ref="P332">IF($A332="","",IFERROR(_xlfn.XLOOKUP($A332,'Movimentação'!$B$7:$B$1006,'Movimentação'!$F$7:$F$1006,"",0,-1),""))</f>
        <v/>
      </c>
      <c r="Q332" s="31">
        <f>IF(COUNTIFS('Manutenção'!$B$7:$B$1006,$A332,'Manutenção'!$H$7:$H$1006,"EM CONSERTO")&gt;0,1,0)</f>
        <v>0</v>
      </c>
    </row>
    <row r="333" ht="15.0" hidden="1" customHeight="1">
      <c r="A333" s="15"/>
      <c r="B333" s="17"/>
      <c r="C333" s="17"/>
      <c r="D333" s="17"/>
      <c r="E333" s="17"/>
      <c r="F333" s="17"/>
      <c r="G333" s="18"/>
      <c r="H333" s="15"/>
      <c r="I333" s="15"/>
      <c r="J333" s="24" t="str">
        <f t="array" ref="J333">IF($A333="","",IFERROR(_xlfn.XLOOKUP($A333,'Movimentação'!$B$7:$B$1006,'Movimentação'!$E$7:$E$1006,"",0,-1),""))</f>
        <v/>
      </c>
      <c r="K333" s="24" t="str">
        <f t="array" ref="K333">IF($A333="","",IFERROR(_xlfn.XLOOKUP($A333,'Movimentação'!$B$7:$B$1006,'Movimentação'!$G$7:$G$1006,"",0,-1),""))</f>
        <v/>
      </c>
      <c r="L333" s="24" t="str">
        <f t="shared" si="3"/>
        <v/>
      </c>
      <c r="M333" s="17"/>
      <c r="N333" s="30" t="str">
        <f t="array" ref="N333">IF($A333="","",IFERROR(IF(OR($L333="BAIXADO",$L333="FURTADO"),0,INDEX(Listas!$J$2:$J$40,MATCH($B333,Listas!$I$2:$I$40,0))),""))</f>
        <v/>
      </c>
      <c r="P333" s="31" t="str">
        <f t="array" ref="P333">IF($A333="","",IFERROR(_xlfn.XLOOKUP($A333,'Movimentação'!$B$7:$B$1006,'Movimentação'!$F$7:$F$1006,"",0,-1),""))</f>
        <v/>
      </c>
      <c r="Q333" s="31">
        <f>IF(COUNTIFS('Manutenção'!$B$7:$B$1006,$A333,'Manutenção'!$H$7:$H$1006,"EM CONSERTO")&gt;0,1,0)</f>
        <v>0</v>
      </c>
    </row>
    <row r="334" ht="15.0" hidden="1" customHeight="1">
      <c r="A334" s="15"/>
      <c r="B334" s="17"/>
      <c r="C334" s="17"/>
      <c r="D334" s="17"/>
      <c r="E334" s="17"/>
      <c r="F334" s="17"/>
      <c r="G334" s="18"/>
      <c r="H334" s="15"/>
      <c r="I334" s="15"/>
      <c r="J334" s="24" t="str">
        <f t="array" ref="J334">IF($A334="","",IFERROR(_xlfn.XLOOKUP($A334,'Movimentação'!$B$7:$B$1006,'Movimentação'!$E$7:$E$1006,"",0,-1),""))</f>
        <v/>
      </c>
      <c r="K334" s="24" t="str">
        <f t="array" ref="K334">IF($A334="","",IFERROR(_xlfn.XLOOKUP($A334,'Movimentação'!$B$7:$B$1006,'Movimentação'!$G$7:$G$1006,"",0,-1),""))</f>
        <v/>
      </c>
      <c r="L334" s="24" t="str">
        <f t="shared" si="3"/>
        <v/>
      </c>
      <c r="M334" s="17"/>
      <c r="N334" s="30" t="str">
        <f t="array" ref="N334">IF($A334="","",IFERROR(IF(OR($L334="BAIXADO",$L334="FURTADO"),0,INDEX(Listas!$J$2:$J$40,MATCH($B334,Listas!$I$2:$I$40,0))),""))</f>
        <v/>
      </c>
      <c r="P334" s="31" t="str">
        <f t="array" ref="P334">IF($A334="","",IFERROR(_xlfn.XLOOKUP($A334,'Movimentação'!$B$7:$B$1006,'Movimentação'!$F$7:$F$1006,"",0,-1),""))</f>
        <v/>
      </c>
      <c r="Q334" s="31">
        <f>IF(COUNTIFS('Manutenção'!$B$7:$B$1006,$A334,'Manutenção'!$H$7:$H$1006,"EM CONSERTO")&gt;0,1,0)</f>
        <v>0</v>
      </c>
    </row>
    <row r="335" ht="15.0" hidden="1" customHeight="1">
      <c r="A335" s="15"/>
      <c r="B335" s="17"/>
      <c r="C335" s="17"/>
      <c r="D335" s="17"/>
      <c r="E335" s="17"/>
      <c r="F335" s="17"/>
      <c r="G335" s="18"/>
      <c r="H335" s="15"/>
      <c r="I335" s="15"/>
      <c r="J335" s="24" t="str">
        <f t="array" ref="J335">IF($A335="","",IFERROR(_xlfn.XLOOKUP($A335,'Movimentação'!$B$7:$B$1006,'Movimentação'!$E$7:$E$1006,"",0,-1),""))</f>
        <v/>
      </c>
      <c r="K335" s="24" t="str">
        <f t="array" ref="K335">IF($A335="","",IFERROR(_xlfn.XLOOKUP($A335,'Movimentação'!$B$7:$B$1006,'Movimentação'!$G$7:$G$1006,"",0,-1),""))</f>
        <v/>
      </c>
      <c r="L335" s="24" t="str">
        <f t="shared" si="3"/>
        <v/>
      </c>
      <c r="M335" s="17"/>
      <c r="N335" s="30" t="str">
        <f t="array" ref="N335">IF($A335="","",IFERROR(IF(OR($L335="BAIXADO",$L335="FURTADO"),0,INDEX(Listas!$J$2:$J$40,MATCH($B335,Listas!$I$2:$I$40,0))),""))</f>
        <v/>
      </c>
      <c r="P335" s="31" t="str">
        <f t="array" ref="P335">IF($A335="","",IFERROR(_xlfn.XLOOKUP($A335,'Movimentação'!$B$7:$B$1006,'Movimentação'!$F$7:$F$1006,"",0,-1),""))</f>
        <v/>
      </c>
      <c r="Q335" s="31">
        <f>IF(COUNTIFS('Manutenção'!$B$7:$B$1006,$A335,'Manutenção'!$H$7:$H$1006,"EM CONSERTO")&gt;0,1,0)</f>
        <v>0</v>
      </c>
    </row>
    <row r="336" ht="15.0" hidden="1" customHeight="1">
      <c r="A336" s="15"/>
      <c r="B336" s="17"/>
      <c r="C336" s="17"/>
      <c r="D336" s="17"/>
      <c r="E336" s="17"/>
      <c r="F336" s="17"/>
      <c r="G336" s="18"/>
      <c r="H336" s="15"/>
      <c r="I336" s="15"/>
      <c r="J336" s="24" t="str">
        <f t="array" ref="J336">IF($A336="","",IFERROR(_xlfn.XLOOKUP($A336,'Movimentação'!$B$7:$B$1006,'Movimentação'!$E$7:$E$1006,"",0,-1),""))</f>
        <v/>
      </c>
      <c r="K336" s="24" t="str">
        <f t="array" ref="K336">IF($A336="","",IFERROR(_xlfn.XLOOKUP($A336,'Movimentação'!$B$7:$B$1006,'Movimentação'!$G$7:$G$1006,"",0,-1),""))</f>
        <v/>
      </c>
      <c r="L336" s="24" t="str">
        <f t="shared" si="3"/>
        <v/>
      </c>
      <c r="M336" s="17"/>
      <c r="N336" s="30" t="str">
        <f t="array" ref="N336">IF($A336="","",IFERROR(IF(OR($L336="BAIXADO",$L336="FURTADO"),0,INDEX(Listas!$J$2:$J$40,MATCH($B336,Listas!$I$2:$I$40,0))),""))</f>
        <v/>
      </c>
      <c r="P336" s="31" t="str">
        <f t="array" ref="P336">IF($A336="","",IFERROR(_xlfn.XLOOKUP($A336,'Movimentação'!$B$7:$B$1006,'Movimentação'!$F$7:$F$1006,"",0,-1),""))</f>
        <v/>
      </c>
      <c r="Q336" s="31">
        <f>IF(COUNTIFS('Manutenção'!$B$7:$B$1006,$A336,'Manutenção'!$H$7:$H$1006,"EM CONSERTO")&gt;0,1,0)</f>
        <v>0</v>
      </c>
    </row>
    <row r="337" ht="15.0" hidden="1" customHeight="1">
      <c r="A337" s="15"/>
      <c r="B337" s="17"/>
      <c r="C337" s="17"/>
      <c r="D337" s="17"/>
      <c r="E337" s="17"/>
      <c r="F337" s="17"/>
      <c r="G337" s="18"/>
      <c r="H337" s="15"/>
      <c r="I337" s="15"/>
      <c r="J337" s="24" t="str">
        <f t="array" ref="J337">IF($A337="","",IFERROR(_xlfn.XLOOKUP($A337,'Movimentação'!$B$7:$B$1006,'Movimentação'!$E$7:$E$1006,"",0,-1),""))</f>
        <v/>
      </c>
      <c r="K337" s="24" t="str">
        <f t="array" ref="K337">IF($A337="","",IFERROR(_xlfn.XLOOKUP($A337,'Movimentação'!$B$7:$B$1006,'Movimentação'!$G$7:$G$1006,"",0,-1),""))</f>
        <v/>
      </c>
      <c r="L337" s="24" t="str">
        <f t="shared" si="3"/>
        <v/>
      </c>
      <c r="M337" s="17"/>
      <c r="N337" s="30" t="str">
        <f t="array" ref="N337">IF($A337="","",IFERROR(IF(OR($L337="BAIXADO",$L337="FURTADO"),0,INDEX(Listas!$J$2:$J$40,MATCH($B337,Listas!$I$2:$I$40,0))),""))</f>
        <v/>
      </c>
      <c r="P337" s="31" t="str">
        <f t="array" ref="P337">IF($A337="","",IFERROR(_xlfn.XLOOKUP($A337,'Movimentação'!$B$7:$B$1006,'Movimentação'!$F$7:$F$1006,"",0,-1),""))</f>
        <v/>
      </c>
      <c r="Q337" s="31">
        <f>IF(COUNTIFS('Manutenção'!$B$7:$B$1006,$A337,'Manutenção'!$H$7:$H$1006,"EM CONSERTO")&gt;0,1,0)</f>
        <v>0</v>
      </c>
    </row>
    <row r="338" ht="15.0" hidden="1" customHeight="1">
      <c r="A338" s="15"/>
      <c r="B338" s="17"/>
      <c r="C338" s="17"/>
      <c r="D338" s="17"/>
      <c r="E338" s="17"/>
      <c r="F338" s="17"/>
      <c r="G338" s="18"/>
      <c r="H338" s="15"/>
      <c r="I338" s="15"/>
      <c r="J338" s="24" t="str">
        <f t="array" ref="J338">IF($A338="","",IFERROR(_xlfn.XLOOKUP($A338,'Movimentação'!$B$7:$B$1006,'Movimentação'!$E$7:$E$1006,"",0,-1),""))</f>
        <v/>
      </c>
      <c r="K338" s="24" t="str">
        <f t="array" ref="K338">IF($A338="","",IFERROR(_xlfn.XLOOKUP($A338,'Movimentação'!$B$7:$B$1006,'Movimentação'!$G$7:$G$1006,"",0,-1),""))</f>
        <v/>
      </c>
      <c r="L338" s="24" t="str">
        <f t="shared" si="3"/>
        <v/>
      </c>
      <c r="M338" s="17"/>
      <c r="N338" s="30" t="str">
        <f t="array" ref="N338">IF($A338="","",IFERROR(IF(OR($L338="BAIXADO",$L338="FURTADO"),0,INDEX(Listas!$J$2:$J$40,MATCH($B338,Listas!$I$2:$I$40,0))),""))</f>
        <v/>
      </c>
      <c r="P338" s="31" t="str">
        <f t="array" ref="P338">IF($A338="","",IFERROR(_xlfn.XLOOKUP($A338,'Movimentação'!$B$7:$B$1006,'Movimentação'!$F$7:$F$1006,"",0,-1),""))</f>
        <v/>
      </c>
      <c r="Q338" s="31">
        <f>IF(COUNTIFS('Manutenção'!$B$7:$B$1006,$A338,'Manutenção'!$H$7:$H$1006,"EM CONSERTO")&gt;0,1,0)</f>
        <v>0</v>
      </c>
    </row>
    <row r="339" ht="15.0" hidden="1" customHeight="1">
      <c r="A339" s="15"/>
      <c r="B339" s="17"/>
      <c r="C339" s="17"/>
      <c r="D339" s="17"/>
      <c r="E339" s="17"/>
      <c r="F339" s="17"/>
      <c r="G339" s="18"/>
      <c r="H339" s="15"/>
      <c r="I339" s="15"/>
      <c r="J339" s="24" t="str">
        <f t="array" ref="J339">IF($A339="","",IFERROR(_xlfn.XLOOKUP($A339,'Movimentação'!$B$7:$B$1006,'Movimentação'!$E$7:$E$1006,"",0,-1),""))</f>
        <v/>
      </c>
      <c r="K339" s="24" t="str">
        <f t="array" ref="K339">IF($A339="","",IFERROR(_xlfn.XLOOKUP($A339,'Movimentação'!$B$7:$B$1006,'Movimentação'!$G$7:$G$1006,"",0,-1),""))</f>
        <v/>
      </c>
      <c r="L339" s="24" t="str">
        <f t="shared" si="3"/>
        <v/>
      </c>
      <c r="M339" s="17"/>
      <c r="N339" s="30" t="str">
        <f t="array" ref="N339">IF($A339="","",IFERROR(IF(OR($L339="BAIXADO",$L339="FURTADO"),0,INDEX(Listas!$J$2:$J$40,MATCH($B339,Listas!$I$2:$I$40,0))),""))</f>
        <v/>
      </c>
      <c r="P339" s="31" t="str">
        <f t="array" ref="P339">IF($A339="","",IFERROR(_xlfn.XLOOKUP($A339,'Movimentação'!$B$7:$B$1006,'Movimentação'!$F$7:$F$1006,"",0,-1),""))</f>
        <v/>
      </c>
      <c r="Q339" s="31">
        <f>IF(COUNTIFS('Manutenção'!$B$7:$B$1006,$A339,'Manutenção'!$H$7:$H$1006,"EM CONSERTO")&gt;0,1,0)</f>
        <v>0</v>
      </c>
    </row>
    <row r="340" ht="15.0" hidden="1" customHeight="1">
      <c r="A340" s="15"/>
      <c r="B340" s="17"/>
      <c r="C340" s="17"/>
      <c r="D340" s="17"/>
      <c r="E340" s="17"/>
      <c r="F340" s="17"/>
      <c r="G340" s="18"/>
      <c r="H340" s="15"/>
      <c r="I340" s="15"/>
      <c r="J340" s="24" t="str">
        <f t="array" ref="J340">IF($A340="","",IFERROR(_xlfn.XLOOKUP($A340,'Movimentação'!$B$7:$B$1006,'Movimentação'!$E$7:$E$1006,"",0,-1),""))</f>
        <v/>
      </c>
      <c r="K340" s="24" t="str">
        <f t="array" ref="K340">IF($A340="","",IFERROR(_xlfn.XLOOKUP($A340,'Movimentação'!$B$7:$B$1006,'Movimentação'!$G$7:$G$1006,"",0,-1),""))</f>
        <v/>
      </c>
      <c r="L340" s="24" t="str">
        <f t="shared" si="3"/>
        <v/>
      </c>
      <c r="M340" s="17"/>
      <c r="N340" s="30" t="str">
        <f t="array" ref="N340">IF($A340="","",IFERROR(IF(OR($L340="BAIXADO",$L340="FURTADO"),0,INDEX(Listas!$J$2:$J$40,MATCH($B340,Listas!$I$2:$I$40,0))),""))</f>
        <v/>
      </c>
      <c r="P340" s="31" t="str">
        <f t="array" ref="P340">IF($A340="","",IFERROR(_xlfn.XLOOKUP($A340,'Movimentação'!$B$7:$B$1006,'Movimentação'!$F$7:$F$1006,"",0,-1),""))</f>
        <v/>
      </c>
      <c r="Q340" s="31">
        <f>IF(COUNTIFS('Manutenção'!$B$7:$B$1006,$A340,'Manutenção'!$H$7:$H$1006,"EM CONSERTO")&gt;0,1,0)</f>
        <v>0</v>
      </c>
    </row>
    <row r="341" ht="15.0" hidden="1" customHeight="1">
      <c r="A341" s="15"/>
      <c r="B341" s="17"/>
      <c r="C341" s="17"/>
      <c r="D341" s="17"/>
      <c r="E341" s="17"/>
      <c r="F341" s="17"/>
      <c r="G341" s="18"/>
      <c r="H341" s="15"/>
      <c r="I341" s="15"/>
      <c r="J341" s="24" t="str">
        <f t="array" ref="J341">IF($A341="","",IFERROR(_xlfn.XLOOKUP($A341,'Movimentação'!$B$7:$B$1006,'Movimentação'!$E$7:$E$1006,"",0,-1),""))</f>
        <v/>
      </c>
      <c r="K341" s="24" t="str">
        <f t="array" ref="K341">IF($A341="","",IFERROR(_xlfn.XLOOKUP($A341,'Movimentação'!$B$7:$B$1006,'Movimentação'!$G$7:$G$1006,"",0,-1),""))</f>
        <v/>
      </c>
      <c r="L341" s="24" t="str">
        <f t="shared" si="3"/>
        <v/>
      </c>
      <c r="M341" s="17"/>
      <c r="N341" s="30" t="str">
        <f t="array" ref="N341">IF($A341="","",IFERROR(IF(OR($L341="BAIXADO",$L341="FURTADO"),0,INDEX(Listas!$J$2:$J$40,MATCH($B341,Listas!$I$2:$I$40,0))),""))</f>
        <v/>
      </c>
      <c r="P341" s="31" t="str">
        <f t="array" ref="P341">IF($A341="","",IFERROR(_xlfn.XLOOKUP($A341,'Movimentação'!$B$7:$B$1006,'Movimentação'!$F$7:$F$1006,"",0,-1),""))</f>
        <v/>
      </c>
      <c r="Q341" s="31">
        <f>IF(COUNTIFS('Manutenção'!$B$7:$B$1006,$A341,'Manutenção'!$H$7:$H$1006,"EM CONSERTO")&gt;0,1,0)</f>
        <v>0</v>
      </c>
    </row>
    <row r="342" ht="15.0" hidden="1" customHeight="1">
      <c r="A342" s="15"/>
      <c r="B342" s="17"/>
      <c r="C342" s="17"/>
      <c r="D342" s="17"/>
      <c r="E342" s="17"/>
      <c r="F342" s="17"/>
      <c r="G342" s="18"/>
      <c r="H342" s="15"/>
      <c r="I342" s="15"/>
      <c r="J342" s="24" t="str">
        <f t="array" ref="J342">IF($A342="","",IFERROR(_xlfn.XLOOKUP($A342,'Movimentação'!$B$7:$B$1006,'Movimentação'!$E$7:$E$1006,"",0,-1),""))</f>
        <v/>
      </c>
      <c r="K342" s="24" t="str">
        <f t="array" ref="K342">IF($A342="","",IFERROR(_xlfn.XLOOKUP($A342,'Movimentação'!$B$7:$B$1006,'Movimentação'!$G$7:$G$1006,"",0,-1),""))</f>
        <v/>
      </c>
      <c r="L342" s="24" t="str">
        <f t="shared" si="3"/>
        <v/>
      </c>
      <c r="M342" s="17"/>
      <c r="N342" s="30" t="str">
        <f t="array" ref="N342">IF($A342="","",IFERROR(IF(OR($L342="BAIXADO",$L342="FURTADO"),0,INDEX(Listas!$J$2:$J$40,MATCH($B342,Listas!$I$2:$I$40,0))),""))</f>
        <v/>
      </c>
      <c r="P342" s="31" t="str">
        <f t="array" ref="P342">IF($A342="","",IFERROR(_xlfn.XLOOKUP($A342,'Movimentação'!$B$7:$B$1006,'Movimentação'!$F$7:$F$1006,"",0,-1),""))</f>
        <v/>
      </c>
      <c r="Q342" s="31">
        <f>IF(COUNTIFS('Manutenção'!$B$7:$B$1006,$A342,'Manutenção'!$H$7:$H$1006,"EM CONSERTO")&gt;0,1,0)</f>
        <v>0</v>
      </c>
    </row>
    <row r="343" ht="15.0" hidden="1" customHeight="1">
      <c r="A343" s="15"/>
      <c r="B343" s="17"/>
      <c r="C343" s="17"/>
      <c r="D343" s="17"/>
      <c r="E343" s="17"/>
      <c r="F343" s="17"/>
      <c r="G343" s="18"/>
      <c r="H343" s="15"/>
      <c r="I343" s="15"/>
      <c r="J343" s="24" t="str">
        <f t="array" ref="J343">IF($A343="","",IFERROR(_xlfn.XLOOKUP($A343,'Movimentação'!$B$7:$B$1006,'Movimentação'!$E$7:$E$1006,"",0,-1),""))</f>
        <v/>
      </c>
      <c r="K343" s="24" t="str">
        <f t="array" ref="K343">IF($A343="","",IFERROR(_xlfn.XLOOKUP($A343,'Movimentação'!$B$7:$B$1006,'Movimentação'!$G$7:$G$1006,"",0,-1),""))</f>
        <v/>
      </c>
      <c r="L343" s="24" t="str">
        <f t="shared" si="3"/>
        <v/>
      </c>
      <c r="M343" s="17"/>
      <c r="N343" s="30" t="str">
        <f t="array" ref="N343">IF($A343="","",IFERROR(IF(OR($L343="BAIXADO",$L343="FURTADO"),0,INDEX(Listas!$J$2:$J$40,MATCH($B343,Listas!$I$2:$I$40,0))),""))</f>
        <v/>
      </c>
      <c r="P343" s="31" t="str">
        <f t="array" ref="P343">IF($A343="","",IFERROR(_xlfn.XLOOKUP($A343,'Movimentação'!$B$7:$B$1006,'Movimentação'!$F$7:$F$1006,"",0,-1),""))</f>
        <v/>
      </c>
      <c r="Q343" s="31">
        <f>IF(COUNTIFS('Manutenção'!$B$7:$B$1006,$A343,'Manutenção'!$H$7:$H$1006,"EM CONSERTO")&gt;0,1,0)</f>
        <v>0</v>
      </c>
    </row>
    <row r="344" ht="15.0" hidden="1" customHeight="1">
      <c r="A344" s="15"/>
      <c r="B344" s="17"/>
      <c r="C344" s="17"/>
      <c r="D344" s="17"/>
      <c r="E344" s="17"/>
      <c r="F344" s="17"/>
      <c r="G344" s="18"/>
      <c r="H344" s="15"/>
      <c r="I344" s="15"/>
      <c r="J344" s="24" t="str">
        <f t="array" ref="J344">IF($A344="","",IFERROR(_xlfn.XLOOKUP($A344,'Movimentação'!$B$7:$B$1006,'Movimentação'!$E$7:$E$1006,"",0,-1),""))</f>
        <v/>
      </c>
      <c r="K344" s="24" t="str">
        <f t="array" ref="K344">IF($A344="","",IFERROR(_xlfn.XLOOKUP($A344,'Movimentação'!$B$7:$B$1006,'Movimentação'!$G$7:$G$1006,"",0,-1),""))</f>
        <v/>
      </c>
      <c r="L344" s="24" t="str">
        <f t="shared" si="3"/>
        <v/>
      </c>
      <c r="M344" s="17"/>
      <c r="N344" s="30" t="str">
        <f t="array" ref="N344">IF($A344="","",IFERROR(IF(OR($L344="BAIXADO",$L344="FURTADO"),0,INDEX(Listas!$J$2:$J$40,MATCH($B344,Listas!$I$2:$I$40,0))),""))</f>
        <v/>
      </c>
      <c r="P344" s="31" t="str">
        <f t="array" ref="P344">IF($A344="","",IFERROR(_xlfn.XLOOKUP($A344,'Movimentação'!$B$7:$B$1006,'Movimentação'!$F$7:$F$1006,"",0,-1),""))</f>
        <v/>
      </c>
      <c r="Q344" s="31">
        <f>IF(COUNTIFS('Manutenção'!$B$7:$B$1006,$A344,'Manutenção'!$H$7:$H$1006,"EM CONSERTO")&gt;0,1,0)</f>
        <v>0</v>
      </c>
    </row>
    <row r="345" ht="15.0" hidden="1" customHeight="1">
      <c r="A345" s="15"/>
      <c r="B345" s="17"/>
      <c r="C345" s="17"/>
      <c r="D345" s="17"/>
      <c r="E345" s="17"/>
      <c r="F345" s="17"/>
      <c r="G345" s="18"/>
      <c r="H345" s="15"/>
      <c r="I345" s="15"/>
      <c r="J345" s="24" t="str">
        <f t="array" ref="J345">IF($A345="","",IFERROR(_xlfn.XLOOKUP($A345,'Movimentação'!$B$7:$B$1006,'Movimentação'!$E$7:$E$1006,"",0,-1),""))</f>
        <v/>
      </c>
      <c r="K345" s="24" t="str">
        <f t="array" ref="K345">IF($A345="","",IFERROR(_xlfn.XLOOKUP($A345,'Movimentação'!$B$7:$B$1006,'Movimentação'!$G$7:$G$1006,"",0,-1),""))</f>
        <v/>
      </c>
      <c r="L345" s="24" t="str">
        <f t="shared" si="3"/>
        <v/>
      </c>
      <c r="M345" s="17"/>
      <c r="N345" s="30" t="str">
        <f t="array" ref="N345">IF($A345="","",IFERROR(IF(OR($L345="BAIXADO",$L345="FURTADO"),0,INDEX(Listas!$J$2:$J$40,MATCH($B345,Listas!$I$2:$I$40,0))),""))</f>
        <v/>
      </c>
      <c r="P345" s="31" t="str">
        <f t="array" ref="P345">IF($A345="","",IFERROR(_xlfn.XLOOKUP($A345,'Movimentação'!$B$7:$B$1006,'Movimentação'!$F$7:$F$1006,"",0,-1),""))</f>
        <v/>
      </c>
      <c r="Q345" s="31">
        <f>IF(COUNTIFS('Manutenção'!$B$7:$B$1006,$A345,'Manutenção'!$H$7:$H$1006,"EM CONSERTO")&gt;0,1,0)</f>
        <v>0</v>
      </c>
    </row>
    <row r="346" ht="15.0" hidden="1" customHeight="1">
      <c r="A346" s="15"/>
      <c r="B346" s="17"/>
      <c r="C346" s="17"/>
      <c r="D346" s="17"/>
      <c r="E346" s="17"/>
      <c r="F346" s="17"/>
      <c r="G346" s="18"/>
      <c r="H346" s="15"/>
      <c r="I346" s="15"/>
      <c r="J346" s="24" t="str">
        <f t="array" ref="J346">IF($A346="","",IFERROR(_xlfn.XLOOKUP($A346,'Movimentação'!$B$7:$B$1006,'Movimentação'!$E$7:$E$1006,"",0,-1),""))</f>
        <v/>
      </c>
      <c r="K346" s="24" t="str">
        <f t="array" ref="K346">IF($A346="","",IFERROR(_xlfn.XLOOKUP($A346,'Movimentação'!$B$7:$B$1006,'Movimentação'!$G$7:$G$1006,"",0,-1),""))</f>
        <v/>
      </c>
      <c r="L346" s="24" t="str">
        <f t="shared" si="3"/>
        <v/>
      </c>
      <c r="M346" s="17"/>
      <c r="N346" s="30" t="str">
        <f t="array" ref="N346">IF($A346="","",IFERROR(IF(OR($L346="BAIXADO",$L346="FURTADO"),0,INDEX(Listas!$J$2:$J$40,MATCH($B346,Listas!$I$2:$I$40,0))),""))</f>
        <v/>
      </c>
      <c r="P346" s="31" t="str">
        <f t="array" ref="P346">IF($A346="","",IFERROR(_xlfn.XLOOKUP($A346,'Movimentação'!$B$7:$B$1006,'Movimentação'!$F$7:$F$1006,"",0,-1),""))</f>
        <v/>
      </c>
      <c r="Q346" s="31">
        <f>IF(COUNTIFS('Manutenção'!$B$7:$B$1006,$A346,'Manutenção'!$H$7:$H$1006,"EM CONSERTO")&gt;0,1,0)</f>
        <v>0</v>
      </c>
    </row>
    <row r="347" ht="15.0" hidden="1" customHeight="1">
      <c r="A347" s="15"/>
      <c r="B347" s="17"/>
      <c r="C347" s="17"/>
      <c r="D347" s="17"/>
      <c r="E347" s="17"/>
      <c r="F347" s="17"/>
      <c r="G347" s="18"/>
      <c r="H347" s="15"/>
      <c r="I347" s="15"/>
      <c r="J347" s="24" t="str">
        <f t="array" ref="J347">IF($A347="","",IFERROR(_xlfn.XLOOKUP($A347,'Movimentação'!$B$7:$B$1006,'Movimentação'!$E$7:$E$1006,"",0,-1),""))</f>
        <v/>
      </c>
      <c r="K347" s="24" t="str">
        <f t="array" ref="K347">IF($A347="","",IFERROR(_xlfn.XLOOKUP($A347,'Movimentação'!$B$7:$B$1006,'Movimentação'!$G$7:$G$1006,"",0,-1),""))</f>
        <v/>
      </c>
      <c r="L347" s="24" t="str">
        <f t="shared" si="3"/>
        <v/>
      </c>
      <c r="M347" s="17"/>
      <c r="N347" s="30" t="str">
        <f t="array" ref="N347">IF($A347="","",IFERROR(IF(OR($L347="BAIXADO",$L347="FURTADO"),0,INDEX(Listas!$J$2:$J$40,MATCH($B347,Listas!$I$2:$I$40,0))),""))</f>
        <v/>
      </c>
      <c r="P347" s="31" t="str">
        <f t="array" ref="P347">IF($A347="","",IFERROR(_xlfn.XLOOKUP($A347,'Movimentação'!$B$7:$B$1006,'Movimentação'!$F$7:$F$1006,"",0,-1),""))</f>
        <v/>
      </c>
      <c r="Q347" s="31">
        <f>IF(COUNTIFS('Manutenção'!$B$7:$B$1006,$A347,'Manutenção'!$H$7:$H$1006,"EM CONSERTO")&gt;0,1,0)</f>
        <v>0</v>
      </c>
    </row>
    <row r="348" ht="15.0" hidden="1" customHeight="1">
      <c r="A348" s="15"/>
      <c r="B348" s="17"/>
      <c r="C348" s="17"/>
      <c r="D348" s="17"/>
      <c r="E348" s="17"/>
      <c r="F348" s="17"/>
      <c r="G348" s="18"/>
      <c r="H348" s="15"/>
      <c r="I348" s="15"/>
      <c r="J348" s="24" t="str">
        <f t="array" ref="J348">IF($A348="","",IFERROR(_xlfn.XLOOKUP($A348,'Movimentação'!$B$7:$B$1006,'Movimentação'!$E$7:$E$1006,"",0,-1),""))</f>
        <v/>
      </c>
      <c r="K348" s="24" t="str">
        <f t="array" ref="K348">IF($A348="","",IFERROR(_xlfn.XLOOKUP($A348,'Movimentação'!$B$7:$B$1006,'Movimentação'!$G$7:$G$1006,"",0,-1),""))</f>
        <v/>
      </c>
      <c r="L348" s="24" t="str">
        <f t="shared" si="3"/>
        <v/>
      </c>
      <c r="M348" s="17"/>
      <c r="N348" s="30" t="str">
        <f t="array" ref="N348">IF($A348="","",IFERROR(IF(OR($L348="BAIXADO",$L348="FURTADO"),0,INDEX(Listas!$J$2:$J$40,MATCH($B348,Listas!$I$2:$I$40,0))),""))</f>
        <v/>
      </c>
      <c r="P348" s="31" t="str">
        <f t="array" ref="P348">IF($A348="","",IFERROR(_xlfn.XLOOKUP($A348,'Movimentação'!$B$7:$B$1006,'Movimentação'!$F$7:$F$1006,"",0,-1),""))</f>
        <v/>
      </c>
      <c r="Q348" s="31">
        <f>IF(COUNTIFS('Manutenção'!$B$7:$B$1006,$A348,'Manutenção'!$H$7:$H$1006,"EM CONSERTO")&gt;0,1,0)</f>
        <v>0</v>
      </c>
    </row>
    <row r="349" ht="15.0" hidden="1" customHeight="1">
      <c r="A349" s="15"/>
      <c r="B349" s="17"/>
      <c r="C349" s="17"/>
      <c r="D349" s="17"/>
      <c r="E349" s="17"/>
      <c r="F349" s="17"/>
      <c r="G349" s="18"/>
      <c r="H349" s="15"/>
      <c r="I349" s="15"/>
      <c r="J349" s="24" t="str">
        <f t="array" ref="J349">IF($A349="","",IFERROR(_xlfn.XLOOKUP($A349,'Movimentação'!$B$7:$B$1006,'Movimentação'!$E$7:$E$1006,"",0,-1),""))</f>
        <v/>
      </c>
      <c r="K349" s="24" t="str">
        <f t="array" ref="K349">IF($A349="","",IFERROR(_xlfn.XLOOKUP($A349,'Movimentação'!$B$7:$B$1006,'Movimentação'!$G$7:$G$1006,"",0,-1),""))</f>
        <v/>
      </c>
      <c r="L349" s="24" t="str">
        <f t="shared" si="3"/>
        <v/>
      </c>
      <c r="M349" s="17"/>
      <c r="N349" s="30" t="str">
        <f t="array" ref="N349">IF($A349="","",IFERROR(IF(OR($L349="BAIXADO",$L349="FURTADO"),0,INDEX(Listas!$J$2:$J$40,MATCH($B349,Listas!$I$2:$I$40,0))),""))</f>
        <v/>
      </c>
      <c r="P349" s="31" t="str">
        <f t="array" ref="P349">IF($A349="","",IFERROR(_xlfn.XLOOKUP($A349,'Movimentação'!$B$7:$B$1006,'Movimentação'!$F$7:$F$1006,"",0,-1),""))</f>
        <v/>
      </c>
      <c r="Q349" s="31">
        <f>IF(COUNTIFS('Manutenção'!$B$7:$B$1006,$A349,'Manutenção'!$H$7:$H$1006,"EM CONSERTO")&gt;0,1,0)</f>
        <v>0</v>
      </c>
    </row>
    <row r="350" ht="15.0" hidden="1" customHeight="1">
      <c r="A350" s="15"/>
      <c r="B350" s="17"/>
      <c r="C350" s="17"/>
      <c r="D350" s="17"/>
      <c r="E350" s="17"/>
      <c r="F350" s="17"/>
      <c r="G350" s="18"/>
      <c r="H350" s="15"/>
      <c r="I350" s="15"/>
      <c r="J350" s="24" t="str">
        <f t="array" ref="J350">IF($A350="","",IFERROR(_xlfn.XLOOKUP($A350,'Movimentação'!$B$7:$B$1006,'Movimentação'!$E$7:$E$1006,"",0,-1),""))</f>
        <v/>
      </c>
      <c r="K350" s="24" t="str">
        <f t="array" ref="K350">IF($A350="","",IFERROR(_xlfn.XLOOKUP($A350,'Movimentação'!$B$7:$B$1006,'Movimentação'!$G$7:$G$1006,"",0,-1),""))</f>
        <v/>
      </c>
      <c r="L350" s="24" t="str">
        <f t="shared" si="3"/>
        <v/>
      </c>
      <c r="M350" s="17"/>
      <c r="N350" s="30" t="str">
        <f t="array" ref="N350">IF($A350="","",IFERROR(IF(OR($L350="BAIXADO",$L350="FURTADO"),0,INDEX(Listas!$J$2:$J$40,MATCH($B350,Listas!$I$2:$I$40,0))),""))</f>
        <v/>
      </c>
      <c r="P350" s="31" t="str">
        <f t="array" ref="P350">IF($A350="","",IFERROR(_xlfn.XLOOKUP($A350,'Movimentação'!$B$7:$B$1006,'Movimentação'!$F$7:$F$1006,"",0,-1),""))</f>
        <v/>
      </c>
      <c r="Q350" s="31">
        <f>IF(COUNTIFS('Manutenção'!$B$7:$B$1006,$A350,'Manutenção'!$H$7:$H$1006,"EM CONSERTO")&gt;0,1,0)</f>
        <v>0</v>
      </c>
    </row>
    <row r="351" ht="15.0" hidden="1" customHeight="1">
      <c r="A351" s="15"/>
      <c r="B351" s="17"/>
      <c r="C351" s="17"/>
      <c r="D351" s="17"/>
      <c r="E351" s="17"/>
      <c r="F351" s="17"/>
      <c r="G351" s="18"/>
      <c r="H351" s="15"/>
      <c r="I351" s="15"/>
      <c r="J351" s="24" t="str">
        <f t="array" ref="J351">IF($A351="","",IFERROR(_xlfn.XLOOKUP($A351,'Movimentação'!$B$7:$B$1006,'Movimentação'!$E$7:$E$1006,"",0,-1),""))</f>
        <v/>
      </c>
      <c r="K351" s="24" t="str">
        <f t="array" ref="K351">IF($A351="","",IFERROR(_xlfn.XLOOKUP($A351,'Movimentação'!$B$7:$B$1006,'Movimentação'!$G$7:$G$1006,"",0,-1),""))</f>
        <v/>
      </c>
      <c r="L351" s="24" t="str">
        <f t="shared" si="3"/>
        <v/>
      </c>
      <c r="M351" s="17"/>
      <c r="N351" s="30" t="str">
        <f t="array" ref="N351">IF($A351="","",IFERROR(IF(OR($L351="BAIXADO",$L351="FURTADO"),0,INDEX(Listas!$J$2:$J$40,MATCH($B351,Listas!$I$2:$I$40,0))),""))</f>
        <v/>
      </c>
      <c r="P351" s="31" t="str">
        <f t="array" ref="P351">IF($A351="","",IFERROR(_xlfn.XLOOKUP($A351,'Movimentação'!$B$7:$B$1006,'Movimentação'!$F$7:$F$1006,"",0,-1),""))</f>
        <v/>
      </c>
      <c r="Q351" s="31">
        <f>IF(COUNTIFS('Manutenção'!$B$7:$B$1006,$A351,'Manutenção'!$H$7:$H$1006,"EM CONSERTO")&gt;0,1,0)</f>
        <v>0</v>
      </c>
    </row>
    <row r="352" ht="15.0" hidden="1" customHeight="1">
      <c r="A352" s="15"/>
      <c r="B352" s="17"/>
      <c r="C352" s="17"/>
      <c r="D352" s="17"/>
      <c r="E352" s="17"/>
      <c r="F352" s="17"/>
      <c r="G352" s="18"/>
      <c r="H352" s="15"/>
      <c r="I352" s="15"/>
      <c r="J352" s="24" t="str">
        <f t="array" ref="J352">IF($A352="","",IFERROR(_xlfn.XLOOKUP($A352,'Movimentação'!$B$7:$B$1006,'Movimentação'!$E$7:$E$1006,"",0,-1),""))</f>
        <v/>
      </c>
      <c r="K352" s="24" t="str">
        <f t="array" ref="K352">IF($A352="","",IFERROR(_xlfn.XLOOKUP($A352,'Movimentação'!$B$7:$B$1006,'Movimentação'!$G$7:$G$1006,"",0,-1),""))</f>
        <v/>
      </c>
      <c r="L352" s="24" t="str">
        <f t="shared" si="3"/>
        <v/>
      </c>
      <c r="M352" s="17"/>
      <c r="N352" s="30" t="str">
        <f t="array" ref="N352">IF($A352="","",IFERROR(IF(OR($L352="BAIXADO",$L352="FURTADO"),0,INDEX(Listas!$J$2:$J$40,MATCH($B352,Listas!$I$2:$I$40,0))),""))</f>
        <v/>
      </c>
      <c r="P352" s="31" t="str">
        <f t="array" ref="P352">IF($A352="","",IFERROR(_xlfn.XLOOKUP($A352,'Movimentação'!$B$7:$B$1006,'Movimentação'!$F$7:$F$1006,"",0,-1),""))</f>
        <v/>
      </c>
      <c r="Q352" s="31">
        <f>IF(COUNTIFS('Manutenção'!$B$7:$B$1006,$A352,'Manutenção'!$H$7:$H$1006,"EM CONSERTO")&gt;0,1,0)</f>
        <v>0</v>
      </c>
    </row>
    <row r="353" ht="15.0" hidden="1" customHeight="1">
      <c r="A353" s="15"/>
      <c r="B353" s="17"/>
      <c r="C353" s="17"/>
      <c r="D353" s="17"/>
      <c r="E353" s="17"/>
      <c r="F353" s="17"/>
      <c r="G353" s="18"/>
      <c r="H353" s="15"/>
      <c r="I353" s="15"/>
      <c r="J353" s="24" t="str">
        <f t="array" ref="J353">IF($A353="","",IFERROR(_xlfn.XLOOKUP($A353,'Movimentação'!$B$7:$B$1006,'Movimentação'!$E$7:$E$1006,"",0,-1),""))</f>
        <v/>
      </c>
      <c r="K353" s="24" t="str">
        <f t="array" ref="K353">IF($A353="","",IFERROR(_xlfn.XLOOKUP($A353,'Movimentação'!$B$7:$B$1006,'Movimentação'!$G$7:$G$1006,"",0,-1),""))</f>
        <v/>
      </c>
      <c r="L353" s="24" t="str">
        <f t="shared" si="3"/>
        <v/>
      </c>
      <c r="M353" s="17"/>
      <c r="N353" s="30" t="str">
        <f t="array" ref="N353">IF($A353="","",IFERROR(IF(OR($L353="BAIXADO",$L353="FURTADO"),0,INDEX(Listas!$J$2:$J$40,MATCH($B353,Listas!$I$2:$I$40,0))),""))</f>
        <v/>
      </c>
      <c r="P353" s="31" t="str">
        <f t="array" ref="P353">IF($A353="","",IFERROR(_xlfn.XLOOKUP($A353,'Movimentação'!$B$7:$B$1006,'Movimentação'!$F$7:$F$1006,"",0,-1),""))</f>
        <v/>
      </c>
      <c r="Q353" s="31">
        <f>IF(COUNTIFS('Manutenção'!$B$7:$B$1006,$A353,'Manutenção'!$H$7:$H$1006,"EM CONSERTO")&gt;0,1,0)</f>
        <v>0</v>
      </c>
    </row>
    <row r="354" ht="15.0" hidden="1" customHeight="1">
      <c r="A354" s="15"/>
      <c r="B354" s="17"/>
      <c r="C354" s="17"/>
      <c r="D354" s="17"/>
      <c r="E354" s="17"/>
      <c r="F354" s="17"/>
      <c r="G354" s="18"/>
      <c r="H354" s="15"/>
      <c r="I354" s="15"/>
      <c r="J354" s="24" t="str">
        <f t="array" ref="J354">IF($A354="","",IFERROR(_xlfn.XLOOKUP($A354,'Movimentação'!$B$7:$B$1006,'Movimentação'!$E$7:$E$1006,"",0,-1),""))</f>
        <v/>
      </c>
      <c r="K354" s="24" t="str">
        <f t="array" ref="K354">IF($A354="","",IFERROR(_xlfn.XLOOKUP($A354,'Movimentação'!$B$7:$B$1006,'Movimentação'!$G$7:$G$1006,"",0,-1),""))</f>
        <v/>
      </c>
      <c r="L354" s="24" t="str">
        <f t="shared" si="3"/>
        <v/>
      </c>
      <c r="M354" s="17"/>
      <c r="N354" s="30" t="str">
        <f t="array" ref="N354">IF($A354="","",IFERROR(IF(OR($L354="BAIXADO",$L354="FURTADO"),0,INDEX(Listas!$J$2:$J$40,MATCH($B354,Listas!$I$2:$I$40,0))),""))</f>
        <v/>
      </c>
      <c r="P354" s="31" t="str">
        <f t="array" ref="P354">IF($A354="","",IFERROR(_xlfn.XLOOKUP($A354,'Movimentação'!$B$7:$B$1006,'Movimentação'!$F$7:$F$1006,"",0,-1),""))</f>
        <v/>
      </c>
      <c r="Q354" s="31">
        <f>IF(COUNTIFS('Manutenção'!$B$7:$B$1006,$A354,'Manutenção'!$H$7:$H$1006,"EM CONSERTO")&gt;0,1,0)</f>
        <v>0</v>
      </c>
    </row>
    <row r="355" ht="15.0" hidden="1" customHeight="1">
      <c r="A355" s="15"/>
      <c r="B355" s="17"/>
      <c r="C355" s="17"/>
      <c r="D355" s="17"/>
      <c r="E355" s="17"/>
      <c r="F355" s="17"/>
      <c r="G355" s="18"/>
      <c r="H355" s="15"/>
      <c r="I355" s="15"/>
      <c r="J355" s="24" t="str">
        <f t="array" ref="J355">IF($A355="","",IFERROR(_xlfn.XLOOKUP($A355,'Movimentação'!$B$7:$B$1006,'Movimentação'!$E$7:$E$1006,"",0,-1),""))</f>
        <v/>
      </c>
      <c r="K355" s="24" t="str">
        <f t="array" ref="K355">IF($A355="","",IFERROR(_xlfn.XLOOKUP($A355,'Movimentação'!$B$7:$B$1006,'Movimentação'!$G$7:$G$1006,"",0,-1),""))</f>
        <v/>
      </c>
      <c r="L355" s="24" t="str">
        <f t="shared" si="3"/>
        <v/>
      </c>
      <c r="M355" s="17"/>
      <c r="N355" s="30" t="str">
        <f t="array" ref="N355">IF($A355="","",IFERROR(IF(OR($L355="BAIXADO",$L355="FURTADO"),0,INDEX(Listas!$J$2:$J$40,MATCH($B355,Listas!$I$2:$I$40,0))),""))</f>
        <v/>
      </c>
      <c r="P355" s="31" t="str">
        <f t="array" ref="P355">IF($A355="","",IFERROR(_xlfn.XLOOKUP($A355,'Movimentação'!$B$7:$B$1006,'Movimentação'!$F$7:$F$1006,"",0,-1),""))</f>
        <v/>
      </c>
      <c r="Q355" s="31">
        <f>IF(COUNTIFS('Manutenção'!$B$7:$B$1006,$A355,'Manutenção'!$H$7:$H$1006,"EM CONSERTO")&gt;0,1,0)</f>
        <v>0</v>
      </c>
    </row>
    <row r="356" ht="15.0" hidden="1" customHeight="1">
      <c r="A356" s="15"/>
      <c r="B356" s="17"/>
      <c r="C356" s="17"/>
      <c r="D356" s="17"/>
      <c r="E356" s="17"/>
      <c r="F356" s="17"/>
      <c r="G356" s="18"/>
      <c r="H356" s="15"/>
      <c r="I356" s="15"/>
      <c r="J356" s="24" t="str">
        <f t="array" ref="J356">IF($A356="","",IFERROR(_xlfn.XLOOKUP($A356,'Movimentação'!$B$7:$B$1006,'Movimentação'!$E$7:$E$1006,"",0,-1),""))</f>
        <v/>
      </c>
      <c r="K356" s="24" t="str">
        <f t="array" ref="K356">IF($A356="","",IFERROR(_xlfn.XLOOKUP($A356,'Movimentação'!$B$7:$B$1006,'Movimentação'!$G$7:$G$1006,"",0,-1),""))</f>
        <v/>
      </c>
      <c r="L356" s="24" t="str">
        <f t="shared" si="3"/>
        <v/>
      </c>
      <c r="M356" s="17"/>
      <c r="N356" s="30" t="str">
        <f t="array" ref="N356">IF($A356="","",IFERROR(IF(OR($L356="BAIXADO",$L356="FURTADO"),0,INDEX(Listas!$J$2:$J$40,MATCH($B356,Listas!$I$2:$I$40,0))),""))</f>
        <v/>
      </c>
      <c r="P356" s="31" t="str">
        <f t="array" ref="P356">IF($A356="","",IFERROR(_xlfn.XLOOKUP($A356,'Movimentação'!$B$7:$B$1006,'Movimentação'!$F$7:$F$1006,"",0,-1),""))</f>
        <v/>
      </c>
      <c r="Q356" s="31">
        <f>IF(COUNTIFS('Manutenção'!$B$7:$B$1006,$A356,'Manutenção'!$H$7:$H$1006,"EM CONSERTO")&gt;0,1,0)</f>
        <v>0</v>
      </c>
    </row>
    <row r="357" ht="15.0" hidden="1" customHeight="1">
      <c r="A357" s="15"/>
      <c r="B357" s="17"/>
      <c r="C357" s="17"/>
      <c r="D357" s="17"/>
      <c r="E357" s="17"/>
      <c r="F357" s="17"/>
      <c r="G357" s="18"/>
      <c r="H357" s="15"/>
      <c r="I357" s="15"/>
      <c r="J357" s="24" t="str">
        <f t="array" ref="J357">IF($A357="","",IFERROR(_xlfn.XLOOKUP($A357,'Movimentação'!$B$7:$B$1006,'Movimentação'!$E$7:$E$1006,"",0,-1),""))</f>
        <v/>
      </c>
      <c r="K357" s="24" t="str">
        <f t="array" ref="K357">IF($A357="","",IFERROR(_xlfn.XLOOKUP($A357,'Movimentação'!$B$7:$B$1006,'Movimentação'!$G$7:$G$1006,"",0,-1),""))</f>
        <v/>
      </c>
      <c r="L357" s="24" t="str">
        <f t="shared" si="3"/>
        <v/>
      </c>
      <c r="M357" s="17"/>
      <c r="N357" s="30" t="str">
        <f t="array" ref="N357">IF($A357="","",IFERROR(IF(OR($L357="BAIXADO",$L357="FURTADO"),0,INDEX(Listas!$J$2:$J$40,MATCH($B357,Listas!$I$2:$I$40,0))),""))</f>
        <v/>
      </c>
      <c r="P357" s="31" t="str">
        <f t="array" ref="P357">IF($A357="","",IFERROR(_xlfn.XLOOKUP($A357,'Movimentação'!$B$7:$B$1006,'Movimentação'!$F$7:$F$1006,"",0,-1),""))</f>
        <v/>
      </c>
      <c r="Q357" s="31">
        <f>IF(COUNTIFS('Manutenção'!$B$7:$B$1006,$A357,'Manutenção'!$H$7:$H$1006,"EM CONSERTO")&gt;0,1,0)</f>
        <v>0</v>
      </c>
    </row>
    <row r="358" ht="15.0" hidden="1" customHeight="1">
      <c r="A358" s="15"/>
      <c r="B358" s="17"/>
      <c r="C358" s="17"/>
      <c r="D358" s="17"/>
      <c r="E358" s="17"/>
      <c r="F358" s="17"/>
      <c r="G358" s="18"/>
      <c r="H358" s="15"/>
      <c r="I358" s="15"/>
      <c r="J358" s="24" t="str">
        <f t="array" ref="J358">IF($A358="","",IFERROR(_xlfn.XLOOKUP($A358,'Movimentação'!$B$7:$B$1006,'Movimentação'!$E$7:$E$1006,"",0,-1),""))</f>
        <v/>
      </c>
      <c r="K358" s="24" t="str">
        <f t="array" ref="K358">IF($A358="","",IFERROR(_xlfn.XLOOKUP($A358,'Movimentação'!$B$7:$B$1006,'Movimentação'!$G$7:$G$1006,"",0,-1),""))</f>
        <v/>
      </c>
      <c r="L358" s="24" t="str">
        <f t="shared" si="3"/>
        <v/>
      </c>
      <c r="M358" s="17"/>
      <c r="N358" s="30" t="str">
        <f t="array" ref="N358">IF($A358="","",IFERROR(IF(OR($L358="BAIXADO",$L358="FURTADO"),0,INDEX(Listas!$J$2:$J$40,MATCH($B358,Listas!$I$2:$I$40,0))),""))</f>
        <v/>
      </c>
      <c r="P358" s="31" t="str">
        <f t="array" ref="P358">IF($A358="","",IFERROR(_xlfn.XLOOKUP($A358,'Movimentação'!$B$7:$B$1006,'Movimentação'!$F$7:$F$1006,"",0,-1),""))</f>
        <v/>
      </c>
      <c r="Q358" s="31">
        <f>IF(COUNTIFS('Manutenção'!$B$7:$B$1006,$A358,'Manutenção'!$H$7:$H$1006,"EM CONSERTO")&gt;0,1,0)</f>
        <v>0</v>
      </c>
    </row>
    <row r="359" ht="15.0" hidden="1" customHeight="1">
      <c r="A359" s="15"/>
      <c r="B359" s="17"/>
      <c r="C359" s="17"/>
      <c r="D359" s="17"/>
      <c r="E359" s="17"/>
      <c r="F359" s="17"/>
      <c r="G359" s="18"/>
      <c r="H359" s="15"/>
      <c r="I359" s="15"/>
      <c r="J359" s="24" t="str">
        <f t="array" ref="J359">IF($A359="","",IFERROR(_xlfn.XLOOKUP($A359,'Movimentação'!$B$7:$B$1006,'Movimentação'!$E$7:$E$1006,"",0,-1),""))</f>
        <v/>
      </c>
      <c r="K359" s="24" t="str">
        <f t="array" ref="K359">IF($A359="","",IFERROR(_xlfn.XLOOKUP($A359,'Movimentação'!$B$7:$B$1006,'Movimentação'!$G$7:$G$1006,"",0,-1),""))</f>
        <v/>
      </c>
      <c r="L359" s="24" t="str">
        <f t="shared" si="3"/>
        <v/>
      </c>
      <c r="M359" s="17"/>
      <c r="N359" s="30" t="str">
        <f t="array" ref="N359">IF($A359="","",IFERROR(IF(OR($L359="BAIXADO",$L359="FURTADO"),0,INDEX(Listas!$J$2:$J$40,MATCH($B359,Listas!$I$2:$I$40,0))),""))</f>
        <v/>
      </c>
      <c r="P359" s="31" t="str">
        <f t="array" ref="P359">IF($A359="","",IFERROR(_xlfn.XLOOKUP($A359,'Movimentação'!$B$7:$B$1006,'Movimentação'!$F$7:$F$1006,"",0,-1),""))</f>
        <v/>
      </c>
      <c r="Q359" s="31">
        <f>IF(COUNTIFS('Manutenção'!$B$7:$B$1006,$A359,'Manutenção'!$H$7:$H$1006,"EM CONSERTO")&gt;0,1,0)</f>
        <v>0</v>
      </c>
    </row>
    <row r="360" ht="15.0" hidden="1" customHeight="1">
      <c r="A360" s="15"/>
      <c r="B360" s="17"/>
      <c r="C360" s="17"/>
      <c r="D360" s="17"/>
      <c r="E360" s="17"/>
      <c r="F360" s="17"/>
      <c r="G360" s="18"/>
      <c r="H360" s="15"/>
      <c r="I360" s="15"/>
      <c r="J360" s="24" t="str">
        <f t="array" ref="J360">IF($A360="","",IFERROR(_xlfn.XLOOKUP($A360,'Movimentação'!$B$7:$B$1006,'Movimentação'!$E$7:$E$1006,"",0,-1),""))</f>
        <v/>
      </c>
      <c r="K360" s="24" t="str">
        <f t="array" ref="K360">IF($A360="","",IFERROR(_xlfn.XLOOKUP($A360,'Movimentação'!$B$7:$B$1006,'Movimentação'!$G$7:$G$1006,"",0,-1),""))</f>
        <v/>
      </c>
      <c r="L360" s="24" t="str">
        <f t="shared" si="3"/>
        <v/>
      </c>
      <c r="M360" s="17"/>
      <c r="N360" s="30" t="str">
        <f t="array" ref="N360">IF($A360="","",IFERROR(IF(OR($L360="BAIXADO",$L360="FURTADO"),0,INDEX(Listas!$J$2:$J$40,MATCH($B360,Listas!$I$2:$I$40,0))),""))</f>
        <v/>
      </c>
      <c r="P360" s="31" t="str">
        <f t="array" ref="P360">IF($A360="","",IFERROR(_xlfn.XLOOKUP($A360,'Movimentação'!$B$7:$B$1006,'Movimentação'!$F$7:$F$1006,"",0,-1),""))</f>
        <v/>
      </c>
      <c r="Q360" s="31">
        <f>IF(COUNTIFS('Manutenção'!$B$7:$B$1006,$A360,'Manutenção'!$H$7:$H$1006,"EM CONSERTO")&gt;0,1,0)</f>
        <v>0</v>
      </c>
    </row>
    <row r="361" ht="15.0" hidden="1" customHeight="1">
      <c r="A361" s="15"/>
      <c r="B361" s="17"/>
      <c r="C361" s="17"/>
      <c r="D361" s="17"/>
      <c r="E361" s="17"/>
      <c r="F361" s="17"/>
      <c r="G361" s="18"/>
      <c r="H361" s="15"/>
      <c r="I361" s="15"/>
      <c r="J361" s="24" t="str">
        <f t="array" ref="J361">IF($A361="","",IFERROR(_xlfn.XLOOKUP($A361,'Movimentação'!$B$7:$B$1006,'Movimentação'!$E$7:$E$1006,"",0,-1),""))</f>
        <v/>
      </c>
      <c r="K361" s="24" t="str">
        <f t="array" ref="K361">IF($A361="","",IFERROR(_xlfn.XLOOKUP($A361,'Movimentação'!$B$7:$B$1006,'Movimentação'!$G$7:$G$1006,"",0,-1),""))</f>
        <v/>
      </c>
      <c r="L361" s="24" t="str">
        <f t="shared" si="3"/>
        <v/>
      </c>
      <c r="M361" s="17"/>
      <c r="N361" s="30" t="str">
        <f t="array" ref="N361">IF($A361="","",IFERROR(IF(OR($L361="BAIXADO",$L361="FURTADO"),0,INDEX(Listas!$J$2:$J$40,MATCH($B361,Listas!$I$2:$I$40,0))),""))</f>
        <v/>
      </c>
      <c r="P361" s="31" t="str">
        <f t="array" ref="P361">IF($A361="","",IFERROR(_xlfn.XLOOKUP($A361,'Movimentação'!$B$7:$B$1006,'Movimentação'!$F$7:$F$1006,"",0,-1),""))</f>
        <v/>
      </c>
      <c r="Q361" s="31">
        <f>IF(COUNTIFS('Manutenção'!$B$7:$B$1006,$A361,'Manutenção'!$H$7:$H$1006,"EM CONSERTO")&gt;0,1,0)</f>
        <v>0</v>
      </c>
    </row>
    <row r="362" ht="15.0" hidden="1" customHeight="1">
      <c r="A362" s="15"/>
      <c r="B362" s="17"/>
      <c r="C362" s="17"/>
      <c r="D362" s="17"/>
      <c r="E362" s="17"/>
      <c r="F362" s="17"/>
      <c r="G362" s="18"/>
      <c r="H362" s="15"/>
      <c r="I362" s="15"/>
      <c r="J362" s="24" t="str">
        <f t="array" ref="J362">IF($A362="","",IFERROR(_xlfn.XLOOKUP($A362,'Movimentação'!$B$7:$B$1006,'Movimentação'!$E$7:$E$1006,"",0,-1),""))</f>
        <v/>
      </c>
      <c r="K362" s="24" t="str">
        <f t="array" ref="K362">IF($A362="","",IFERROR(_xlfn.XLOOKUP($A362,'Movimentação'!$B$7:$B$1006,'Movimentação'!$G$7:$G$1006,"",0,-1),""))</f>
        <v/>
      </c>
      <c r="L362" s="24" t="str">
        <f t="shared" si="3"/>
        <v/>
      </c>
      <c r="M362" s="17"/>
      <c r="N362" s="30" t="str">
        <f t="array" ref="N362">IF($A362="","",IFERROR(IF(OR($L362="BAIXADO",$L362="FURTADO"),0,INDEX(Listas!$J$2:$J$40,MATCH($B362,Listas!$I$2:$I$40,0))),""))</f>
        <v/>
      </c>
      <c r="P362" s="31" t="str">
        <f t="array" ref="P362">IF($A362="","",IFERROR(_xlfn.XLOOKUP($A362,'Movimentação'!$B$7:$B$1006,'Movimentação'!$F$7:$F$1006,"",0,-1),""))</f>
        <v/>
      </c>
      <c r="Q362" s="31">
        <f>IF(COUNTIFS('Manutenção'!$B$7:$B$1006,$A362,'Manutenção'!$H$7:$H$1006,"EM CONSERTO")&gt;0,1,0)</f>
        <v>0</v>
      </c>
    </row>
    <row r="363" ht="15.0" hidden="1" customHeight="1">
      <c r="A363" s="15"/>
      <c r="B363" s="17"/>
      <c r="C363" s="17"/>
      <c r="D363" s="17"/>
      <c r="E363" s="17"/>
      <c r="F363" s="17"/>
      <c r="G363" s="18"/>
      <c r="H363" s="15"/>
      <c r="I363" s="15"/>
      <c r="J363" s="24" t="str">
        <f t="array" ref="J363">IF($A363="","",IFERROR(_xlfn.XLOOKUP($A363,'Movimentação'!$B$7:$B$1006,'Movimentação'!$E$7:$E$1006,"",0,-1),""))</f>
        <v/>
      </c>
      <c r="K363" s="24" t="str">
        <f t="array" ref="K363">IF($A363="","",IFERROR(_xlfn.XLOOKUP($A363,'Movimentação'!$B$7:$B$1006,'Movimentação'!$G$7:$G$1006,"",0,-1),""))</f>
        <v/>
      </c>
      <c r="L363" s="24" t="str">
        <f t="shared" si="3"/>
        <v/>
      </c>
      <c r="M363" s="17"/>
      <c r="N363" s="30" t="str">
        <f t="array" ref="N363">IF($A363="","",IFERROR(IF(OR($L363="BAIXADO",$L363="FURTADO"),0,INDEX(Listas!$J$2:$J$40,MATCH($B363,Listas!$I$2:$I$40,0))),""))</f>
        <v/>
      </c>
      <c r="P363" s="31" t="str">
        <f t="array" ref="P363">IF($A363="","",IFERROR(_xlfn.XLOOKUP($A363,'Movimentação'!$B$7:$B$1006,'Movimentação'!$F$7:$F$1006,"",0,-1),""))</f>
        <v/>
      </c>
      <c r="Q363" s="31">
        <f>IF(COUNTIFS('Manutenção'!$B$7:$B$1006,$A363,'Manutenção'!$H$7:$H$1006,"EM CONSERTO")&gt;0,1,0)</f>
        <v>0</v>
      </c>
    </row>
    <row r="364" ht="15.0" hidden="1" customHeight="1">
      <c r="A364" s="15"/>
      <c r="B364" s="17"/>
      <c r="C364" s="17"/>
      <c r="D364" s="17"/>
      <c r="E364" s="17"/>
      <c r="F364" s="17"/>
      <c r="G364" s="18"/>
      <c r="H364" s="15"/>
      <c r="I364" s="15"/>
      <c r="J364" s="24" t="str">
        <f t="array" ref="J364">IF($A364="","",IFERROR(_xlfn.XLOOKUP($A364,'Movimentação'!$B$7:$B$1006,'Movimentação'!$E$7:$E$1006,"",0,-1),""))</f>
        <v/>
      </c>
      <c r="K364" s="24" t="str">
        <f t="array" ref="K364">IF($A364="","",IFERROR(_xlfn.XLOOKUP($A364,'Movimentação'!$B$7:$B$1006,'Movimentação'!$G$7:$G$1006,"",0,-1),""))</f>
        <v/>
      </c>
      <c r="L364" s="24" t="str">
        <f t="shared" si="3"/>
        <v/>
      </c>
      <c r="M364" s="17"/>
      <c r="N364" s="30" t="str">
        <f t="array" ref="N364">IF($A364="","",IFERROR(IF(OR($L364="BAIXADO",$L364="FURTADO"),0,INDEX(Listas!$J$2:$J$40,MATCH($B364,Listas!$I$2:$I$40,0))),""))</f>
        <v/>
      </c>
      <c r="P364" s="31" t="str">
        <f t="array" ref="P364">IF($A364="","",IFERROR(_xlfn.XLOOKUP($A364,'Movimentação'!$B$7:$B$1006,'Movimentação'!$F$7:$F$1006,"",0,-1),""))</f>
        <v/>
      </c>
      <c r="Q364" s="31">
        <f>IF(COUNTIFS('Manutenção'!$B$7:$B$1006,$A364,'Manutenção'!$H$7:$H$1006,"EM CONSERTO")&gt;0,1,0)</f>
        <v>0</v>
      </c>
    </row>
    <row r="365" ht="15.0" hidden="1" customHeight="1">
      <c r="A365" s="15"/>
      <c r="B365" s="17"/>
      <c r="C365" s="17"/>
      <c r="D365" s="17"/>
      <c r="E365" s="17"/>
      <c r="F365" s="17"/>
      <c r="G365" s="18"/>
      <c r="H365" s="15"/>
      <c r="I365" s="15"/>
      <c r="J365" s="24" t="str">
        <f t="array" ref="J365">IF($A365="","",IFERROR(_xlfn.XLOOKUP($A365,'Movimentação'!$B$7:$B$1006,'Movimentação'!$E$7:$E$1006,"",0,-1),""))</f>
        <v/>
      </c>
      <c r="K365" s="24" t="str">
        <f t="array" ref="K365">IF($A365="","",IFERROR(_xlfn.XLOOKUP($A365,'Movimentação'!$B$7:$B$1006,'Movimentação'!$G$7:$G$1006,"",0,-1),""))</f>
        <v/>
      </c>
      <c r="L365" s="24" t="str">
        <f t="shared" si="3"/>
        <v/>
      </c>
      <c r="M365" s="17"/>
      <c r="N365" s="30" t="str">
        <f t="array" ref="N365">IF($A365="","",IFERROR(IF(OR($L365="BAIXADO",$L365="FURTADO"),0,INDEX(Listas!$J$2:$J$40,MATCH($B365,Listas!$I$2:$I$40,0))),""))</f>
        <v/>
      </c>
      <c r="P365" s="31" t="str">
        <f t="array" ref="P365">IF($A365="","",IFERROR(_xlfn.XLOOKUP($A365,'Movimentação'!$B$7:$B$1006,'Movimentação'!$F$7:$F$1006,"",0,-1),""))</f>
        <v/>
      </c>
      <c r="Q365" s="31">
        <f>IF(COUNTIFS('Manutenção'!$B$7:$B$1006,$A365,'Manutenção'!$H$7:$H$1006,"EM CONSERTO")&gt;0,1,0)</f>
        <v>0</v>
      </c>
    </row>
    <row r="366" ht="15.0" hidden="1" customHeight="1">
      <c r="A366" s="15"/>
      <c r="B366" s="17"/>
      <c r="C366" s="17"/>
      <c r="D366" s="17"/>
      <c r="E366" s="17"/>
      <c r="F366" s="17"/>
      <c r="G366" s="18"/>
      <c r="H366" s="15"/>
      <c r="I366" s="15"/>
      <c r="J366" s="24" t="str">
        <f t="array" ref="J366">IF($A366="","",IFERROR(_xlfn.XLOOKUP($A366,'Movimentação'!$B$7:$B$1006,'Movimentação'!$E$7:$E$1006,"",0,-1),""))</f>
        <v/>
      </c>
      <c r="K366" s="24" t="str">
        <f t="array" ref="K366">IF($A366="","",IFERROR(_xlfn.XLOOKUP($A366,'Movimentação'!$B$7:$B$1006,'Movimentação'!$G$7:$G$1006,"",0,-1),""))</f>
        <v/>
      </c>
      <c r="L366" s="24" t="str">
        <f t="shared" si="3"/>
        <v/>
      </c>
      <c r="M366" s="17"/>
      <c r="N366" s="30" t="str">
        <f t="array" ref="N366">IF($A366="","",IFERROR(IF(OR($L366="BAIXADO",$L366="FURTADO"),0,INDEX(Listas!$J$2:$J$40,MATCH($B366,Listas!$I$2:$I$40,0))),""))</f>
        <v/>
      </c>
      <c r="P366" s="31" t="str">
        <f t="array" ref="P366">IF($A366="","",IFERROR(_xlfn.XLOOKUP($A366,'Movimentação'!$B$7:$B$1006,'Movimentação'!$F$7:$F$1006,"",0,-1),""))</f>
        <v/>
      </c>
      <c r="Q366" s="31">
        <f>IF(COUNTIFS('Manutenção'!$B$7:$B$1006,$A366,'Manutenção'!$H$7:$H$1006,"EM CONSERTO")&gt;0,1,0)</f>
        <v>0</v>
      </c>
    </row>
    <row r="367" ht="15.0" hidden="1" customHeight="1">
      <c r="A367" s="15"/>
      <c r="B367" s="17"/>
      <c r="C367" s="17"/>
      <c r="D367" s="17"/>
      <c r="E367" s="17"/>
      <c r="F367" s="17"/>
      <c r="G367" s="18"/>
      <c r="H367" s="15"/>
      <c r="I367" s="15"/>
      <c r="J367" s="24" t="str">
        <f t="array" ref="J367">IF($A367="","",IFERROR(_xlfn.XLOOKUP($A367,'Movimentação'!$B$7:$B$1006,'Movimentação'!$E$7:$E$1006,"",0,-1),""))</f>
        <v/>
      </c>
      <c r="K367" s="24" t="str">
        <f t="array" ref="K367">IF($A367="","",IFERROR(_xlfn.XLOOKUP($A367,'Movimentação'!$B$7:$B$1006,'Movimentação'!$G$7:$G$1006,"",0,-1),""))</f>
        <v/>
      </c>
      <c r="L367" s="24" t="str">
        <f t="shared" si="3"/>
        <v/>
      </c>
      <c r="M367" s="17"/>
      <c r="N367" s="30" t="str">
        <f t="array" ref="N367">IF($A367="","",IFERROR(IF(OR($L367="BAIXADO",$L367="FURTADO"),0,INDEX(Listas!$J$2:$J$40,MATCH($B367,Listas!$I$2:$I$40,0))),""))</f>
        <v/>
      </c>
      <c r="P367" s="31" t="str">
        <f t="array" ref="P367">IF($A367="","",IFERROR(_xlfn.XLOOKUP($A367,'Movimentação'!$B$7:$B$1006,'Movimentação'!$F$7:$F$1006,"",0,-1),""))</f>
        <v/>
      </c>
      <c r="Q367" s="31">
        <f>IF(COUNTIFS('Manutenção'!$B$7:$B$1006,$A367,'Manutenção'!$H$7:$H$1006,"EM CONSERTO")&gt;0,1,0)</f>
        <v>0</v>
      </c>
    </row>
    <row r="368" ht="15.0" hidden="1" customHeight="1">
      <c r="A368" s="15"/>
      <c r="B368" s="17"/>
      <c r="C368" s="17"/>
      <c r="D368" s="17"/>
      <c r="E368" s="17"/>
      <c r="F368" s="17"/>
      <c r="G368" s="18"/>
      <c r="H368" s="15"/>
      <c r="I368" s="15"/>
      <c r="J368" s="24" t="str">
        <f t="array" ref="J368">IF($A368="","",IFERROR(_xlfn.XLOOKUP($A368,'Movimentação'!$B$7:$B$1006,'Movimentação'!$E$7:$E$1006,"",0,-1),""))</f>
        <v/>
      </c>
      <c r="K368" s="24" t="str">
        <f t="array" ref="K368">IF($A368="","",IFERROR(_xlfn.XLOOKUP($A368,'Movimentação'!$B$7:$B$1006,'Movimentação'!$G$7:$G$1006,"",0,-1),""))</f>
        <v/>
      </c>
      <c r="L368" s="24" t="str">
        <f t="shared" si="3"/>
        <v/>
      </c>
      <c r="M368" s="17"/>
      <c r="N368" s="30" t="str">
        <f t="array" ref="N368">IF($A368="","",IFERROR(IF(OR($L368="BAIXADO",$L368="FURTADO"),0,INDEX(Listas!$J$2:$J$40,MATCH($B368,Listas!$I$2:$I$40,0))),""))</f>
        <v/>
      </c>
      <c r="P368" s="31" t="str">
        <f t="array" ref="P368">IF($A368="","",IFERROR(_xlfn.XLOOKUP($A368,'Movimentação'!$B$7:$B$1006,'Movimentação'!$F$7:$F$1006,"",0,-1),""))</f>
        <v/>
      </c>
      <c r="Q368" s="31">
        <f>IF(COUNTIFS('Manutenção'!$B$7:$B$1006,$A368,'Manutenção'!$H$7:$H$1006,"EM CONSERTO")&gt;0,1,0)</f>
        <v>0</v>
      </c>
    </row>
    <row r="369" ht="15.0" hidden="1" customHeight="1">
      <c r="A369" s="15"/>
      <c r="B369" s="17"/>
      <c r="C369" s="17"/>
      <c r="D369" s="17"/>
      <c r="E369" s="17"/>
      <c r="F369" s="17"/>
      <c r="G369" s="18"/>
      <c r="H369" s="15"/>
      <c r="I369" s="15"/>
      <c r="J369" s="24" t="str">
        <f t="array" ref="J369">IF($A369="","",IFERROR(_xlfn.XLOOKUP($A369,'Movimentação'!$B$7:$B$1006,'Movimentação'!$E$7:$E$1006,"",0,-1),""))</f>
        <v/>
      </c>
      <c r="K369" s="24" t="str">
        <f t="array" ref="K369">IF($A369="","",IFERROR(_xlfn.XLOOKUP($A369,'Movimentação'!$B$7:$B$1006,'Movimentação'!$G$7:$G$1006,"",0,-1),""))</f>
        <v/>
      </c>
      <c r="L369" s="24" t="str">
        <f t="shared" si="3"/>
        <v/>
      </c>
      <c r="M369" s="17"/>
      <c r="N369" s="30" t="str">
        <f t="array" ref="N369">IF($A369="","",IFERROR(IF(OR($L369="BAIXADO",$L369="FURTADO"),0,INDEX(Listas!$J$2:$J$40,MATCH($B369,Listas!$I$2:$I$40,0))),""))</f>
        <v/>
      </c>
      <c r="P369" s="31" t="str">
        <f t="array" ref="P369">IF($A369="","",IFERROR(_xlfn.XLOOKUP($A369,'Movimentação'!$B$7:$B$1006,'Movimentação'!$F$7:$F$1006,"",0,-1),""))</f>
        <v/>
      </c>
      <c r="Q369" s="31">
        <f>IF(COUNTIFS('Manutenção'!$B$7:$B$1006,$A369,'Manutenção'!$H$7:$H$1006,"EM CONSERTO")&gt;0,1,0)</f>
        <v>0</v>
      </c>
    </row>
    <row r="370" ht="15.0" hidden="1" customHeight="1">
      <c r="A370" s="15"/>
      <c r="B370" s="17"/>
      <c r="C370" s="17"/>
      <c r="D370" s="17"/>
      <c r="E370" s="17"/>
      <c r="F370" s="17"/>
      <c r="G370" s="18"/>
      <c r="H370" s="15"/>
      <c r="I370" s="15"/>
      <c r="J370" s="24" t="str">
        <f t="array" ref="J370">IF($A370="","",IFERROR(_xlfn.XLOOKUP($A370,'Movimentação'!$B$7:$B$1006,'Movimentação'!$E$7:$E$1006,"",0,-1),""))</f>
        <v/>
      </c>
      <c r="K370" s="24" t="str">
        <f t="array" ref="K370">IF($A370="","",IFERROR(_xlfn.XLOOKUP($A370,'Movimentação'!$B$7:$B$1006,'Movimentação'!$G$7:$G$1006,"",0,-1),""))</f>
        <v/>
      </c>
      <c r="L370" s="24" t="str">
        <f t="shared" si="3"/>
        <v/>
      </c>
      <c r="M370" s="17"/>
      <c r="N370" s="30" t="str">
        <f t="array" ref="N370">IF($A370="","",IFERROR(IF(OR($L370="BAIXADO",$L370="FURTADO"),0,INDEX(Listas!$J$2:$J$40,MATCH($B370,Listas!$I$2:$I$40,0))),""))</f>
        <v/>
      </c>
      <c r="P370" s="31" t="str">
        <f t="array" ref="P370">IF($A370="","",IFERROR(_xlfn.XLOOKUP($A370,'Movimentação'!$B$7:$B$1006,'Movimentação'!$F$7:$F$1006,"",0,-1),""))</f>
        <v/>
      </c>
      <c r="Q370" s="31">
        <f>IF(COUNTIFS('Manutenção'!$B$7:$B$1006,$A370,'Manutenção'!$H$7:$H$1006,"EM CONSERTO")&gt;0,1,0)</f>
        <v>0</v>
      </c>
    </row>
    <row r="371" ht="15.0" hidden="1" customHeight="1">
      <c r="A371" s="15"/>
      <c r="B371" s="17"/>
      <c r="C371" s="17"/>
      <c r="D371" s="17"/>
      <c r="E371" s="17"/>
      <c r="F371" s="17"/>
      <c r="G371" s="18"/>
      <c r="H371" s="15"/>
      <c r="I371" s="15"/>
      <c r="J371" s="24" t="str">
        <f t="array" ref="J371">IF($A371="","",IFERROR(_xlfn.XLOOKUP($A371,'Movimentação'!$B$7:$B$1006,'Movimentação'!$E$7:$E$1006,"",0,-1),""))</f>
        <v/>
      </c>
      <c r="K371" s="24" t="str">
        <f t="array" ref="K371">IF($A371="","",IFERROR(_xlfn.XLOOKUP($A371,'Movimentação'!$B$7:$B$1006,'Movimentação'!$G$7:$G$1006,"",0,-1),""))</f>
        <v/>
      </c>
      <c r="L371" s="24" t="str">
        <f t="shared" si="3"/>
        <v/>
      </c>
      <c r="M371" s="17"/>
      <c r="N371" s="30" t="str">
        <f t="array" ref="N371">IF($A371="","",IFERROR(IF(OR($L371="BAIXADO",$L371="FURTADO"),0,INDEX(Listas!$J$2:$J$40,MATCH($B371,Listas!$I$2:$I$40,0))),""))</f>
        <v/>
      </c>
      <c r="P371" s="31" t="str">
        <f t="array" ref="P371">IF($A371="","",IFERROR(_xlfn.XLOOKUP($A371,'Movimentação'!$B$7:$B$1006,'Movimentação'!$F$7:$F$1006,"",0,-1),""))</f>
        <v/>
      </c>
      <c r="Q371" s="31">
        <f>IF(COUNTIFS('Manutenção'!$B$7:$B$1006,$A371,'Manutenção'!$H$7:$H$1006,"EM CONSERTO")&gt;0,1,0)</f>
        <v>0</v>
      </c>
    </row>
    <row r="372" ht="15.0" hidden="1" customHeight="1">
      <c r="A372" s="15"/>
      <c r="B372" s="17"/>
      <c r="C372" s="17"/>
      <c r="D372" s="17"/>
      <c r="E372" s="17"/>
      <c r="F372" s="17"/>
      <c r="G372" s="18"/>
      <c r="H372" s="15"/>
      <c r="I372" s="15"/>
      <c r="J372" s="24" t="str">
        <f t="array" ref="J372">IF($A372="","",IFERROR(_xlfn.XLOOKUP($A372,'Movimentação'!$B$7:$B$1006,'Movimentação'!$E$7:$E$1006,"",0,-1),""))</f>
        <v/>
      </c>
      <c r="K372" s="24" t="str">
        <f t="array" ref="K372">IF($A372="","",IFERROR(_xlfn.XLOOKUP($A372,'Movimentação'!$B$7:$B$1006,'Movimentação'!$G$7:$G$1006,"",0,-1),""))</f>
        <v/>
      </c>
      <c r="L372" s="24" t="str">
        <f t="shared" si="3"/>
        <v/>
      </c>
      <c r="M372" s="17"/>
      <c r="N372" s="30" t="str">
        <f t="array" ref="N372">IF($A372="","",IFERROR(IF(OR($L372="BAIXADO",$L372="FURTADO"),0,INDEX(Listas!$J$2:$J$40,MATCH($B372,Listas!$I$2:$I$40,0))),""))</f>
        <v/>
      </c>
      <c r="P372" s="31" t="str">
        <f t="array" ref="P372">IF($A372="","",IFERROR(_xlfn.XLOOKUP($A372,'Movimentação'!$B$7:$B$1006,'Movimentação'!$F$7:$F$1006,"",0,-1),""))</f>
        <v/>
      </c>
      <c r="Q372" s="31">
        <f>IF(COUNTIFS('Manutenção'!$B$7:$B$1006,$A372,'Manutenção'!$H$7:$H$1006,"EM CONSERTO")&gt;0,1,0)</f>
        <v>0</v>
      </c>
    </row>
    <row r="373" ht="15.0" hidden="1" customHeight="1">
      <c r="A373" s="15"/>
      <c r="B373" s="17"/>
      <c r="C373" s="17"/>
      <c r="D373" s="17"/>
      <c r="E373" s="17"/>
      <c r="F373" s="17"/>
      <c r="G373" s="18"/>
      <c r="H373" s="15"/>
      <c r="I373" s="15"/>
      <c r="J373" s="24" t="str">
        <f t="array" ref="J373">IF($A373="","",IFERROR(_xlfn.XLOOKUP($A373,'Movimentação'!$B$7:$B$1006,'Movimentação'!$E$7:$E$1006,"",0,-1),""))</f>
        <v/>
      </c>
      <c r="K373" s="24" t="str">
        <f t="array" ref="K373">IF($A373="","",IFERROR(_xlfn.XLOOKUP($A373,'Movimentação'!$B$7:$B$1006,'Movimentação'!$G$7:$G$1006,"",0,-1),""))</f>
        <v/>
      </c>
      <c r="L373" s="24" t="str">
        <f t="shared" si="3"/>
        <v/>
      </c>
      <c r="M373" s="17"/>
      <c r="N373" s="30" t="str">
        <f t="array" ref="N373">IF($A373="","",IFERROR(IF(OR($L373="BAIXADO",$L373="FURTADO"),0,INDEX(Listas!$J$2:$J$40,MATCH($B373,Listas!$I$2:$I$40,0))),""))</f>
        <v/>
      </c>
      <c r="P373" s="31" t="str">
        <f t="array" ref="P373">IF($A373="","",IFERROR(_xlfn.XLOOKUP($A373,'Movimentação'!$B$7:$B$1006,'Movimentação'!$F$7:$F$1006,"",0,-1),""))</f>
        <v/>
      </c>
      <c r="Q373" s="31">
        <f>IF(COUNTIFS('Manutenção'!$B$7:$B$1006,$A373,'Manutenção'!$H$7:$H$1006,"EM CONSERTO")&gt;0,1,0)</f>
        <v>0</v>
      </c>
    </row>
    <row r="374" ht="15.0" hidden="1" customHeight="1">
      <c r="A374" s="15"/>
      <c r="B374" s="17"/>
      <c r="C374" s="17"/>
      <c r="D374" s="17"/>
      <c r="E374" s="17"/>
      <c r="F374" s="17"/>
      <c r="G374" s="18"/>
      <c r="H374" s="15"/>
      <c r="I374" s="15"/>
      <c r="J374" s="24" t="str">
        <f t="array" ref="J374">IF($A374="","",IFERROR(_xlfn.XLOOKUP($A374,'Movimentação'!$B$7:$B$1006,'Movimentação'!$E$7:$E$1006,"",0,-1),""))</f>
        <v/>
      </c>
      <c r="K374" s="24" t="str">
        <f t="array" ref="K374">IF($A374="","",IFERROR(_xlfn.XLOOKUP($A374,'Movimentação'!$B$7:$B$1006,'Movimentação'!$G$7:$G$1006,"",0,-1),""))</f>
        <v/>
      </c>
      <c r="L374" s="24" t="str">
        <f t="shared" si="3"/>
        <v/>
      </c>
      <c r="M374" s="17"/>
      <c r="N374" s="30" t="str">
        <f t="array" ref="N374">IF($A374="","",IFERROR(IF(OR($L374="BAIXADO",$L374="FURTADO"),0,INDEX(Listas!$J$2:$J$40,MATCH($B374,Listas!$I$2:$I$40,0))),""))</f>
        <v/>
      </c>
      <c r="P374" s="31" t="str">
        <f t="array" ref="P374">IF($A374="","",IFERROR(_xlfn.XLOOKUP($A374,'Movimentação'!$B$7:$B$1006,'Movimentação'!$F$7:$F$1006,"",0,-1),""))</f>
        <v/>
      </c>
      <c r="Q374" s="31">
        <f>IF(COUNTIFS('Manutenção'!$B$7:$B$1006,$A374,'Manutenção'!$H$7:$H$1006,"EM CONSERTO")&gt;0,1,0)</f>
        <v>0</v>
      </c>
    </row>
    <row r="375" ht="15.0" hidden="1" customHeight="1">
      <c r="A375" s="15"/>
      <c r="B375" s="17"/>
      <c r="C375" s="17"/>
      <c r="D375" s="17"/>
      <c r="E375" s="17"/>
      <c r="F375" s="17"/>
      <c r="G375" s="18"/>
      <c r="H375" s="15"/>
      <c r="I375" s="15"/>
      <c r="J375" s="24" t="str">
        <f t="array" ref="J375">IF($A375="","",IFERROR(_xlfn.XLOOKUP($A375,'Movimentação'!$B$7:$B$1006,'Movimentação'!$E$7:$E$1006,"",0,-1),""))</f>
        <v/>
      </c>
      <c r="K375" s="24" t="str">
        <f t="array" ref="K375">IF($A375="","",IFERROR(_xlfn.XLOOKUP($A375,'Movimentação'!$B$7:$B$1006,'Movimentação'!$G$7:$G$1006,"",0,-1),""))</f>
        <v/>
      </c>
      <c r="L375" s="24" t="str">
        <f t="shared" si="3"/>
        <v/>
      </c>
      <c r="M375" s="17"/>
      <c r="N375" s="30" t="str">
        <f t="array" ref="N375">IF($A375="","",IFERROR(IF(OR($L375="BAIXADO",$L375="FURTADO"),0,INDEX(Listas!$J$2:$J$40,MATCH($B375,Listas!$I$2:$I$40,0))),""))</f>
        <v/>
      </c>
      <c r="P375" s="31" t="str">
        <f t="array" ref="P375">IF($A375="","",IFERROR(_xlfn.XLOOKUP($A375,'Movimentação'!$B$7:$B$1006,'Movimentação'!$F$7:$F$1006,"",0,-1),""))</f>
        <v/>
      </c>
      <c r="Q375" s="31">
        <f>IF(COUNTIFS('Manutenção'!$B$7:$B$1006,$A375,'Manutenção'!$H$7:$H$1006,"EM CONSERTO")&gt;0,1,0)</f>
        <v>0</v>
      </c>
    </row>
    <row r="376" ht="15.0" hidden="1" customHeight="1">
      <c r="A376" s="15"/>
      <c r="B376" s="17"/>
      <c r="C376" s="17"/>
      <c r="D376" s="17"/>
      <c r="E376" s="17"/>
      <c r="F376" s="17"/>
      <c r="G376" s="18"/>
      <c r="H376" s="15"/>
      <c r="I376" s="15"/>
      <c r="J376" s="24" t="str">
        <f t="array" ref="J376">IF($A376="","",IFERROR(_xlfn.XLOOKUP($A376,'Movimentação'!$B$7:$B$1006,'Movimentação'!$E$7:$E$1006,"",0,-1),""))</f>
        <v/>
      </c>
      <c r="K376" s="24" t="str">
        <f t="array" ref="K376">IF($A376="","",IFERROR(_xlfn.XLOOKUP($A376,'Movimentação'!$B$7:$B$1006,'Movimentação'!$G$7:$G$1006,"",0,-1),""))</f>
        <v/>
      </c>
      <c r="L376" s="24" t="str">
        <f t="shared" si="3"/>
        <v/>
      </c>
      <c r="M376" s="17"/>
      <c r="N376" s="30" t="str">
        <f t="array" ref="N376">IF($A376="","",IFERROR(IF(OR($L376="BAIXADO",$L376="FURTADO"),0,INDEX(Listas!$J$2:$J$40,MATCH($B376,Listas!$I$2:$I$40,0))),""))</f>
        <v/>
      </c>
      <c r="P376" s="31" t="str">
        <f t="array" ref="P376">IF($A376="","",IFERROR(_xlfn.XLOOKUP($A376,'Movimentação'!$B$7:$B$1006,'Movimentação'!$F$7:$F$1006,"",0,-1),""))</f>
        <v/>
      </c>
      <c r="Q376" s="31">
        <f>IF(COUNTIFS('Manutenção'!$B$7:$B$1006,$A376,'Manutenção'!$H$7:$H$1006,"EM CONSERTO")&gt;0,1,0)</f>
        <v>0</v>
      </c>
    </row>
    <row r="377" ht="15.0" hidden="1" customHeight="1">
      <c r="A377" s="15"/>
      <c r="B377" s="17"/>
      <c r="C377" s="17"/>
      <c r="D377" s="17"/>
      <c r="E377" s="17"/>
      <c r="F377" s="17"/>
      <c r="G377" s="18"/>
      <c r="H377" s="15"/>
      <c r="I377" s="15"/>
      <c r="J377" s="24" t="str">
        <f t="array" ref="J377">IF($A377="","",IFERROR(_xlfn.XLOOKUP($A377,'Movimentação'!$B$7:$B$1006,'Movimentação'!$E$7:$E$1006,"",0,-1),""))</f>
        <v/>
      </c>
      <c r="K377" s="24" t="str">
        <f t="array" ref="K377">IF($A377="","",IFERROR(_xlfn.XLOOKUP($A377,'Movimentação'!$B$7:$B$1006,'Movimentação'!$G$7:$G$1006,"",0,-1),""))</f>
        <v/>
      </c>
      <c r="L377" s="24" t="str">
        <f t="shared" si="3"/>
        <v/>
      </c>
      <c r="M377" s="17"/>
      <c r="N377" s="30" t="str">
        <f t="array" ref="N377">IF($A377="","",IFERROR(IF(OR($L377="BAIXADO",$L377="FURTADO"),0,INDEX(Listas!$J$2:$J$40,MATCH($B377,Listas!$I$2:$I$40,0))),""))</f>
        <v/>
      </c>
      <c r="P377" s="31" t="str">
        <f t="array" ref="P377">IF($A377="","",IFERROR(_xlfn.XLOOKUP($A377,'Movimentação'!$B$7:$B$1006,'Movimentação'!$F$7:$F$1006,"",0,-1),""))</f>
        <v/>
      </c>
      <c r="Q377" s="31">
        <f>IF(COUNTIFS('Manutenção'!$B$7:$B$1006,$A377,'Manutenção'!$H$7:$H$1006,"EM CONSERTO")&gt;0,1,0)</f>
        <v>0</v>
      </c>
    </row>
    <row r="378" ht="15.0" hidden="1" customHeight="1">
      <c r="A378" s="15"/>
      <c r="B378" s="17"/>
      <c r="C378" s="17"/>
      <c r="D378" s="17"/>
      <c r="E378" s="17"/>
      <c r="F378" s="17"/>
      <c r="G378" s="18"/>
      <c r="H378" s="15"/>
      <c r="I378" s="15"/>
      <c r="J378" s="24" t="str">
        <f t="array" ref="J378">IF($A378="","",IFERROR(_xlfn.XLOOKUP($A378,'Movimentação'!$B$7:$B$1006,'Movimentação'!$E$7:$E$1006,"",0,-1),""))</f>
        <v/>
      </c>
      <c r="K378" s="24" t="str">
        <f t="array" ref="K378">IF($A378="","",IFERROR(_xlfn.XLOOKUP($A378,'Movimentação'!$B$7:$B$1006,'Movimentação'!$G$7:$G$1006,"",0,-1),""))</f>
        <v/>
      </c>
      <c r="L378" s="24" t="str">
        <f t="shared" si="3"/>
        <v/>
      </c>
      <c r="M378" s="17"/>
      <c r="N378" s="30" t="str">
        <f t="array" ref="N378">IF($A378="","",IFERROR(IF(OR($L378="BAIXADO",$L378="FURTADO"),0,INDEX(Listas!$J$2:$J$40,MATCH($B378,Listas!$I$2:$I$40,0))),""))</f>
        <v/>
      </c>
      <c r="P378" s="31" t="str">
        <f t="array" ref="P378">IF($A378="","",IFERROR(_xlfn.XLOOKUP($A378,'Movimentação'!$B$7:$B$1006,'Movimentação'!$F$7:$F$1006,"",0,-1),""))</f>
        <v/>
      </c>
      <c r="Q378" s="31">
        <f>IF(COUNTIFS('Manutenção'!$B$7:$B$1006,$A378,'Manutenção'!$H$7:$H$1006,"EM CONSERTO")&gt;0,1,0)</f>
        <v>0</v>
      </c>
    </row>
    <row r="379" ht="15.0" hidden="1" customHeight="1">
      <c r="A379" s="15"/>
      <c r="B379" s="17"/>
      <c r="C379" s="17"/>
      <c r="D379" s="17"/>
      <c r="E379" s="17"/>
      <c r="F379" s="17"/>
      <c r="G379" s="18"/>
      <c r="H379" s="15"/>
      <c r="I379" s="15"/>
      <c r="J379" s="24" t="str">
        <f t="array" ref="J379">IF($A379="","",IFERROR(_xlfn.XLOOKUP($A379,'Movimentação'!$B$7:$B$1006,'Movimentação'!$E$7:$E$1006,"",0,-1),""))</f>
        <v/>
      </c>
      <c r="K379" s="24" t="str">
        <f t="array" ref="K379">IF($A379="","",IFERROR(_xlfn.XLOOKUP($A379,'Movimentação'!$B$7:$B$1006,'Movimentação'!$G$7:$G$1006,"",0,-1),""))</f>
        <v/>
      </c>
      <c r="L379" s="24" t="str">
        <f t="shared" si="3"/>
        <v/>
      </c>
      <c r="M379" s="17"/>
      <c r="N379" s="30" t="str">
        <f t="array" ref="N379">IF($A379="","",IFERROR(IF(OR($L379="BAIXADO",$L379="FURTADO"),0,INDEX(Listas!$J$2:$J$40,MATCH($B379,Listas!$I$2:$I$40,0))),""))</f>
        <v/>
      </c>
      <c r="P379" s="31" t="str">
        <f t="array" ref="P379">IF($A379="","",IFERROR(_xlfn.XLOOKUP($A379,'Movimentação'!$B$7:$B$1006,'Movimentação'!$F$7:$F$1006,"",0,-1),""))</f>
        <v/>
      </c>
      <c r="Q379" s="31">
        <f>IF(COUNTIFS('Manutenção'!$B$7:$B$1006,$A379,'Manutenção'!$H$7:$H$1006,"EM CONSERTO")&gt;0,1,0)</f>
        <v>0</v>
      </c>
    </row>
    <row r="380" ht="15.0" hidden="1" customHeight="1">
      <c r="A380" s="15"/>
      <c r="B380" s="17"/>
      <c r="C380" s="17"/>
      <c r="D380" s="17"/>
      <c r="E380" s="17"/>
      <c r="F380" s="17"/>
      <c r="G380" s="18"/>
      <c r="H380" s="15"/>
      <c r="I380" s="15"/>
      <c r="J380" s="24" t="str">
        <f t="array" ref="J380">IF($A380="","",IFERROR(_xlfn.XLOOKUP($A380,'Movimentação'!$B$7:$B$1006,'Movimentação'!$E$7:$E$1006,"",0,-1),""))</f>
        <v/>
      </c>
      <c r="K380" s="24" t="str">
        <f t="array" ref="K380">IF($A380="","",IFERROR(_xlfn.XLOOKUP($A380,'Movimentação'!$B$7:$B$1006,'Movimentação'!$G$7:$G$1006,"",0,-1),""))</f>
        <v/>
      </c>
      <c r="L380" s="24" t="str">
        <f t="shared" si="3"/>
        <v/>
      </c>
      <c r="M380" s="17"/>
      <c r="N380" s="30" t="str">
        <f t="array" ref="N380">IF($A380="","",IFERROR(IF(OR($L380="BAIXADO",$L380="FURTADO"),0,INDEX(Listas!$J$2:$J$40,MATCH($B380,Listas!$I$2:$I$40,0))),""))</f>
        <v/>
      </c>
      <c r="P380" s="31" t="str">
        <f t="array" ref="P380">IF($A380="","",IFERROR(_xlfn.XLOOKUP($A380,'Movimentação'!$B$7:$B$1006,'Movimentação'!$F$7:$F$1006,"",0,-1),""))</f>
        <v/>
      </c>
      <c r="Q380" s="31">
        <f>IF(COUNTIFS('Manutenção'!$B$7:$B$1006,$A380,'Manutenção'!$H$7:$H$1006,"EM CONSERTO")&gt;0,1,0)</f>
        <v>0</v>
      </c>
    </row>
    <row r="381" ht="15.0" hidden="1" customHeight="1">
      <c r="A381" s="15"/>
      <c r="B381" s="17"/>
      <c r="C381" s="17"/>
      <c r="D381" s="17"/>
      <c r="E381" s="17"/>
      <c r="F381" s="17"/>
      <c r="G381" s="18"/>
      <c r="H381" s="15"/>
      <c r="I381" s="15"/>
      <c r="J381" s="24" t="str">
        <f t="array" ref="J381">IF($A381="","",IFERROR(_xlfn.XLOOKUP($A381,'Movimentação'!$B$7:$B$1006,'Movimentação'!$E$7:$E$1006,"",0,-1),""))</f>
        <v/>
      </c>
      <c r="K381" s="24" t="str">
        <f t="array" ref="K381">IF($A381="","",IFERROR(_xlfn.XLOOKUP($A381,'Movimentação'!$B$7:$B$1006,'Movimentação'!$G$7:$G$1006,"",0,-1),""))</f>
        <v/>
      </c>
      <c r="L381" s="24" t="str">
        <f t="shared" si="3"/>
        <v/>
      </c>
      <c r="M381" s="17"/>
      <c r="N381" s="30" t="str">
        <f t="array" ref="N381">IF($A381="","",IFERROR(IF(OR($L381="BAIXADO",$L381="FURTADO"),0,INDEX(Listas!$J$2:$J$40,MATCH($B381,Listas!$I$2:$I$40,0))),""))</f>
        <v/>
      </c>
      <c r="P381" s="31" t="str">
        <f t="array" ref="P381">IF($A381="","",IFERROR(_xlfn.XLOOKUP($A381,'Movimentação'!$B$7:$B$1006,'Movimentação'!$F$7:$F$1006,"",0,-1),""))</f>
        <v/>
      </c>
      <c r="Q381" s="31">
        <f>IF(COUNTIFS('Manutenção'!$B$7:$B$1006,$A381,'Manutenção'!$H$7:$H$1006,"EM CONSERTO")&gt;0,1,0)</f>
        <v>0</v>
      </c>
    </row>
    <row r="382" ht="15.0" hidden="1" customHeight="1">
      <c r="A382" s="15"/>
      <c r="B382" s="17"/>
      <c r="C382" s="17"/>
      <c r="D382" s="17"/>
      <c r="E382" s="17"/>
      <c r="F382" s="17"/>
      <c r="G382" s="18"/>
      <c r="H382" s="15"/>
      <c r="I382" s="15"/>
      <c r="J382" s="24" t="str">
        <f t="array" ref="J382">IF($A382="","",IFERROR(_xlfn.XLOOKUP($A382,'Movimentação'!$B$7:$B$1006,'Movimentação'!$E$7:$E$1006,"",0,-1),""))</f>
        <v/>
      </c>
      <c r="K382" s="24" t="str">
        <f t="array" ref="K382">IF($A382="","",IFERROR(_xlfn.XLOOKUP($A382,'Movimentação'!$B$7:$B$1006,'Movimentação'!$G$7:$G$1006,"",0,-1),""))</f>
        <v/>
      </c>
      <c r="L382" s="24" t="str">
        <f t="shared" si="3"/>
        <v/>
      </c>
      <c r="M382" s="17"/>
      <c r="N382" s="30" t="str">
        <f t="array" ref="N382">IF($A382="","",IFERROR(IF(OR($L382="BAIXADO",$L382="FURTADO"),0,INDEX(Listas!$J$2:$J$40,MATCH($B382,Listas!$I$2:$I$40,0))),""))</f>
        <v/>
      </c>
      <c r="P382" s="31" t="str">
        <f t="array" ref="P382">IF($A382="","",IFERROR(_xlfn.XLOOKUP($A382,'Movimentação'!$B$7:$B$1006,'Movimentação'!$F$7:$F$1006,"",0,-1),""))</f>
        <v/>
      </c>
      <c r="Q382" s="31">
        <f>IF(COUNTIFS('Manutenção'!$B$7:$B$1006,$A382,'Manutenção'!$H$7:$H$1006,"EM CONSERTO")&gt;0,1,0)</f>
        <v>0</v>
      </c>
    </row>
    <row r="383" ht="15.0" hidden="1" customHeight="1">
      <c r="A383" s="15"/>
      <c r="B383" s="17"/>
      <c r="C383" s="17"/>
      <c r="D383" s="17"/>
      <c r="E383" s="17"/>
      <c r="F383" s="17"/>
      <c r="G383" s="18"/>
      <c r="H383" s="15"/>
      <c r="I383" s="15"/>
      <c r="J383" s="24" t="str">
        <f t="array" ref="J383">IF($A383="","",IFERROR(_xlfn.XLOOKUP($A383,'Movimentação'!$B$7:$B$1006,'Movimentação'!$E$7:$E$1006,"",0,-1),""))</f>
        <v/>
      </c>
      <c r="K383" s="24" t="str">
        <f t="array" ref="K383">IF($A383="","",IFERROR(_xlfn.XLOOKUP($A383,'Movimentação'!$B$7:$B$1006,'Movimentação'!$G$7:$G$1006,"",0,-1),""))</f>
        <v/>
      </c>
      <c r="L383" s="24" t="str">
        <f t="shared" si="3"/>
        <v/>
      </c>
      <c r="M383" s="17"/>
      <c r="N383" s="30" t="str">
        <f t="array" ref="N383">IF($A383="","",IFERROR(IF(OR($L383="BAIXADO",$L383="FURTADO"),0,INDEX(Listas!$J$2:$J$40,MATCH($B383,Listas!$I$2:$I$40,0))),""))</f>
        <v/>
      </c>
      <c r="P383" s="31" t="str">
        <f t="array" ref="P383">IF($A383="","",IFERROR(_xlfn.XLOOKUP($A383,'Movimentação'!$B$7:$B$1006,'Movimentação'!$F$7:$F$1006,"",0,-1),""))</f>
        <v/>
      </c>
      <c r="Q383" s="31">
        <f>IF(COUNTIFS('Manutenção'!$B$7:$B$1006,$A383,'Manutenção'!$H$7:$H$1006,"EM CONSERTO")&gt;0,1,0)</f>
        <v>0</v>
      </c>
    </row>
    <row r="384" ht="15.0" hidden="1" customHeight="1">
      <c r="A384" s="15"/>
      <c r="B384" s="17"/>
      <c r="C384" s="17"/>
      <c r="D384" s="17"/>
      <c r="E384" s="17"/>
      <c r="F384" s="17"/>
      <c r="G384" s="18"/>
      <c r="H384" s="15"/>
      <c r="I384" s="15"/>
      <c r="J384" s="24" t="str">
        <f t="array" ref="J384">IF($A384="","",IFERROR(_xlfn.XLOOKUP($A384,'Movimentação'!$B$7:$B$1006,'Movimentação'!$E$7:$E$1006,"",0,-1),""))</f>
        <v/>
      </c>
      <c r="K384" s="24" t="str">
        <f t="array" ref="K384">IF($A384="","",IFERROR(_xlfn.XLOOKUP($A384,'Movimentação'!$B$7:$B$1006,'Movimentação'!$G$7:$G$1006,"",0,-1),""))</f>
        <v/>
      </c>
      <c r="L384" s="24" t="str">
        <f t="shared" si="3"/>
        <v/>
      </c>
      <c r="M384" s="17"/>
      <c r="N384" s="30" t="str">
        <f t="array" ref="N384">IF($A384="","",IFERROR(IF(OR($L384="BAIXADO",$L384="FURTADO"),0,INDEX(Listas!$J$2:$J$40,MATCH($B384,Listas!$I$2:$I$40,0))),""))</f>
        <v/>
      </c>
      <c r="P384" s="31" t="str">
        <f t="array" ref="P384">IF($A384="","",IFERROR(_xlfn.XLOOKUP($A384,'Movimentação'!$B$7:$B$1006,'Movimentação'!$F$7:$F$1006,"",0,-1),""))</f>
        <v/>
      </c>
      <c r="Q384" s="31">
        <f>IF(COUNTIFS('Manutenção'!$B$7:$B$1006,$A384,'Manutenção'!$H$7:$H$1006,"EM CONSERTO")&gt;0,1,0)</f>
        <v>0</v>
      </c>
    </row>
    <row r="385" ht="15.0" hidden="1" customHeight="1">
      <c r="A385" s="15"/>
      <c r="B385" s="17"/>
      <c r="C385" s="17"/>
      <c r="D385" s="17"/>
      <c r="E385" s="17"/>
      <c r="F385" s="17"/>
      <c r="G385" s="18"/>
      <c r="H385" s="15"/>
      <c r="I385" s="15"/>
      <c r="J385" s="24" t="str">
        <f t="array" ref="J385">IF($A385="","",IFERROR(_xlfn.XLOOKUP($A385,'Movimentação'!$B$7:$B$1006,'Movimentação'!$E$7:$E$1006,"",0,-1),""))</f>
        <v/>
      </c>
      <c r="K385" s="24" t="str">
        <f t="array" ref="K385">IF($A385="","",IFERROR(_xlfn.XLOOKUP($A385,'Movimentação'!$B$7:$B$1006,'Movimentação'!$G$7:$G$1006,"",0,-1),""))</f>
        <v/>
      </c>
      <c r="L385" s="24" t="str">
        <f t="shared" si="3"/>
        <v/>
      </c>
      <c r="M385" s="17"/>
      <c r="N385" s="30" t="str">
        <f t="array" ref="N385">IF($A385="","",IFERROR(IF(OR($L385="BAIXADO",$L385="FURTADO"),0,INDEX(Listas!$J$2:$J$40,MATCH($B385,Listas!$I$2:$I$40,0))),""))</f>
        <v/>
      </c>
      <c r="P385" s="31" t="str">
        <f t="array" ref="P385">IF($A385="","",IFERROR(_xlfn.XLOOKUP($A385,'Movimentação'!$B$7:$B$1006,'Movimentação'!$F$7:$F$1006,"",0,-1),""))</f>
        <v/>
      </c>
      <c r="Q385" s="31">
        <f>IF(COUNTIFS('Manutenção'!$B$7:$B$1006,$A385,'Manutenção'!$H$7:$H$1006,"EM CONSERTO")&gt;0,1,0)</f>
        <v>0</v>
      </c>
    </row>
    <row r="386" ht="15.0" hidden="1" customHeight="1">
      <c r="A386" s="15"/>
      <c r="B386" s="17"/>
      <c r="C386" s="17"/>
      <c r="D386" s="17"/>
      <c r="E386" s="17"/>
      <c r="F386" s="17"/>
      <c r="G386" s="18"/>
      <c r="H386" s="15"/>
      <c r="I386" s="15"/>
      <c r="J386" s="24" t="str">
        <f t="array" ref="J386">IF($A386="","",IFERROR(_xlfn.XLOOKUP($A386,'Movimentação'!$B$7:$B$1006,'Movimentação'!$E$7:$E$1006,"",0,-1),""))</f>
        <v/>
      </c>
      <c r="K386" s="24" t="str">
        <f t="array" ref="K386">IF($A386="","",IFERROR(_xlfn.XLOOKUP($A386,'Movimentação'!$B$7:$B$1006,'Movimentação'!$G$7:$G$1006,"",0,-1),""))</f>
        <v/>
      </c>
      <c r="L386" s="24" t="str">
        <f t="shared" si="3"/>
        <v/>
      </c>
      <c r="M386" s="17"/>
      <c r="N386" s="30" t="str">
        <f t="array" ref="N386">IF($A386="","",IFERROR(IF(OR($L386="BAIXADO",$L386="FURTADO"),0,INDEX(Listas!$J$2:$J$40,MATCH($B386,Listas!$I$2:$I$40,0))),""))</f>
        <v/>
      </c>
      <c r="P386" s="31" t="str">
        <f t="array" ref="P386">IF($A386="","",IFERROR(_xlfn.XLOOKUP($A386,'Movimentação'!$B$7:$B$1006,'Movimentação'!$F$7:$F$1006,"",0,-1),""))</f>
        <v/>
      </c>
      <c r="Q386" s="31">
        <f>IF(COUNTIFS('Manutenção'!$B$7:$B$1006,$A386,'Manutenção'!$H$7:$H$1006,"EM CONSERTO")&gt;0,1,0)</f>
        <v>0</v>
      </c>
    </row>
    <row r="387" ht="15.0" hidden="1" customHeight="1">
      <c r="A387" s="15"/>
      <c r="B387" s="17"/>
      <c r="C387" s="17"/>
      <c r="D387" s="17"/>
      <c r="E387" s="17"/>
      <c r="F387" s="17"/>
      <c r="G387" s="18"/>
      <c r="H387" s="15"/>
      <c r="I387" s="15"/>
      <c r="J387" s="24" t="str">
        <f t="array" ref="J387">IF($A387="","",IFERROR(_xlfn.XLOOKUP($A387,'Movimentação'!$B$7:$B$1006,'Movimentação'!$E$7:$E$1006,"",0,-1),""))</f>
        <v/>
      </c>
      <c r="K387" s="24" t="str">
        <f t="array" ref="K387">IF($A387="","",IFERROR(_xlfn.XLOOKUP($A387,'Movimentação'!$B$7:$B$1006,'Movimentação'!$G$7:$G$1006,"",0,-1),""))</f>
        <v/>
      </c>
      <c r="L387" s="24" t="str">
        <f t="shared" si="3"/>
        <v/>
      </c>
      <c r="M387" s="17"/>
      <c r="N387" s="30" t="str">
        <f t="array" ref="N387">IF($A387="","",IFERROR(IF(OR($L387="BAIXADO",$L387="FURTADO"),0,INDEX(Listas!$J$2:$J$40,MATCH($B387,Listas!$I$2:$I$40,0))),""))</f>
        <v/>
      </c>
      <c r="P387" s="31" t="str">
        <f t="array" ref="P387">IF($A387="","",IFERROR(_xlfn.XLOOKUP($A387,'Movimentação'!$B$7:$B$1006,'Movimentação'!$F$7:$F$1006,"",0,-1),""))</f>
        <v/>
      </c>
      <c r="Q387" s="31">
        <f>IF(COUNTIFS('Manutenção'!$B$7:$B$1006,$A387,'Manutenção'!$H$7:$H$1006,"EM CONSERTO")&gt;0,1,0)</f>
        <v>0</v>
      </c>
    </row>
    <row r="388" ht="15.0" hidden="1" customHeight="1">
      <c r="A388" s="15"/>
      <c r="B388" s="17"/>
      <c r="C388" s="17"/>
      <c r="D388" s="17"/>
      <c r="E388" s="17"/>
      <c r="F388" s="17"/>
      <c r="G388" s="18"/>
      <c r="H388" s="15"/>
      <c r="I388" s="15"/>
      <c r="J388" s="24" t="str">
        <f t="array" ref="J388">IF($A388="","",IFERROR(_xlfn.XLOOKUP($A388,'Movimentação'!$B$7:$B$1006,'Movimentação'!$E$7:$E$1006,"",0,-1),""))</f>
        <v/>
      </c>
      <c r="K388" s="24" t="str">
        <f t="array" ref="K388">IF($A388="","",IFERROR(_xlfn.XLOOKUP($A388,'Movimentação'!$B$7:$B$1006,'Movimentação'!$G$7:$G$1006,"",0,-1),""))</f>
        <v/>
      </c>
      <c r="L388" s="24" t="str">
        <f t="shared" si="3"/>
        <v/>
      </c>
      <c r="M388" s="17"/>
      <c r="N388" s="30" t="str">
        <f t="array" ref="N388">IF($A388="","",IFERROR(IF(OR($L388="BAIXADO",$L388="FURTADO"),0,INDEX(Listas!$J$2:$J$40,MATCH($B388,Listas!$I$2:$I$40,0))),""))</f>
        <v/>
      </c>
      <c r="P388" s="31" t="str">
        <f t="array" ref="P388">IF($A388="","",IFERROR(_xlfn.XLOOKUP($A388,'Movimentação'!$B$7:$B$1006,'Movimentação'!$F$7:$F$1006,"",0,-1),""))</f>
        <v/>
      </c>
      <c r="Q388" s="31">
        <f>IF(COUNTIFS('Manutenção'!$B$7:$B$1006,$A388,'Manutenção'!$H$7:$H$1006,"EM CONSERTO")&gt;0,1,0)</f>
        <v>0</v>
      </c>
    </row>
    <row r="389" ht="15.0" hidden="1" customHeight="1">
      <c r="A389" s="15"/>
      <c r="B389" s="17"/>
      <c r="C389" s="17"/>
      <c r="D389" s="17"/>
      <c r="E389" s="17"/>
      <c r="F389" s="17"/>
      <c r="G389" s="18"/>
      <c r="H389" s="15"/>
      <c r="I389" s="15"/>
      <c r="J389" s="24" t="str">
        <f t="array" ref="J389">IF($A389="","",IFERROR(_xlfn.XLOOKUP($A389,'Movimentação'!$B$7:$B$1006,'Movimentação'!$E$7:$E$1006,"",0,-1),""))</f>
        <v/>
      </c>
      <c r="K389" s="24" t="str">
        <f t="array" ref="K389">IF($A389="","",IFERROR(_xlfn.XLOOKUP($A389,'Movimentação'!$B$7:$B$1006,'Movimentação'!$G$7:$G$1006,"",0,-1),""))</f>
        <v/>
      </c>
      <c r="L389" s="24" t="str">
        <f t="shared" si="3"/>
        <v/>
      </c>
      <c r="M389" s="17"/>
      <c r="N389" s="30" t="str">
        <f t="array" ref="N389">IF($A389="","",IFERROR(IF(OR($L389="BAIXADO",$L389="FURTADO"),0,INDEX(Listas!$J$2:$J$40,MATCH($B389,Listas!$I$2:$I$40,0))),""))</f>
        <v/>
      </c>
      <c r="P389" s="31" t="str">
        <f t="array" ref="P389">IF($A389="","",IFERROR(_xlfn.XLOOKUP($A389,'Movimentação'!$B$7:$B$1006,'Movimentação'!$F$7:$F$1006,"",0,-1),""))</f>
        <v/>
      </c>
      <c r="Q389" s="31">
        <f>IF(COUNTIFS('Manutenção'!$B$7:$B$1006,$A389,'Manutenção'!$H$7:$H$1006,"EM CONSERTO")&gt;0,1,0)</f>
        <v>0</v>
      </c>
    </row>
    <row r="390" ht="15.0" hidden="1" customHeight="1">
      <c r="A390" s="15"/>
      <c r="B390" s="17"/>
      <c r="C390" s="17"/>
      <c r="D390" s="17"/>
      <c r="E390" s="17"/>
      <c r="F390" s="17"/>
      <c r="G390" s="18"/>
      <c r="H390" s="15"/>
      <c r="I390" s="15"/>
      <c r="J390" s="24" t="str">
        <f t="array" ref="J390">IF($A390="","",IFERROR(_xlfn.XLOOKUP($A390,'Movimentação'!$B$7:$B$1006,'Movimentação'!$E$7:$E$1006,"",0,-1),""))</f>
        <v/>
      </c>
      <c r="K390" s="24" t="str">
        <f t="array" ref="K390">IF($A390="","",IFERROR(_xlfn.XLOOKUP($A390,'Movimentação'!$B$7:$B$1006,'Movimentação'!$G$7:$G$1006,"",0,-1),""))</f>
        <v/>
      </c>
      <c r="L390" s="24" t="str">
        <f t="shared" si="3"/>
        <v/>
      </c>
      <c r="M390" s="17"/>
      <c r="N390" s="30" t="str">
        <f t="array" ref="N390">IF($A390="","",IFERROR(IF(OR($L390="BAIXADO",$L390="FURTADO"),0,INDEX(Listas!$J$2:$J$40,MATCH($B390,Listas!$I$2:$I$40,0))),""))</f>
        <v/>
      </c>
      <c r="P390" s="31" t="str">
        <f t="array" ref="P390">IF($A390="","",IFERROR(_xlfn.XLOOKUP($A390,'Movimentação'!$B$7:$B$1006,'Movimentação'!$F$7:$F$1006,"",0,-1),""))</f>
        <v/>
      </c>
      <c r="Q390" s="31">
        <f>IF(COUNTIFS('Manutenção'!$B$7:$B$1006,$A390,'Manutenção'!$H$7:$H$1006,"EM CONSERTO")&gt;0,1,0)</f>
        <v>0</v>
      </c>
    </row>
    <row r="391" ht="15.0" hidden="1" customHeight="1">
      <c r="A391" s="15"/>
      <c r="B391" s="17"/>
      <c r="C391" s="17"/>
      <c r="D391" s="17"/>
      <c r="E391" s="17"/>
      <c r="F391" s="17"/>
      <c r="G391" s="18"/>
      <c r="H391" s="15"/>
      <c r="I391" s="15"/>
      <c r="J391" s="24" t="str">
        <f t="array" ref="J391">IF($A391="","",IFERROR(_xlfn.XLOOKUP($A391,'Movimentação'!$B$7:$B$1006,'Movimentação'!$E$7:$E$1006,"",0,-1),""))</f>
        <v/>
      </c>
      <c r="K391" s="24" t="str">
        <f t="array" ref="K391">IF($A391="","",IFERROR(_xlfn.XLOOKUP($A391,'Movimentação'!$B$7:$B$1006,'Movimentação'!$G$7:$G$1006,"",0,-1),""))</f>
        <v/>
      </c>
      <c r="L391" s="24" t="str">
        <f t="shared" si="3"/>
        <v/>
      </c>
      <c r="M391" s="17"/>
      <c r="N391" s="30" t="str">
        <f t="array" ref="N391">IF($A391="","",IFERROR(IF(OR($L391="BAIXADO",$L391="FURTADO"),0,INDEX(Listas!$J$2:$J$40,MATCH($B391,Listas!$I$2:$I$40,0))),""))</f>
        <v/>
      </c>
      <c r="P391" s="31" t="str">
        <f t="array" ref="P391">IF($A391="","",IFERROR(_xlfn.XLOOKUP($A391,'Movimentação'!$B$7:$B$1006,'Movimentação'!$F$7:$F$1006,"",0,-1),""))</f>
        <v/>
      </c>
      <c r="Q391" s="31">
        <f>IF(COUNTIFS('Manutenção'!$B$7:$B$1006,$A391,'Manutenção'!$H$7:$H$1006,"EM CONSERTO")&gt;0,1,0)</f>
        <v>0</v>
      </c>
    </row>
    <row r="392" ht="15.0" hidden="1" customHeight="1">
      <c r="A392" s="15"/>
      <c r="B392" s="17"/>
      <c r="C392" s="17"/>
      <c r="D392" s="17"/>
      <c r="E392" s="17"/>
      <c r="F392" s="17"/>
      <c r="G392" s="18"/>
      <c r="H392" s="15"/>
      <c r="I392" s="15"/>
      <c r="J392" s="24" t="str">
        <f t="array" ref="J392">IF($A392="","",IFERROR(_xlfn.XLOOKUP($A392,'Movimentação'!$B$7:$B$1006,'Movimentação'!$E$7:$E$1006,"",0,-1),""))</f>
        <v/>
      </c>
      <c r="K392" s="24" t="str">
        <f t="array" ref="K392">IF($A392="","",IFERROR(_xlfn.XLOOKUP($A392,'Movimentação'!$B$7:$B$1006,'Movimentação'!$G$7:$G$1006,"",0,-1),""))</f>
        <v/>
      </c>
      <c r="L392" s="24" t="str">
        <f t="shared" si="3"/>
        <v/>
      </c>
      <c r="M392" s="17"/>
      <c r="N392" s="30" t="str">
        <f t="array" ref="N392">IF($A392="","",IFERROR(IF(OR($L392="BAIXADO",$L392="FURTADO"),0,INDEX(Listas!$J$2:$J$40,MATCH($B392,Listas!$I$2:$I$40,0))),""))</f>
        <v/>
      </c>
      <c r="P392" s="31" t="str">
        <f t="array" ref="P392">IF($A392="","",IFERROR(_xlfn.XLOOKUP($A392,'Movimentação'!$B$7:$B$1006,'Movimentação'!$F$7:$F$1006,"",0,-1),""))</f>
        <v/>
      </c>
      <c r="Q392" s="31">
        <f>IF(COUNTIFS('Manutenção'!$B$7:$B$1006,$A392,'Manutenção'!$H$7:$H$1006,"EM CONSERTO")&gt;0,1,0)</f>
        <v>0</v>
      </c>
    </row>
    <row r="393" ht="15.0" hidden="1" customHeight="1">
      <c r="A393" s="15"/>
      <c r="B393" s="17"/>
      <c r="C393" s="17"/>
      <c r="D393" s="17"/>
      <c r="E393" s="17"/>
      <c r="F393" s="17"/>
      <c r="G393" s="18"/>
      <c r="H393" s="15"/>
      <c r="I393" s="15"/>
      <c r="J393" s="24" t="str">
        <f t="array" ref="J393">IF($A393="","",IFERROR(_xlfn.XLOOKUP($A393,'Movimentação'!$B$7:$B$1006,'Movimentação'!$E$7:$E$1006,"",0,-1),""))</f>
        <v/>
      </c>
      <c r="K393" s="24" t="str">
        <f t="array" ref="K393">IF($A393="","",IFERROR(_xlfn.XLOOKUP($A393,'Movimentação'!$B$7:$B$1006,'Movimentação'!$G$7:$G$1006,"",0,-1),""))</f>
        <v/>
      </c>
      <c r="L393" s="24" t="str">
        <f t="shared" si="3"/>
        <v/>
      </c>
      <c r="M393" s="17"/>
      <c r="N393" s="30" t="str">
        <f t="array" ref="N393">IF($A393="","",IFERROR(IF(OR($L393="BAIXADO",$L393="FURTADO"),0,INDEX(Listas!$J$2:$J$40,MATCH($B393,Listas!$I$2:$I$40,0))),""))</f>
        <v/>
      </c>
      <c r="P393" s="31" t="str">
        <f t="array" ref="P393">IF($A393="","",IFERROR(_xlfn.XLOOKUP($A393,'Movimentação'!$B$7:$B$1006,'Movimentação'!$F$7:$F$1006,"",0,-1),""))</f>
        <v/>
      </c>
      <c r="Q393" s="31">
        <f>IF(COUNTIFS('Manutenção'!$B$7:$B$1006,$A393,'Manutenção'!$H$7:$H$1006,"EM CONSERTO")&gt;0,1,0)</f>
        <v>0</v>
      </c>
    </row>
    <row r="394" ht="15.0" hidden="1" customHeight="1">
      <c r="A394" s="15"/>
      <c r="B394" s="17"/>
      <c r="C394" s="17"/>
      <c r="D394" s="17"/>
      <c r="E394" s="17"/>
      <c r="F394" s="17"/>
      <c r="G394" s="18"/>
      <c r="H394" s="15"/>
      <c r="I394" s="15"/>
      <c r="J394" s="24" t="str">
        <f t="array" ref="J394">IF($A394="","",IFERROR(_xlfn.XLOOKUP($A394,'Movimentação'!$B$7:$B$1006,'Movimentação'!$E$7:$E$1006,"",0,-1),""))</f>
        <v/>
      </c>
      <c r="K394" s="24" t="str">
        <f t="array" ref="K394">IF($A394="","",IFERROR(_xlfn.XLOOKUP($A394,'Movimentação'!$B$7:$B$1006,'Movimentação'!$G$7:$G$1006,"",0,-1),""))</f>
        <v/>
      </c>
      <c r="L394" s="24" t="str">
        <f t="shared" si="3"/>
        <v/>
      </c>
      <c r="M394" s="17"/>
      <c r="N394" s="30" t="str">
        <f t="array" ref="N394">IF($A394="","",IFERROR(IF(OR($L394="BAIXADO",$L394="FURTADO"),0,INDEX(Listas!$J$2:$J$40,MATCH($B394,Listas!$I$2:$I$40,0))),""))</f>
        <v/>
      </c>
      <c r="P394" s="31" t="str">
        <f t="array" ref="P394">IF($A394="","",IFERROR(_xlfn.XLOOKUP($A394,'Movimentação'!$B$7:$B$1006,'Movimentação'!$F$7:$F$1006,"",0,-1),""))</f>
        <v/>
      </c>
      <c r="Q394" s="31">
        <f>IF(COUNTIFS('Manutenção'!$B$7:$B$1006,$A394,'Manutenção'!$H$7:$H$1006,"EM CONSERTO")&gt;0,1,0)</f>
        <v>0</v>
      </c>
    </row>
    <row r="395" ht="15.0" hidden="1" customHeight="1">
      <c r="A395" s="15"/>
      <c r="B395" s="17"/>
      <c r="C395" s="17"/>
      <c r="D395" s="17"/>
      <c r="E395" s="17"/>
      <c r="F395" s="17"/>
      <c r="G395" s="18"/>
      <c r="H395" s="15"/>
      <c r="I395" s="15"/>
      <c r="J395" s="24" t="str">
        <f t="array" ref="J395">IF($A395="","",IFERROR(_xlfn.XLOOKUP($A395,'Movimentação'!$B$7:$B$1006,'Movimentação'!$E$7:$E$1006,"",0,-1),""))</f>
        <v/>
      </c>
      <c r="K395" s="24" t="str">
        <f t="array" ref="K395">IF($A395="","",IFERROR(_xlfn.XLOOKUP($A395,'Movimentação'!$B$7:$B$1006,'Movimentação'!$G$7:$G$1006,"",0,-1),""))</f>
        <v/>
      </c>
      <c r="L395" s="24" t="str">
        <f t="shared" si="3"/>
        <v/>
      </c>
      <c r="M395" s="17"/>
      <c r="N395" s="30" t="str">
        <f t="array" ref="N395">IF($A395="","",IFERROR(IF(OR($L395="BAIXADO",$L395="FURTADO"),0,INDEX(Listas!$J$2:$J$40,MATCH($B395,Listas!$I$2:$I$40,0))),""))</f>
        <v/>
      </c>
      <c r="P395" s="31" t="str">
        <f t="array" ref="P395">IF($A395="","",IFERROR(_xlfn.XLOOKUP($A395,'Movimentação'!$B$7:$B$1006,'Movimentação'!$F$7:$F$1006,"",0,-1),""))</f>
        <v/>
      </c>
      <c r="Q395" s="31">
        <f>IF(COUNTIFS('Manutenção'!$B$7:$B$1006,$A395,'Manutenção'!$H$7:$H$1006,"EM CONSERTO")&gt;0,1,0)</f>
        <v>0</v>
      </c>
    </row>
    <row r="396" ht="15.0" hidden="1" customHeight="1">
      <c r="A396" s="15"/>
      <c r="B396" s="17"/>
      <c r="C396" s="17"/>
      <c r="D396" s="17"/>
      <c r="E396" s="17"/>
      <c r="F396" s="17"/>
      <c r="G396" s="18"/>
      <c r="H396" s="15"/>
      <c r="I396" s="15"/>
      <c r="J396" s="24" t="str">
        <f t="array" ref="J396">IF($A396="","",IFERROR(_xlfn.XLOOKUP($A396,'Movimentação'!$B$7:$B$1006,'Movimentação'!$E$7:$E$1006,"",0,-1),""))</f>
        <v/>
      </c>
      <c r="K396" s="24" t="str">
        <f t="array" ref="K396">IF($A396="","",IFERROR(_xlfn.XLOOKUP($A396,'Movimentação'!$B$7:$B$1006,'Movimentação'!$G$7:$G$1006,"",0,-1),""))</f>
        <v/>
      </c>
      <c r="L396" s="24" t="str">
        <f t="shared" si="3"/>
        <v/>
      </c>
      <c r="M396" s="17"/>
      <c r="N396" s="30" t="str">
        <f t="array" ref="N396">IF($A396="","",IFERROR(IF(OR($L396="BAIXADO",$L396="FURTADO"),0,INDEX(Listas!$J$2:$J$40,MATCH($B396,Listas!$I$2:$I$40,0))),""))</f>
        <v/>
      </c>
      <c r="P396" s="31" t="str">
        <f t="array" ref="P396">IF($A396="","",IFERROR(_xlfn.XLOOKUP($A396,'Movimentação'!$B$7:$B$1006,'Movimentação'!$F$7:$F$1006,"",0,-1),""))</f>
        <v/>
      </c>
      <c r="Q396" s="31">
        <f>IF(COUNTIFS('Manutenção'!$B$7:$B$1006,$A396,'Manutenção'!$H$7:$H$1006,"EM CONSERTO")&gt;0,1,0)</f>
        <v>0</v>
      </c>
    </row>
    <row r="397" ht="15.0" hidden="1" customHeight="1">
      <c r="A397" s="15"/>
      <c r="B397" s="17"/>
      <c r="C397" s="17"/>
      <c r="D397" s="17"/>
      <c r="E397" s="17"/>
      <c r="F397" s="17"/>
      <c r="G397" s="18"/>
      <c r="H397" s="15"/>
      <c r="I397" s="15"/>
      <c r="J397" s="24" t="str">
        <f t="array" ref="J397">IF($A397="","",IFERROR(_xlfn.XLOOKUP($A397,'Movimentação'!$B$7:$B$1006,'Movimentação'!$E$7:$E$1006,"",0,-1),""))</f>
        <v/>
      </c>
      <c r="K397" s="24" t="str">
        <f t="array" ref="K397">IF($A397="","",IFERROR(_xlfn.XLOOKUP($A397,'Movimentação'!$B$7:$B$1006,'Movimentação'!$G$7:$G$1006,"",0,-1),""))</f>
        <v/>
      </c>
      <c r="L397" s="24" t="str">
        <f t="shared" si="3"/>
        <v/>
      </c>
      <c r="M397" s="17"/>
      <c r="N397" s="30" t="str">
        <f t="array" ref="N397">IF($A397="","",IFERROR(IF(OR($L397="BAIXADO",$L397="FURTADO"),0,INDEX(Listas!$J$2:$J$40,MATCH($B397,Listas!$I$2:$I$40,0))),""))</f>
        <v/>
      </c>
      <c r="P397" s="31" t="str">
        <f t="array" ref="P397">IF($A397="","",IFERROR(_xlfn.XLOOKUP($A397,'Movimentação'!$B$7:$B$1006,'Movimentação'!$F$7:$F$1006,"",0,-1),""))</f>
        <v/>
      </c>
      <c r="Q397" s="31">
        <f>IF(COUNTIFS('Manutenção'!$B$7:$B$1006,$A397,'Manutenção'!$H$7:$H$1006,"EM CONSERTO")&gt;0,1,0)</f>
        <v>0</v>
      </c>
    </row>
    <row r="398" ht="15.0" hidden="1" customHeight="1">
      <c r="A398" s="15"/>
      <c r="B398" s="17"/>
      <c r="C398" s="17"/>
      <c r="D398" s="17"/>
      <c r="E398" s="17"/>
      <c r="F398" s="17"/>
      <c r="G398" s="18"/>
      <c r="H398" s="15"/>
      <c r="I398" s="15"/>
      <c r="J398" s="24" t="str">
        <f t="array" ref="J398">IF($A398="","",IFERROR(_xlfn.XLOOKUP($A398,'Movimentação'!$B$7:$B$1006,'Movimentação'!$E$7:$E$1006,"",0,-1),""))</f>
        <v/>
      </c>
      <c r="K398" s="24" t="str">
        <f t="array" ref="K398">IF($A398="","",IFERROR(_xlfn.XLOOKUP($A398,'Movimentação'!$B$7:$B$1006,'Movimentação'!$G$7:$G$1006,"",0,-1),""))</f>
        <v/>
      </c>
      <c r="L398" s="24" t="str">
        <f t="shared" si="3"/>
        <v/>
      </c>
      <c r="M398" s="17"/>
      <c r="N398" s="30" t="str">
        <f t="array" ref="N398">IF($A398="","",IFERROR(IF(OR($L398="BAIXADO",$L398="FURTADO"),0,INDEX(Listas!$J$2:$J$40,MATCH($B398,Listas!$I$2:$I$40,0))),""))</f>
        <v/>
      </c>
      <c r="P398" s="31" t="str">
        <f t="array" ref="P398">IF($A398="","",IFERROR(_xlfn.XLOOKUP($A398,'Movimentação'!$B$7:$B$1006,'Movimentação'!$F$7:$F$1006,"",0,-1),""))</f>
        <v/>
      </c>
      <c r="Q398" s="31">
        <f>IF(COUNTIFS('Manutenção'!$B$7:$B$1006,$A398,'Manutenção'!$H$7:$H$1006,"EM CONSERTO")&gt;0,1,0)</f>
        <v>0</v>
      </c>
    </row>
    <row r="399" ht="15.0" hidden="1" customHeight="1">
      <c r="A399" s="15"/>
      <c r="B399" s="17"/>
      <c r="C399" s="17"/>
      <c r="D399" s="17"/>
      <c r="E399" s="17"/>
      <c r="F399" s="17"/>
      <c r="G399" s="18"/>
      <c r="H399" s="15"/>
      <c r="I399" s="15"/>
      <c r="J399" s="24" t="str">
        <f t="array" ref="J399">IF($A399="","",IFERROR(_xlfn.XLOOKUP($A399,'Movimentação'!$B$7:$B$1006,'Movimentação'!$E$7:$E$1006,"",0,-1),""))</f>
        <v/>
      </c>
      <c r="K399" s="24" t="str">
        <f t="array" ref="K399">IF($A399="","",IFERROR(_xlfn.XLOOKUP($A399,'Movimentação'!$B$7:$B$1006,'Movimentação'!$G$7:$G$1006,"",0,-1),""))</f>
        <v/>
      </c>
      <c r="L399" s="24" t="str">
        <f t="shared" si="3"/>
        <v/>
      </c>
      <c r="M399" s="17"/>
      <c r="N399" s="30" t="str">
        <f t="array" ref="N399">IF($A399="","",IFERROR(IF(OR($L399="BAIXADO",$L399="FURTADO"),0,INDEX(Listas!$J$2:$J$40,MATCH($B399,Listas!$I$2:$I$40,0))),""))</f>
        <v/>
      </c>
      <c r="P399" s="31" t="str">
        <f t="array" ref="P399">IF($A399="","",IFERROR(_xlfn.XLOOKUP($A399,'Movimentação'!$B$7:$B$1006,'Movimentação'!$F$7:$F$1006,"",0,-1),""))</f>
        <v/>
      </c>
      <c r="Q399" s="31">
        <f>IF(COUNTIFS('Manutenção'!$B$7:$B$1006,$A399,'Manutenção'!$H$7:$H$1006,"EM CONSERTO")&gt;0,1,0)</f>
        <v>0</v>
      </c>
    </row>
    <row r="400" ht="15.0" hidden="1" customHeight="1">
      <c r="A400" s="15"/>
      <c r="B400" s="17"/>
      <c r="C400" s="17"/>
      <c r="D400" s="17"/>
      <c r="E400" s="17"/>
      <c r="F400" s="17"/>
      <c r="G400" s="18"/>
      <c r="H400" s="15"/>
      <c r="I400" s="15"/>
      <c r="J400" s="24" t="str">
        <f t="array" ref="J400">IF($A400="","",IFERROR(_xlfn.XLOOKUP($A400,'Movimentação'!$B$7:$B$1006,'Movimentação'!$E$7:$E$1006,"",0,-1),""))</f>
        <v/>
      </c>
      <c r="K400" s="24" t="str">
        <f t="array" ref="K400">IF($A400="","",IFERROR(_xlfn.XLOOKUP($A400,'Movimentação'!$B$7:$B$1006,'Movimentação'!$G$7:$G$1006,"",0,-1),""))</f>
        <v/>
      </c>
      <c r="L400" s="24" t="str">
        <f t="shared" si="3"/>
        <v/>
      </c>
      <c r="M400" s="17"/>
      <c r="N400" s="30" t="str">
        <f t="array" ref="N400">IF($A400="","",IFERROR(IF(OR($L400="BAIXADO",$L400="FURTADO"),0,INDEX(Listas!$J$2:$J$40,MATCH($B400,Listas!$I$2:$I$40,0))),""))</f>
        <v/>
      </c>
      <c r="P400" s="31" t="str">
        <f t="array" ref="P400">IF($A400="","",IFERROR(_xlfn.XLOOKUP($A400,'Movimentação'!$B$7:$B$1006,'Movimentação'!$F$7:$F$1006,"",0,-1),""))</f>
        <v/>
      </c>
      <c r="Q400" s="31">
        <f>IF(COUNTIFS('Manutenção'!$B$7:$B$1006,$A400,'Manutenção'!$H$7:$H$1006,"EM CONSERTO")&gt;0,1,0)</f>
        <v>0</v>
      </c>
    </row>
    <row r="401" ht="15.0" hidden="1" customHeight="1">
      <c r="A401" s="15"/>
      <c r="B401" s="17"/>
      <c r="C401" s="17"/>
      <c r="D401" s="17"/>
      <c r="E401" s="17"/>
      <c r="F401" s="17"/>
      <c r="G401" s="18"/>
      <c r="H401" s="15"/>
      <c r="I401" s="15"/>
      <c r="J401" s="24" t="str">
        <f t="array" ref="J401">IF($A401="","",IFERROR(_xlfn.XLOOKUP($A401,'Movimentação'!$B$7:$B$1006,'Movimentação'!$E$7:$E$1006,"",0,-1),""))</f>
        <v/>
      </c>
      <c r="K401" s="24" t="str">
        <f t="array" ref="K401">IF($A401="","",IFERROR(_xlfn.XLOOKUP($A401,'Movimentação'!$B$7:$B$1006,'Movimentação'!$G$7:$G$1006,"",0,-1),""))</f>
        <v/>
      </c>
      <c r="L401" s="24" t="str">
        <f t="shared" si="3"/>
        <v/>
      </c>
      <c r="M401" s="17"/>
      <c r="N401" s="30" t="str">
        <f t="array" ref="N401">IF($A401="","",IFERROR(IF(OR($L401="BAIXADO",$L401="FURTADO"),0,INDEX(Listas!$J$2:$J$40,MATCH($B401,Listas!$I$2:$I$40,0))),""))</f>
        <v/>
      </c>
      <c r="P401" s="31" t="str">
        <f t="array" ref="P401">IF($A401="","",IFERROR(_xlfn.XLOOKUP($A401,'Movimentação'!$B$7:$B$1006,'Movimentação'!$F$7:$F$1006,"",0,-1),""))</f>
        <v/>
      </c>
      <c r="Q401" s="31">
        <f>IF(COUNTIFS('Manutenção'!$B$7:$B$1006,$A401,'Manutenção'!$H$7:$H$1006,"EM CONSERTO")&gt;0,1,0)</f>
        <v>0</v>
      </c>
    </row>
    <row r="402" ht="15.0" hidden="1" customHeight="1">
      <c r="A402" s="15"/>
      <c r="B402" s="17"/>
      <c r="C402" s="17"/>
      <c r="D402" s="17"/>
      <c r="E402" s="17"/>
      <c r="F402" s="17"/>
      <c r="G402" s="18"/>
      <c r="H402" s="15"/>
      <c r="I402" s="15"/>
      <c r="J402" s="24" t="str">
        <f t="array" ref="J402">IF($A402="","",IFERROR(_xlfn.XLOOKUP($A402,'Movimentação'!$B$7:$B$1006,'Movimentação'!$E$7:$E$1006,"",0,-1),""))</f>
        <v/>
      </c>
      <c r="K402" s="24" t="str">
        <f t="array" ref="K402">IF($A402="","",IFERROR(_xlfn.XLOOKUP($A402,'Movimentação'!$B$7:$B$1006,'Movimentação'!$G$7:$G$1006,"",0,-1),""))</f>
        <v/>
      </c>
      <c r="L402" s="24" t="str">
        <f t="shared" si="3"/>
        <v/>
      </c>
      <c r="M402" s="17"/>
      <c r="N402" s="30" t="str">
        <f t="array" ref="N402">IF($A402="","",IFERROR(IF(OR($L402="BAIXADO",$L402="FURTADO"),0,INDEX(Listas!$J$2:$J$40,MATCH($B402,Listas!$I$2:$I$40,0))),""))</f>
        <v/>
      </c>
      <c r="P402" s="31" t="str">
        <f t="array" ref="P402">IF($A402="","",IFERROR(_xlfn.XLOOKUP($A402,'Movimentação'!$B$7:$B$1006,'Movimentação'!$F$7:$F$1006,"",0,-1),""))</f>
        <v/>
      </c>
      <c r="Q402" s="31">
        <f>IF(COUNTIFS('Manutenção'!$B$7:$B$1006,$A402,'Manutenção'!$H$7:$H$1006,"EM CONSERTO")&gt;0,1,0)</f>
        <v>0</v>
      </c>
    </row>
    <row r="403" ht="15.0" hidden="1" customHeight="1">
      <c r="A403" s="15"/>
      <c r="B403" s="17"/>
      <c r="C403" s="17"/>
      <c r="D403" s="17"/>
      <c r="E403" s="17"/>
      <c r="F403" s="17"/>
      <c r="G403" s="18"/>
      <c r="H403" s="15"/>
      <c r="I403" s="15"/>
      <c r="J403" s="24" t="str">
        <f t="array" ref="J403">IF($A403="","",IFERROR(_xlfn.XLOOKUP($A403,'Movimentação'!$B$7:$B$1006,'Movimentação'!$E$7:$E$1006,"",0,-1),""))</f>
        <v/>
      </c>
      <c r="K403" s="24" t="str">
        <f t="array" ref="K403">IF($A403="","",IFERROR(_xlfn.XLOOKUP($A403,'Movimentação'!$B$7:$B$1006,'Movimentação'!$G$7:$G$1006,"",0,-1),""))</f>
        <v/>
      </c>
      <c r="L403" s="24" t="str">
        <f t="shared" si="3"/>
        <v/>
      </c>
      <c r="M403" s="17"/>
      <c r="N403" s="30" t="str">
        <f t="array" ref="N403">IF($A403="","",IFERROR(IF(OR($L403="BAIXADO",$L403="FURTADO"),0,INDEX(Listas!$J$2:$J$40,MATCH($B403,Listas!$I$2:$I$40,0))),""))</f>
        <v/>
      </c>
      <c r="P403" s="31" t="str">
        <f t="array" ref="P403">IF($A403="","",IFERROR(_xlfn.XLOOKUP($A403,'Movimentação'!$B$7:$B$1006,'Movimentação'!$F$7:$F$1006,"",0,-1),""))</f>
        <v/>
      </c>
      <c r="Q403" s="31">
        <f>IF(COUNTIFS('Manutenção'!$B$7:$B$1006,$A403,'Manutenção'!$H$7:$H$1006,"EM CONSERTO")&gt;0,1,0)</f>
        <v>0</v>
      </c>
    </row>
    <row r="404" ht="15.0" hidden="1" customHeight="1">
      <c r="A404" s="15"/>
      <c r="B404" s="17"/>
      <c r="C404" s="17"/>
      <c r="D404" s="17"/>
      <c r="E404" s="17"/>
      <c r="F404" s="17"/>
      <c r="G404" s="18"/>
      <c r="H404" s="15"/>
      <c r="I404" s="15"/>
      <c r="J404" s="24" t="str">
        <f t="array" ref="J404">IF($A404="","",IFERROR(_xlfn.XLOOKUP($A404,'Movimentação'!$B$7:$B$1006,'Movimentação'!$E$7:$E$1006,"",0,-1),""))</f>
        <v/>
      </c>
      <c r="K404" s="24" t="str">
        <f t="array" ref="K404">IF($A404="","",IFERROR(_xlfn.XLOOKUP($A404,'Movimentação'!$B$7:$B$1006,'Movimentação'!$G$7:$G$1006,"",0,-1),""))</f>
        <v/>
      </c>
      <c r="L404" s="24" t="str">
        <f t="shared" si="3"/>
        <v/>
      </c>
      <c r="M404" s="17"/>
      <c r="N404" s="30" t="str">
        <f t="array" ref="N404">IF($A404="","",IFERROR(IF(OR($L404="BAIXADO",$L404="FURTADO"),0,INDEX(Listas!$J$2:$J$40,MATCH($B404,Listas!$I$2:$I$40,0))),""))</f>
        <v/>
      </c>
      <c r="P404" s="31" t="str">
        <f t="array" ref="P404">IF($A404="","",IFERROR(_xlfn.XLOOKUP($A404,'Movimentação'!$B$7:$B$1006,'Movimentação'!$F$7:$F$1006,"",0,-1),""))</f>
        <v/>
      </c>
      <c r="Q404" s="31">
        <f>IF(COUNTIFS('Manutenção'!$B$7:$B$1006,$A404,'Manutenção'!$H$7:$H$1006,"EM CONSERTO")&gt;0,1,0)</f>
        <v>0</v>
      </c>
    </row>
    <row r="405" ht="15.0" hidden="1" customHeight="1">
      <c r="A405" s="15"/>
      <c r="B405" s="17"/>
      <c r="C405" s="17"/>
      <c r="D405" s="17"/>
      <c r="E405" s="17"/>
      <c r="F405" s="17"/>
      <c r="G405" s="18"/>
      <c r="H405" s="15"/>
      <c r="I405" s="15"/>
      <c r="J405" s="24" t="str">
        <f t="array" ref="J405">IF($A405="","",IFERROR(_xlfn.XLOOKUP($A405,'Movimentação'!$B$7:$B$1006,'Movimentação'!$E$7:$E$1006,"",0,-1),""))</f>
        <v/>
      </c>
      <c r="K405" s="24" t="str">
        <f t="array" ref="K405">IF($A405="","",IFERROR(_xlfn.XLOOKUP($A405,'Movimentação'!$B$7:$B$1006,'Movimentação'!$G$7:$G$1006,"",0,-1),""))</f>
        <v/>
      </c>
      <c r="L405" s="24" t="str">
        <f t="shared" si="3"/>
        <v/>
      </c>
      <c r="M405" s="17"/>
      <c r="N405" s="30" t="str">
        <f t="array" ref="N405">IF($A405="","",IFERROR(IF(OR($L405="BAIXADO",$L405="FURTADO"),0,INDEX(Listas!$J$2:$J$40,MATCH($B405,Listas!$I$2:$I$40,0))),""))</f>
        <v/>
      </c>
      <c r="P405" s="31" t="str">
        <f t="array" ref="P405">IF($A405="","",IFERROR(_xlfn.XLOOKUP($A405,'Movimentação'!$B$7:$B$1006,'Movimentação'!$F$7:$F$1006,"",0,-1),""))</f>
        <v/>
      </c>
      <c r="Q405" s="31">
        <f>IF(COUNTIFS('Manutenção'!$B$7:$B$1006,$A405,'Manutenção'!$H$7:$H$1006,"EM CONSERTO")&gt;0,1,0)</f>
        <v>0</v>
      </c>
    </row>
    <row r="406" ht="15.0" hidden="1" customHeight="1">
      <c r="A406" s="15"/>
      <c r="B406" s="17"/>
      <c r="C406" s="17"/>
      <c r="D406" s="17"/>
      <c r="E406" s="17"/>
      <c r="F406" s="17"/>
      <c r="G406" s="18"/>
      <c r="H406" s="15"/>
      <c r="I406" s="15"/>
      <c r="J406" s="24" t="str">
        <f t="array" ref="J406">IF($A406="","",IFERROR(_xlfn.XLOOKUP($A406,'Movimentação'!$B$7:$B$1006,'Movimentação'!$E$7:$E$1006,"",0,-1),""))</f>
        <v/>
      </c>
      <c r="K406" s="24" t="str">
        <f t="array" ref="K406">IF($A406="","",IFERROR(_xlfn.XLOOKUP($A406,'Movimentação'!$B$7:$B$1006,'Movimentação'!$G$7:$G$1006,"",0,-1),""))</f>
        <v/>
      </c>
      <c r="L406" s="24" t="str">
        <f t="shared" si="3"/>
        <v/>
      </c>
      <c r="M406" s="17"/>
      <c r="N406" s="30" t="str">
        <f t="array" ref="N406">IF($A406="","",IFERROR(IF(OR($L406="BAIXADO",$L406="FURTADO"),0,INDEX(Listas!$J$2:$J$40,MATCH($B406,Listas!$I$2:$I$40,0))),""))</f>
        <v/>
      </c>
      <c r="P406" s="31" t="str">
        <f t="array" ref="P406">IF($A406="","",IFERROR(_xlfn.XLOOKUP($A406,'Movimentação'!$B$7:$B$1006,'Movimentação'!$F$7:$F$1006,"",0,-1),""))</f>
        <v/>
      </c>
      <c r="Q406" s="31">
        <f>IF(COUNTIFS('Manutenção'!$B$7:$B$1006,$A406,'Manutenção'!$H$7:$H$1006,"EM CONSERTO")&gt;0,1,0)</f>
        <v>0</v>
      </c>
    </row>
    <row r="407" ht="15.0" hidden="1" customHeight="1">
      <c r="A407" s="15"/>
      <c r="B407" s="17"/>
      <c r="C407" s="17"/>
      <c r="D407" s="17"/>
      <c r="E407" s="17"/>
      <c r="F407" s="17"/>
      <c r="G407" s="18"/>
      <c r="H407" s="15"/>
      <c r="I407" s="15"/>
      <c r="J407" s="24" t="str">
        <f t="array" ref="J407">IF($A407="","",IFERROR(_xlfn.XLOOKUP($A407,'Movimentação'!$B$7:$B$1006,'Movimentação'!$E$7:$E$1006,"",0,-1),""))</f>
        <v/>
      </c>
      <c r="K407" s="24" t="str">
        <f t="array" ref="K407">IF($A407="","",IFERROR(_xlfn.XLOOKUP($A407,'Movimentação'!$B$7:$B$1006,'Movimentação'!$G$7:$G$1006,"",0,-1),""))</f>
        <v/>
      </c>
      <c r="L407" s="24" t="str">
        <f t="shared" si="3"/>
        <v/>
      </c>
      <c r="M407" s="17"/>
      <c r="N407" s="30" t="str">
        <f t="array" ref="N407">IF($A407="","",IFERROR(IF(OR($L407="BAIXADO",$L407="FURTADO"),0,INDEX(Listas!$J$2:$J$40,MATCH($B407,Listas!$I$2:$I$40,0))),""))</f>
        <v/>
      </c>
      <c r="P407" s="31" t="str">
        <f t="array" ref="P407">IF($A407="","",IFERROR(_xlfn.XLOOKUP($A407,'Movimentação'!$B$7:$B$1006,'Movimentação'!$F$7:$F$1006,"",0,-1),""))</f>
        <v/>
      </c>
      <c r="Q407" s="31">
        <f>IF(COUNTIFS('Manutenção'!$B$7:$B$1006,$A407,'Manutenção'!$H$7:$H$1006,"EM CONSERTO")&gt;0,1,0)</f>
        <v>0</v>
      </c>
    </row>
    <row r="408" ht="15.0" hidden="1" customHeight="1">
      <c r="A408" s="15"/>
      <c r="B408" s="17"/>
      <c r="C408" s="17"/>
      <c r="D408" s="17"/>
      <c r="E408" s="17"/>
      <c r="F408" s="17"/>
      <c r="G408" s="18"/>
      <c r="H408" s="15"/>
      <c r="I408" s="15"/>
      <c r="J408" s="24" t="str">
        <f t="array" ref="J408">IF($A408="","",IFERROR(_xlfn.XLOOKUP($A408,'Movimentação'!$B$7:$B$1006,'Movimentação'!$E$7:$E$1006,"",0,-1),""))</f>
        <v/>
      </c>
      <c r="K408" s="24" t="str">
        <f t="array" ref="K408">IF($A408="","",IFERROR(_xlfn.XLOOKUP($A408,'Movimentação'!$B$7:$B$1006,'Movimentação'!$G$7:$G$1006,"",0,-1),""))</f>
        <v/>
      </c>
      <c r="L408" s="24" t="str">
        <f t="shared" si="3"/>
        <v/>
      </c>
      <c r="M408" s="17"/>
      <c r="N408" s="30" t="str">
        <f t="array" ref="N408">IF($A408="","",IFERROR(IF(OR($L408="BAIXADO",$L408="FURTADO"),0,INDEX(Listas!$J$2:$J$40,MATCH($B408,Listas!$I$2:$I$40,0))),""))</f>
        <v/>
      </c>
      <c r="P408" s="31" t="str">
        <f t="array" ref="P408">IF($A408="","",IFERROR(_xlfn.XLOOKUP($A408,'Movimentação'!$B$7:$B$1006,'Movimentação'!$F$7:$F$1006,"",0,-1),""))</f>
        <v/>
      </c>
      <c r="Q408" s="31">
        <f>IF(COUNTIFS('Manutenção'!$B$7:$B$1006,$A408,'Manutenção'!$H$7:$H$1006,"EM CONSERTO")&gt;0,1,0)</f>
        <v>0</v>
      </c>
    </row>
    <row r="409" ht="15.0" hidden="1" customHeight="1">
      <c r="A409" s="15"/>
      <c r="B409" s="17"/>
      <c r="C409" s="17"/>
      <c r="D409" s="17"/>
      <c r="E409" s="17"/>
      <c r="F409" s="17"/>
      <c r="G409" s="18"/>
      <c r="H409" s="15"/>
      <c r="I409" s="15"/>
      <c r="J409" s="24" t="str">
        <f t="array" ref="J409">IF($A409="","",IFERROR(_xlfn.XLOOKUP($A409,'Movimentação'!$B$7:$B$1006,'Movimentação'!$E$7:$E$1006,"",0,-1),""))</f>
        <v/>
      </c>
      <c r="K409" s="24" t="str">
        <f t="array" ref="K409">IF($A409="","",IFERROR(_xlfn.XLOOKUP($A409,'Movimentação'!$B$7:$B$1006,'Movimentação'!$G$7:$G$1006,"",0,-1),""))</f>
        <v/>
      </c>
      <c r="L409" s="24" t="str">
        <f t="shared" si="3"/>
        <v/>
      </c>
      <c r="M409" s="17"/>
      <c r="N409" s="30" t="str">
        <f t="array" ref="N409">IF($A409="","",IFERROR(IF(OR($L409="BAIXADO",$L409="FURTADO"),0,INDEX(Listas!$J$2:$J$40,MATCH($B409,Listas!$I$2:$I$40,0))),""))</f>
        <v/>
      </c>
      <c r="P409" s="31" t="str">
        <f t="array" ref="P409">IF($A409="","",IFERROR(_xlfn.XLOOKUP($A409,'Movimentação'!$B$7:$B$1006,'Movimentação'!$F$7:$F$1006,"",0,-1),""))</f>
        <v/>
      </c>
      <c r="Q409" s="31">
        <f>IF(COUNTIFS('Manutenção'!$B$7:$B$1006,$A409,'Manutenção'!$H$7:$H$1006,"EM CONSERTO")&gt;0,1,0)</f>
        <v>0</v>
      </c>
    </row>
    <row r="410" ht="15.0" hidden="1" customHeight="1">
      <c r="A410" s="15"/>
      <c r="B410" s="17"/>
      <c r="C410" s="17"/>
      <c r="D410" s="17"/>
      <c r="E410" s="17"/>
      <c r="F410" s="17"/>
      <c r="G410" s="18"/>
      <c r="H410" s="15"/>
      <c r="I410" s="15"/>
      <c r="J410" s="24" t="str">
        <f t="array" ref="J410">IF($A410="","",IFERROR(_xlfn.XLOOKUP($A410,'Movimentação'!$B$7:$B$1006,'Movimentação'!$E$7:$E$1006,"",0,-1),""))</f>
        <v/>
      </c>
      <c r="K410" s="24" t="str">
        <f t="array" ref="K410">IF($A410="","",IFERROR(_xlfn.XLOOKUP($A410,'Movimentação'!$B$7:$B$1006,'Movimentação'!$G$7:$G$1006,"",0,-1),""))</f>
        <v/>
      </c>
      <c r="L410" s="24" t="str">
        <f t="shared" si="3"/>
        <v/>
      </c>
      <c r="M410" s="17"/>
      <c r="N410" s="30" t="str">
        <f t="array" ref="N410">IF($A410="","",IFERROR(IF(OR($L410="BAIXADO",$L410="FURTADO"),0,INDEX(Listas!$J$2:$J$40,MATCH($B410,Listas!$I$2:$I$40,0))),""))</f>
        <v/>
      </c>
      <c r="P410" s="31" t="str">
        <f t="array" ref="P410">IF($A410="","",IFERROR(_xlfn.XLOOKUP($A410,'Movimentação'!$B$7:$B$1006,'Movimentação'!$F$7:$F$1006,"",0,-1),""))</f>
        <v/>
      </c>
      <c r="Q410" s="31">
        <f>IF(COUNTIFS('Manutenção'!$B$7:$B$1006,$A410,'Manutenção'!$H$7:$H$1006,"EM CONSERTO")&gt;0,1,0)</f>
        <v>0</v>
      </c>
    </row>
    <row r="411" ht="15.0" hidden="1" customHeight="1">
      <c r="A411" s="15"/>
      <c r="B411" s="17"/>
      <c r="C411" s="17"/>
      <c r="D411" s="17"/>
      <c r="E411" s="17"/>
      <c r="F411" s="17"/>
      <c r="G411" s="18"/>
      <c r="H411" s="15"/>
      <c r="I411" s="15"/>
      <c r="J411" s="24" t="str">
        <f t="array" ref="J411">IF($A411="","",IFERROR(_xlfn.XLOOKUP($A411,'Movimentação'!$B$7:$B$1006,'Movimentação'!$E$7:$E$1006,"",0,-1),""))</f>
        <v/>
      </c>
      <c r="K411" s="24" t="str">
        <f t="array" ref="K411">IF($A411="","",IFERROR(_xlfn.XLOOKUP($A411,'Movimentação'!$B$7:$B$1006,'Movimentação'!$G$7:$G$1006,"",0,-1),""))</f>
        <v/>
      </c>
      <c r="L411" s="24" t="str">
        <f t="shared" si="3"/>
        <v/>
      </c>
      <c r="M411" s="17"/>
      <c r="N411" s="30" t="str">
        <f t="array" ref="N411">IF($A411="","",IFERROR(IF(OR($L411="BAIXADO",$L411="FURTADO"),0,INDEX(Listas!$J$2:$J$40,MATCH($B411,Listas!$I$2:$I$40,0))),""))</f>
        <v/>
      </c>
      <c r="P411" s="31" t="str">
        <f t="array" ref="P411">IF($A411="","",IFERROR(_xlfn.XLOOKUP($A411,'Movimentação'!$B$7:$B$1006,'Movimentação'!$F$7:$F$1006,"",0,-1),""))</f>
        <v/>
      </c>
      <c r="Q411" s="31">
        <f>IF(COUNTIFS('Manutenção'!$B$7:$B$1006,$A411,'Manutenção'!$H$7:$H$1006,"EM CONSERTO")&gt;0,1,0)</f>
        <v>0</v>
      </c>
    </row>
    <row r="412" ht="15.0" hidden="1" customHeight="1">
      <c r="A412" s="15"/>
      <c r="B412" s="17"/>
      <c r="C412" s="17"/>
      <c r="D412" s="17"/>
      <c r="E412" s="17"/>
      <c r="F412" s="17"/>
      <c r="G412" s="18"/>
      <c r="H412" s="15"/>
      <c r="I412" s="15"/>
      <c r="J412" s="24" t="str">
        <f t="array" ref="J412">IF($A412="","",IFERROR(_xlfn.XLOOKUP($A412,'Movimentação'!$B$7:$B$1006,'Movimentação'!$E$7:$E$1006,"",0,-1),""))</f>
        <v/>
      </c>
      <c r="K412" s="24" t="str">
        <f t="array" ref="K412">IF($A412="","",IFERROR(_xlfn.XLOOKUP($A412,'Movimentação'!$B$7:$B$1006,'Movimentação'!$G$7:$G$1006,"",0,-1),""))</f>
        <v/>
      </c>
      <c r="L412" s="24" t="str">
        <f t="shared" si="3"/>
        <v/>
      </c>
      <c r="M412" s="17"/>
      <c r="N412" s="30" t="str">
        <f t="array" ref="N412">IF($A412="","",IFERROR(IF(OR($L412="BAIXADO",$L412="FURTADO"),0,INDEX(Listas!$J$2:$J$40,MATCH($B412,Listas!$I$2:$I$40,0))),""))</f>
        <v/>
      </c>
      <c r="P412" s="31" t="str">
        <f t="array" ref="P412">IF($A412="","",IFERROR(_xlfn.XLOOKUP($A412,'Movimentação'!$B$7:$B$1006,'Movimentação'!$F$7:$F$1006,"",0,-1),""))</f>
        <v/>
      </c>
      <c r="Q412" s="31">
        <f>IF(COUNTIFS('Manutenção'!$B$7:$B$1006,$A412,'Manutenção'!$H$7:$H$1006,"EM CONSERTO")&gt;0,1,0)</f>
        <v>0</v>
      </c>
    </row>
    <row r="413" ht="15.0" hidden="1" customHeight="1">
      <c r="A413" s="15"/>
      <c r="B413" s="17"/>
      <c r="C413" s="17"/>
      <c r="D413" s="17"/>
      <c r="E413" s="17"/>
      <c r="F413" s="17"/>
      <c r="G413" s="18"/>
      <c r="H413" s="15"/>
      <c r="I413" s="15"/>
      <c r="J413" s="24" t="str">
        <f t="array" ref="J413">IF($A413="","",IFERROR(_xlfn.XLOOKUP($A413,'Movimentação'!$B$7:$B$1006,'Movimentação'!$E$7:$E$1006,"",0,-1),""))</f>
        <v/>
      </c>
      <c r="K413" s="24" t="str">
        <f t="array" ref="K413">IF($A413="","",IFERROR(_xlfn.XLOOKUP($A413,'Movimentação'!$B$7:$B$1006,'Movimentação'!$G$7:$G$1006,"",0,-1),""))</f>
        <v/>
      </c>
      <c r="L413" s="24" t="str">
        <f t="shared" si="3"/>
        <v/>
      </c>
      <c r="M413" s="17"/>
      <c r="N413" s="30" t="str">
        <f t="array" ref="N413">IF($A413="","",IFERROR(IF(OR($L413="BAIXADO",$L413="FURTADO"),0,INDEX(Listas!$J$2:$J$40,MATCH($B413,Listas!$I$2:$I$40,0))),""))</f>
        <v/>
      </c>
      <c r="P413" s="31" t="str">
        <f t="array" ref="P413">IF($A413="","",IFERROR(_xlfn.XLOOKUP($A413,'Movimentação'!$B$7:$B$1006,'Movimentação'!$F$7:$F$1006,"",0,-1),""))</f>
        <v/>
      </c>
      <c r="Q413" s="31">
        <f>IF(COUNTIFS('Manutenção'!$B$7:$B$1006,$A413,'Manutenção'!$H$7:$H$1006,"EM CONSERTO")&gt;0,1,0)</f>
        <v>0</v>
      </c>
    </row>
    <row r="414" ht="15.0" hidden="1" customHeight="1">
      <c r="A414" s="15"/>
      <c r="B414" s="17"/>
      <c r="C414" s="17"/>
      <c r="D414" s="17"/>
      <c r="E414" s="17"/>
      <c r="F414" s="17"/>
      <c r="G414" s="18"/>
      <c r="H414" s="15"/>
      <c r="I414" s="15"/>
      <c r="J414" s="24" t="str">
        <f t="array" ref="J414">IF($A414="","",IFERROR(_xlfn.XLOOKUP($A414,'Movimentação'!$B$7:$B$1006,'Movimentação'!$E$7:$E$1006,"",0,-1),""))</f>
        <v/>
      </c>
      <c r="K414" s="24" t="str">
        <f t="array" ref="K414">IF($A414="","",IFERROR(_xlfn.XLOOKUP($A414,'Movimentação'!$B$7:$B$1006,'Movimentação'!$G$7:$G$1006,"",0,-1),""))</f>
        <v/>
      </c>
      <c r="L414" s="24" t="str">
        <f t="shared" si="3"/>
        <v/>
      </c>
      <c r="M414" s="17"/>
      <c r="N414" s="30" t="str">
        <f t="array" ref="N414">IF($A414="","",IFERROR(IF(OR($L414="BAIXADO",$L414="FURTADO"),0,INDEX(Listas!$J$2:$J$40,MATCH($B414,Listas!$I$2:$I$40,0))),""))</f>
        <v/>
      </c>
      <c r="P414" s="31" t="str">
        <f t="array" ref="P414">IF($A414="","",IFERROR(_xlfn.XLOOKUP($A414,'Movimentação'!$B$7:$B$1006,'Movimentação'!$F$7:$F$1006,"",0,-1),""))</f>
        <v/>
      </c>
      <c r="Q414" s="31">
        <f>IF(COUNTIFS('Manutenção'!$B$7:$B$1006,$A414,'Manutenção'!$H$7:$H$1006,"EM CONSERTO")&gt;0,1,0)</f>
        <v>0</v>
      </c>
    </row>
    <row r="415" ht="15.0" hidden="1" customHeight="1">
      <c r="A415" s="15"/>
      <c r="B415" s="17"/>
      <c r="C415" s="17"/>
      <c r="D415" s="17"/>
      <c r="E415" s="17"/>
      <c r="F415" s="17"/>
      <c r="G415" s="18"/>
      <c r="H415" s="15"/>
      <c r="I415" s="15"/>
      <c r="J415" s="24" t="str">
        <f t="array" ref="J415">IF($A415="","",IFERROR(_xlfn.XLOOKUP($A415,'Movimentação'!$B$7:$B$1006,'Movimentação'!$E$7:$E$1006,"",0,-1),""))</f>
        <v/>
      </c>
      <c r="K415" s="24" t="str">
        <f t="array" ref="K415">IF($A415="","",IFERROR(_xlfn.XLOOKUP($A415,'Movimentação'!$B$7:$B$1006,'Movimentação'!$G$7:$G$1006,"",0,-1),""))</f>
        <v/>
      </c>
      <c r="L415" s="24" t="str">
        <f t="shared" si="3"/>
        <v/>
      </c>
      <c r="M415" s="17"/>
      <c r="N415" s="30" t="str">
        <f t="array" ref="N415">IF($A415="","",IFERROR(IF(OR($L415="BAIXADO",$L415="FURTADO"),0,INDEX(Listas!$J$2:$J$40,MATCH($B415,Listas!$I$2:$I$40,0))),""))</f>
        <v/>
      </c>
      <c r="P415" s="31" t="str">
        <f t="array" ref="P415">IF($A415="","",IFERROR(_xlfn.XLOOKUP($A415,'Movimentação'!$B$7:$B$1006,'Movimentação'!$F$7:$F$1006,"",0,-1),""))</f>
        <v/>
      </c>
      <c r="Q415" s="31">
        <f>IF(COUNTIFS('Manutenção'!$B$7:$B$1006,$A415,'Manutenção'!$H$7:$H$1006,"EM CONSERTO")&gt;0,1,0)</f>
        <v>0</v>
      </c>
    </row>
    <row r="416" ht="15.0" hidden="1" customHeight="1">
      <c r="A416" s="15"/>
      <c r="B416" s="17"/>
      <c r="C416" s="17"/>
      <c r="D416" s="17"/>
      <c r="E416" s="17"/>
      <c r="F416" s="17"/>
      <c r="G416" s="18"/>
      <c r="H416" s="15"/>
      <c r="I416" s="15"/>
      <c r="J416" s="24" t="str">
        <f t="array" ref="J416">IF($A416="","",IFERROR(_xlfn.XLOOKUP($A416,'Movimentação'!$B$7:$B$1006,'Movimentação'!$E$7:$E$1006,"",0,-1),""))</f>
        <v/>
      </c>
      <c r="K416" s="24" t="str">
        <f t="array" ref="K416">IF($A416="","",IFERROR(_xlfn.XLOOKUP($A416,'Movimentação'!$B$7:$B$1006,'Movimentação'!$G$7:$G$1006,"",0,-1),""))</f>
        <v/>
      </c>
      <c r="L416" s="24" t="str">
        <f t="shared" si="3"/>
        <v/>
      </c>
      <c r="M416" s="17"/>
      <c r="N416" s="30" t="str">
        <f t="array" ref="N416">IF($A416="","",IFERROR(IF(OR($L416="BAIXADO",$L416="FURTADO"),0,INDEX(Listas!$J$2:$J$40,MATCH($B416,Listas!$I$2:$I$40,0))),""))</f>
        <v/>
      </c>
      <c r="P416" s="31" t="str">
        <f t="array" ref="P416">IF($A416="","",IFERROR(_xlfn.XLOOKUP($A416,'Movimentação'!$B$7:$B$1006,'Movimentação'!$F$7:$F$1006,"",0,-1),""))</f>
        <v/>
      </c>
      <c r="Q416" s="31">
        <f>IF(COUNTIFS('Manutenção'!$B$7:$B$1006,$A416,'Manutenção'!$H$7:$H$1006,"EM CONSERTO")&gt;0,1,0)</f>
        <v>0</v>
      </c>
    </row>
    <row r="417" ht="15.0" hidden="1" customHeight="1">
      <c r="A417" s="15"/>
      <c r="B417" s="17"/>
      <c r="C417" s="17"/>
      <c r="D417" s="17"/>
      <c r="E417" s="17"/>
      <c r="F417" s="17"/>
      <c r="G417" s="18"/>
      <c r="H417" s="15"/>
      <c r="I417" s="15"/>
      <c r="J417" s="24" t="str">
        <f t="array" ref="J417">IF($A417="","",IFERROR(_xlfn.XLOOKUP($A417,'Movimentação'!$B$7:$B$1006,'Movimentação'!$E$7:$E$1006,"",0,-1),""))</f>
        <v/>
      </c>
      <c r="K417" s="24" t="str">
        <f t="array" ref="K417">IF($A417="","",IFERROR(_xlfn.XLOOKUP($A417,'Movimentação'!$B$7:$B$1006,'Movimentação'!$G$7:$G$1006,"",0,-1),""))</f>
        <v/>
      </c>
      <c r="L417" s="24" t="str">
        <f t="shared" si="3"/>
        <v/>
      </c>
      <c r="M417" s="17"/>
      <c r="N417" s="30" t="str">
        <f t="array" ref="N417">IF($A417="","",IFERROR(IF(OR($L417="BAIXADO",$L417="FURTADO"),0,INDEX(Listas!$J$2:$J$40,MATCH($B417,Listas!$I$2:$I$40,0))),""))</f>
        <v/>
      </c>
      <c r="P417" s="31" t="str">
        <f t="array" ref="P417">IF($A417="","",IFERROR(_xlfn.XLOOKUP($A417,'Movimentação'!$B$7:$B$1006,'Movimentação'!$F$7:$F$1006,"",0,-1),""))</f>
        <v/>
      </c>
      <c r="Q417" s="31">
        <f>IF(COUNTIFS('Manutenção'!$B$7:$B$1006,$A417,'Manutenção'!$H$7:$H$1006,"EM CONSERTO")&gt;0,1,0)</f>
        <v>0</v>
      </c>
    </row>
    <row r="418" ht="15.0" hidden="1" customHeight="1">
      <c r="A418" s="15"/>
      <c r="B418" s="17"/>
      <c r="C418" s="17"/>
      <c r="D418" s="17"/>
      <c r="E418" s="17"/>
      <c r="F418" s="17"/>
      <c r="G418" s="18"/>
      <c r="H418" s="15"/>
      <c r="I418" s="15"/>
      <c r="J418" s="24" t="str">
        <f t="array" ref="J418">IF($A418="","",IFERROR(_xlfn.XLOOKUP($A418,'Movimentação'!$B$7:$B$1006,'Movimentação'!$E$7:$E$1006,"",0,-1),""))</f>
        <v/>
      </c>
      <c r="K418" s="24" t="str">
        <f t="array" ref="K418">IF($A418="","",IFERROR(_xlfn.XLOOKUP($A418,'Movimentação'!$B$7:$B$1006,'Movimentação'!$G$7:$G$1006,"",0,-1),""))</f>
        <v/>
      </c>
      <c r="L418" s="24" t="str">
        <f t="shared" si="3"/>
        <v/>
      </c>
      <c r="M418" s="17"/>
      <c r="N418" s="30" t="str">
        <f t="array" ref="N418">IF($A418="","",IFERROR(IF(OR($L418="BAIXADO",$L418="FURTADO"),0,INDEX(Listas!$J$2:$J$40,MATCH($B418,Listas!$I$2:$I$40,0))),""))</f>
        <v/>
      </c>
      <c r="P418" s="31" t="str">
        <f t="array" ref="P418">IF($A418="","",IFERROR(_xlfn.XLOOKUP($A418,'Movimentação'!$B$7:$B$1006,'Movimentação'!$F$7:$F$1006,"",0,-1),""))</f>
        <v/>
      </c>
      <c r="Q418" s="31">
        <f>IF(COUNTIFS('Manutenção'!$B$7:$B$1006,$A418,'Manutenção'!$H$7:$H$1006,"EM CONSERTO")&gt;0,1,0)</f>
        <v>0</v>
      </c>
    </row>
    <row r="419" ht="15.0" hidden="1" customHeight="1">
      <c r="A419" s="15"/>
      <c r="B419" s="17"/>
      <c r="C419" s="17"/>
      <c r="D419" s="17"/>
      <c r="E419" s="17"/>
      <c r="F419" s="17"/>
      <c r="G419" s="18"/>
      <c r="H419" s="15"/>
      <c r="I419" s="15"/>
      <c r="J419" s="24" t="str">
        <f t="array" ref="J419">IF($A419="","",IFERROR(_xlfn.XLOOKUP($A419,'Movimentação'!$B$7:$B$1006,'Movimentação'!$E$7:$E$1006,"",0,-1),""))</f>
        <v/>
      </c>
      <c r="K419" s="24" t="str">
        <f t="array" ref="K419">IF($A419="","",IFERROR(_xlfn.XLOOKUP($A419,'Movimentação'!$B$7:$B$1006,'Movimentação'!$G$7:$G$1006,"",0,-1),""))</f>
        <v/>
      </c>
      <c r="L419" s="24" t="str">
        <f t="shared" si="3"/>
        <v/>
      </c>
      <c r="M419" s="17"/>
      <c r="N419" s="30" t="str">
        <f t="array" ref="N419">IF($A419="","",IFERROR(IF(OR($L419="BAIXADO",$L419="FURTADO"),0,INDEX(Listas!$J$2:$J$40,MATCH($B419,Listas!$I$2:$I$40,0))),""))</f>
        <v/>
      </c>
      <c r="P419" s="31" t="str">
        <f t="array" ref="P419">IF($A419="","",IFERROR(_xlfn.XLOOKUP($A419,'Movimentação'!$B$7:$B$1006,'Movimentação'!$F$7:$F$1006,"",0,-1),""))</f>
        <v/>
      </c>
      <c r="Q419" s="31">
        <f>IF(COUNTIFS('Manutenção'!$B$7:$B$1006,$A419,'Manutenção'!$H$7:$H$1006,"EM CONSERTO")&gt;0,1,0)</f>
        <v>0</v>
      </c>
    </row>
    <row r="420" ht="15.0" hidden="1" customHeight="1">
      <c r="A420" s="15"/>
      <c r="B420" s="17"/>
      <c r="C420" s="17"/>
      <c r="D420" s="17"/>
      <c r="E420" s="17"/>
      <c r="F420" s="17"/>
      <c r="G420" s="18"/>
      <c r="H420" s="15"/>
      <c r="I420" s="15"/>
      <c r="J420" s="24" t="str">
        <f t="array" ref="J420">IF($A420="","",IFERROR(_xlfn.XLOOKUP($A420,'Movimentação'!$B$7:$B$1006,'Movimentação'!$E$7:$E$1006,"",0,-1),""))</f>
        <v/>
      </c>
      <c r="K420" s="24" t="str">
        <f t="array" ref="K420">IF($A420="","",IFERROR(_xlfn.XLOOKUP($A420,'Movimentação'!$B$7:$B$1006,'Movimentação'!$G$7:$G$1006,"",0,-1),""))</f>
        <v/>
      </c>
      <c r="L420" s="24" t="str">
        <f t="shared" si="3"/>
        <v/>
      </c>
      <c r="M420" s="17"/>
      <c r="N420" s="30" t="str">
        <f t="array" ref="N420">IF($A420="","",IFERROR(IF(OR($L420="BAIXADO",$L420="FURTADO"),0,INDEX(Listas!$J$2:$J$40,MATCH($B420,Listas!$I$2:$I$40,0))),""))</f>
        <v/>
      </c>
      <c r="P420" s="31" t="str">
        <f t="array" ref="P420">IF($A420="","",IFERROR(_xlfn.XLOOKUP($A420,'Movimentação'!$B$7:$B$1006,'Movimentação'!$F$7:$F$1006,"",0,-1),""))</f>
        <v/>
      </c>
      <c r="Q420" s="31">
        <f>IF(COUNTIFS('Manutenção'!$B$7:$B$1006,$A420,'Manutenção'!$H$7:$H$1006,"EM CONSERTO")&gt;0,1,0)</f>
        <v>0</v>
      </c>
    </row>
    <row r="421" ht="15.0" hidden="1" customHeight="1">
      <c r="A421" s="15"/>
      <c r="B421" s="17"/>
      <c r="C421" s="17"/>
      <c r="D421" s="17"/>
      <c r="E421" s="17"/>
      <c r="F421" s="17"/>
      <c r="G421" s="18"/>
      <c r="H421" s="15"/>
      <c r="I421" s="15"/>
      <c r="J421" s="24" t="str">
        <f t="array" ref="J421">IF($A421="","",IFERROR(_xlfn.XLOOKUP($A421,'Movimentação'!$B$7:$B$1006,'Movimentação'!$E$7:$E$1006,"",0,-1),""))</f>
        <v/>
      </c>
      <c r="K421" s="24" t="str">
        <f t="array" ref="K421">IF($A421="","",IFERROR(_xlfn.XLOOKUP($A421,'Movimentação'!$B$7:$B$1006,'Movimentação'!$G$7:$G$1006,"",0,-1),""))</f>
        <v/>
      </c>
      <c r="L421" s="24" t="str">
        <f t="shared" si="3"/>
        <v/>
      </c>
      <c r="M421" s="17"/>
      <c r="N421" s="30" t="str">
        <f t="array" ref="N421">IF($A421="","",IFERROR(IF(OR($L421="BAIXADO",$L421="FURTADO"),0,INDEX(Listas!$J$2:$J$40,MATCH($B421,Listas!$I$2:$I$40,0))),""))</f>
        <v/>
      </c>
      <c r="P421" s="31" t="str">
        <f t="array" ref="P421">IF($A421="","",IFERROR(_xlfn.XLOOKUP($A421,'Movimentação'!$B$7:$B$1006,'Movimentação'!$F$7:$F$1006,"",0,-1),""))</f>
        <v/>
      </c>
      <c r="Q421" s="31">
        <f>IF(COUNTIFS('Manutenção'!$B$7:$B$1006,$A421,'Manutenção'!$H$7:$H$1006,"EM CONSERTO")&gt;0,1,0)</f>
        <v>0</v>
      </c>
    </row>
    <row r="422" ht="15.0" hidden="1" customHeight="1">
      <c r="A422" s="15"/>
      <c r="B422" s="17"/>
      <c r="C422" s="17"/>
      <c r="D422" s="17"/>
      <c r="E422" s="17"/>
      <c r="F422" s="17"/>
      <c r="G422" s="18"/>
      <c r="H422" s="15"/>
      <c r="I422" s="15"/>
      <c r="J422" s="24" t="str">
        <f t="array" ref="J422">IF($A422="","",IFERROR(_xlfn.XLOOKUP($A422,'Movimentação'!$B$7:$B$1006,'Movimentação'!$E$7:$E$1006,"",0,-1),""))</f>
        <v/>
      </c>
      <c r="K422" s="24" t="str">
        <f t="array" ref="K422">IF($A422="","",IFERROR(_xlfn.XLOOKUP($A422,'Movimentação'!$B$7:$B$1006,'Movimentação'!$G$7:$G$1006,"",0,-1),""))</f>
        <v/>
      </c>
      <c r="L422" s="24" t="str">
        <f t="shared" si="3"/>
        <v/>
      </c>
      <c r="M422" s="17"/>
      <c r="N422" s="30" t="str">
        <f t="array" ref="N422">IF($A422="","",IFERROR(IF(OR($L422="BAIXADO",$L422="FURTADO"),0,INDEX(Listas!$J$2:$J$40,MATCH($B422,Listas!$I$2:$I$40,0))),""))</f>
        <v/>
      </c>
      <c r="P422" s="31" t="str">
        <f t="array" ref="P422">IF($A422="","",IFERROR(_xlfn.XLOOKUP($A422,'Movimentação'!$B$7:$B$1006,'Movimentação'!$F$7:$F$1006,"",0,-1),""))</f>
        <v/>
      </c>
      <c r="Q422" s="31">
        <f>IF(COUNTIFS('Manutenção'!$B$7:$B$1006,$A422,'Manutenção'!$H$7:$H$1006,"EM CONSERTO")&gt;0,1,0)</f>
        <v>0</v>
      </c>
    </row>
    <row r="423" ht="15.0" hidden="1" customHeight="1">
      <c r="A423" s="15"/>
      <c r="B423" s="17"/>
      <c r="C423" s="17"/>
      <c r="D423" s="17"/>
      <c r="E423" s="17"/>
      <c r="F423" s="17"/>
      <c r="G423" s="18"/>
      <c r="H423" s="15"/>
      <c r="I423" s="15"/>
      <c r="J423" s="24" t="str">
        <f t="array" ref="J423">IF($A423="","",IFERROR(_xlfn.XLOOKUP($A423,'Movimentação'!$B$7:$B$1006,'Movimentação'!$E$7:$E$1006,"",0,-1),""))</f>
        <v/>
      </c>
      <c r="K423" s="24" t="str">
        <f t="array" ref="K423">IF($A423="","",IFERROR(_xlfn.XLOOKUP($A423,'Movimentação'!$B$7:$B$1006,'Movimentação'!$G$7:$G$1006,"",0,-1),""))</f>
        <v/>
      </c>
      <c r="L423" s="24" t="str">
        <f t="shared" si="3"/>
        <v/>
      </c>
      <c r="M423" s="17"/>
      <c r="N423" s="30" t="str">
        <f t="array" ref="N423">IF($A423="","",IFERROR(IF(OR($L423="BAIXADO",$L423="FURTADO"),0,INDEX(Listas!$J$2:$J$40,MATCH($B423,Listas!$I$2:$I$40,0))),""))</f>
        <v/>
      </c>
      <c r="P423" s="31" t="str">
        <f t="array" ref="P423">IF($A423="","",IFERROR(_xlfn.XLOOKUP($A423,'Movimentação'!$B$7:$B$1006,'Movimentação'!$F$7:$F$1006,"",0,-1),""))</f>
        <v/>
      </c>
      <c r="Q423" s="31">
        <f>IF(COUNTIFS('Manutenção'!$B$7:$B$1006,$A423,'Manutenção'!$H$7:$H$1006,"EM CONSERTO")&gt;0,1,0)</f>
        <v>0</v>
      </c>
    </row>
    <row r="424" ht="15.0" hidden="1" customHeight="1">
      <c r="A424" s="15"/>
      <c r="B424" s="17"/>
      <c r="C424" s="17"/>
      <c r="D424" s="17"/>
      <c r="E424" s="17"/>
      <c r="F424" s="17"/>
      <c r="G424" s="18"/>
      <c r="H424" s="15"/>
      <c r="I424" s="15"/>
      <c r="J424" s="24" t="str">
        <f t="array" ref="J424">IF($A424="","",IFERROR(_xlfn.XLOOKUP($A424,'Movimentação'!$B$7:$B$1006,'Movimentação'!$E$7:$E$1006,"",0,-1),""))</f>
        <v/>
      </c>
      <c r="K424" s="24" t="str">
        <f t="array" ref="K424">IF($A424="","",IFERROR(_xlfn.XLOOKUP($A424,'Movimentação'!$B$7:$B$1006,'Movimentação'!$G$7:$G$1006,"",0,-1),""))</f>
        <v/>
      </c>
      <c r="L424" s="24" t="str">
        <f t="shared" si="3"/>
        <v/>
      </c>
      <c r="M424" s="17"/>
      <c r="N424" s="30" t="str">
        <f t="array" ref="N424">IF($A424="","",IFERROR(IF(OR($L424="BAIXADO",$L424="FURTADO"),0,INDEX(Listas!$J$2:$J$40,MATCH($B424,Listas!$I$2:$I$40,0))),""))</f>
        <v/>
      </c>
      <c r="P424" s="31" t="str">
        <f t="array" ref="P424">IF($A424="","",IFERROR(_xlfn.XLOOKUP($A424,'Movimentação'!$B$7:$B$1006,'Movimentação'!$F$7:$F$1006,"",0,-1),""))</f>
        <v/>
      </c>
      <c r="Q424" s="31">
        <f>IF(COUNTIFS('Manutenção'!$B$7:$B$1006,$A424,'Manutenção'!$H$7:$H$1006,"EM CONSERTO")&gt;0,1,0)</f>
        <v>0</v>
      </c>
    </row>
    <row r="425" ht="15.0" hidden="1" customHeight="1">
      <c r="A425" s="15"/>
      <c r="B425" s="17"/>
      <c r="C425" s="17"/>
      <c r="D425" s="17"/>
      <c r="E425" s="17"/>
      <c r="F425" s="17"/>
      <c r="G425" s="18"/>
      <c r="H425" s="15"/>
      <c r="I425" s="15"/>
      <c r="J425" s="24" t="str">
        <f t="array" ref="J425">IF($A425="","",IFERROR(_xlfn.XLOOKUP($A425,'Movimentação'!$B$7:$B$1006,'Movimentação'!$E$7:$E$1006,"",0,-1),""))</f>
        <v/>
      </c>
      <c r="K425" s="24" t="str">
        <f t="array" ref="K425">IF($A425="","",IFERROR(_xlfn.XLOOKUP($A425,'Movimentação'!$B$7:$B$1006,'Movimentação'!$G$7:$G$1006,"",0,-1),""))</f>
        <v/>
      </c>
      <c r="L425" s="24" t="str">
        <f t="shared" si="3"/>
        <v/>
      </c>
      <c r="M425" s="17"/>
      <c r="N425" s="30" t="str">
        <f t="array" ref="N425">IF($A425="","",IFERROR(IF(OR($L425="BAIXADO",$L425="FURTADO"),0,INDEX(Listas!$J$2:$J$40,MATCH($B425,Listas!$I$2:$I$40,0))),""))</f>
        <v/>
      </c>
      <c r="P425" s="31" t="str">
        <f t="array" ref="P425">IF($A425="","",IFERROR(_xlfn.XLOOKUP($A425,'Movimentação'!$B$7:$B$1006,'Movimentação'!$F$7:$F$1006,"",0,-1),""))</f>
        <v/>
      </c>
      <c r="Q425" s="31">
        <f>IF(COUNTIFS('Manutenção'!$B$7:$B$1006,$A425,'Manutenção'!$H$7:$H$1006,"EM CONSERTO")&gt;0,1,0)</f>
        <v>0</v>
      </c>
    </row>
    <row r="426" ht="15.0" hidden="1" customHeight="1">
      <c r="A426" s="15"/>
      <c r="B426" s="17"/>
      <c r="C426" s="17"/>
      <c r="D426" s="17"/>
      <c r="E426" s="17"/>
      <c r="F426" s="17"/>
      <c r="G426" s="18"/>
      <c r="H426" s="15"/>
      <c r="I426" s="15"/>
      <c r="J426" s="24" t="str">
        <f t="array" ref="J426">IF($A426="","",IFERROR(_xlfn.XLOOKUP($A426,'Movimentação'!$B$7:$B$1006,'Movimentação'!$E$7:$E$1006,"",0,-1),""))</f>
        <v/>
      </c>
      <c r="K426" s="24" t="str">
        <f t="array" ref="K426">IF($A426="","",IFERROR(_xlfn.XLOOKUP($A426,'Movimentação'!$B$7:$B$1006,'Movimentação'!$G$7:$G$1006,"",0,-1),""))</f>
        <v/>
      </c>
      <c r="L426" s="24" t="str">
        <f t="shared" si="3"/>
        <v/>
      </c>
      <c r="M426" s="17"/>
      <c r="N426" s="30" t="str">
        <f t="array" ref="N426">IF($A426="","",IFERROR(IF(OR($L426="BAIXADO",$L426="FURTADO"),0,INDEX(Listas!$J$2:$J$40,MATCH($B426,Listas!$I$2:$I$40,0))),""))</f>
        <v/>
      </c>
      <c r="P426" s="31" t="str">
        <f t="array" ref="P426">IF($A426="","",IFERROR(_xlfn.XLOOKUP($A426,'Movimentação'!$B$7:$B$1006,'Movimentação'!$F$7:$F$1006,"",0,-1),""))</f>
        <v/>
      </c>
      <c r="Q426" s="31">
        <f>IF(COUNTIFS('Manutenção'!$B$7:$B$1006,$A426,'Manutenção'!$H$7:$H$1006,"EM CONSERTO")&gt;0,1,0)</f>
        <v>0</v>
      </c>
    </row>
    <row r="427" ht="15.0" hidden="1" customHeight="1">
      <c r="A427" s="15"/>
      <c r="B427" s="17"/>
      <c r="C427" s="17"/>
      <c r="D427" s="17"/>
      <c r="E427" s="17"/>
      <c r="F427" s="17"/>
      <c r="G427" s="18"/>
      <c r="H427" s="15"/>
      <c r="I427" s="15"/>
      <c r="J427" s="24" t="str">
        <f t="array" ref="J427">IF($A427="","",IFERROR(_xlfn.XLOOKUP($A427,'Movimentação'!$B$7:$B$1006,'Movimentação'!$E$7:$E$1006,"",0,-1),""))</f>
        <v/>
      </c>
      <c r="K427" s="24" t="str">
        <f t="array" ref="K427">IF($A427="","",IFERROR(_xlfn.XLOOKUP($A427,'Movimentação'!$B$7:$B$1006,'Movimentação'!$G$7:$G$1006,"",0,-1),""))</f>
        <v/>
      </c>
      <c r="L427" s="24" t="str">
        <f t="shared" si="3"/>
        <v/>
      </c>
      <c r="M427" s="17"/>
      <c r="N427" s="30" t="str">
        <f t="array" ref="N427">IF($A427="","",IFERROR(IF(OR($L427="BAIXADO",$L427="FURTADO"),0,INDEX(Listas!$J$2:$J$40,MATCH($B427,Listas!$I$2:$I$40,0))),""))</f>
        <v/>
      </c>
      <c r="P427" s="31" t="str">
        <f t="array" ref="P427">IF($A427="","",IFERROR(_xlfn.XLOOKUP($A427,'Movimentação'!$B$7:$B$1006,'Movimentação'!$F$7:$F$1006,"",0,-1),""))</f>
        <v/>
      </c>
      <c r="Q427" s="31">
        <f>IF(COUNTIFS('Manutenção'!$B$7:$B$1006,$A427,'Manutenção'!$H$7:$H$1006,"EM CONSERTO")&gt;0,1,0)</f>
        <v>0</v>
      </c>
    </row>
    <row r="428" ht="15.0" hidden="1" customHeight="1">
      <c r="A428" s="15"/>
      <c r="B428" s="17"/>
      <c r="C428" s="17"/>
      <c r="D428" s="17"/>
      <c r="E428" s="17"/>
      <c r="F428" s="17"/>
      <c r="G428" s="18"/>
      <c r="H428" s="15"/>
      <c r="I428" s="15"/>
      <c r="J428" s="24" t="str">
        <f t="array" ref="J428">IF($A428="","",IFERROR(_xlfn.XLOOKUP($A428,'Movimentação'!$B$7:$B$1006,'Movimentação'!$E$7:$E$1006,"",0,-1),""))</f>
        <v/>
      </c>
      <c r="K428" s="24" t="str">
        <f t="array" ref="K428">IF($A428="","",IFERROR(_xlfn.XLOOKUP($A428,'Movimentação'!$B$7:$B$1006,'Movimentação'!$G$7:$G$1006,"",0,-1),""))</f>
        <v/>
      </c>
      <c r="L428" s="24" t="str">
        <f t="shared" si="3"/>
        <v/>
      </c>
      <c r="M428" s="17"/>
      <c r="N428" s="30" t="str">
        <f t="array" ref="N428">IF($A428="","",IFERROR(IF(OR($L428="BAIXADO",$L428="FURTADO"),0,INDEX(Listas!$J$2:$J$40,MATCH($B428,Listas!$I$2:$I$40,0))),""))</f>
        <v/>
      </c>
      <c r="P428" s="31" t="str">
        <f t="array" ref="P428">IF($A428="","",IFERROR(_xlfn.XLOOKUP($A428,'Movimentação'!$B$7:$B$1006,'Movimentação'!$F$7:$F$1006,"",0,-1),""))</f>
        <v/>
      </c>
      <c r="Q428" s="31">
        <f>IF(COUNTIFS('Manutenção'!$B$7:$B$1006,$A428,'Manutenção'!$H$7:$H$1006,"EM CONSERTO")&gt;0,1,0)</f>
        <v>0</v>
      </c>
    </row>
    <row r="429" ht="15.0" hidden="1" customHeight="1">
      <c r="A429" s="15"/>
      <c r="B429" s="17"/>
      <c r="C429" s="17"/>
      <c r="D429" s="17"/>
      <c r="E429" s="17"/>
      <c r="F429" s="17"/>
      <c r="G429" s="18"/>
      <c r="H429" s="15"/>
      <c r="I429" s="15"/>
      <c r="J429" s="24" t="str">
        <f t="array" ref="J429">IF($A429="","",IFERROR(_xlfn.XLOOKUP($A429,'Movimentação'!$B$7:$B$1006,'Movimentação'!$E$7:$E$1006,"",0,-1),""))</f>
        <v/>
      </c>
      <c r="K429" s="24" t="str">
        <f t="array" ref="K429">IF($A429="","",IFERROR(_xlfn.XLOOKUP($A429,'Movimentação'!$B$7:$B$1006,'Movimentação'!$G$7:$G$1006,"",0,-1),""))</f>
        <v/>
      </c>
      <c r="L429" s="24" t="str">
        <f t="shared" si="3"/>
        <v/>
      </c>
      <c r="M429" s="17"/>
      <c r="N429" s="30" t="str">
        <f t="array" ref="N429">IF($A429="","",IFERROR(IF(OR($L429="BAIXADO",$L429="FURTADO"),0,INDEX(Listas!$J$2:$J$40,MATCH($B429,Listas!$I$2:$I$40,0))),""))</f>
        <v/>
      </c>
      <c r="P429" s="31" t="str">
        <f t="array" ref="P429">IF($A429="","",IFERROR(_xlfn.XLOOKUP($A429,'Movimentação'!$B$7:$B$1006,'Movimentação'!$F$7:$F$1006,"",0,-1),""))</f>
        <v/>
      </c>
      <c r="Q429" s="31">
        <f>IF(COUNTIFS('Manutenção'!$B$7:$B$1006,$A429,'Manutenção'!$H$7:$H$1006,"EM CONSERTO")&gt;0,1,0)</f>
        <v>0</v>
      </c>
    </row>
    <row r="430" ht="15.0" hidden="1" customHeight="1">
      <c r="A430" s="15"/>
      <c r="B430" s="17"/>
      <c r="C430" s="17"/>
      <c r="D430" s="17"/>
      <c r="E430" s="17"/>
      <c r="F430" s="17"/>
      <c r="G430" s="18"/>
      <c r="H430" s="15"/>
      <c r="I430" s="15"/>
      <c r="J430" s="24" t="str">
        <f t="array" ref="J430">IF($A430="","",IFERROR(_xlfn.XLOOKUP($A430,'Movimentação'!$B$7:$B$1006,'Movimentação'!$E$7:$E$1006,"",0,-1),""))</f>
        <v/>
      </c>
      <c r="K430" s="24" t="str">
        <f t="array" ref="K430">IF($A430="","",IFERROR(_xlfn.XLOOKUP($A430,'Movimentação'!$B$7:$B$1006,'Movimentação'!$G$7:$G$1006,"",0,-1),""))</f>
        <v/>
      </c>
      <c r="L430" s="24" t="str">
        <f t="shared" si="3"/>
        <v/>
      </c>
      <c r="M430" s="17"/>
      <c r="N430" s="30" t="str">
        <f t="array" ref="N430">IF($A430="","",IFERROR(IF(OR($L430="BAIXADO",$L430="FURTADO"),0,INDEX(Listas!$J$2:$J$40,MATCH($B430,Listas!$I$2:$I$40,0))),""))</f>
        <v/>
      </c>
      <c r="P430" s="31" t="str">
        <f t="array" ref="P430">IF($A430="","",IFERROR(_xlfn.XLOOKUP($A430,'Movimentação'!$B$7:$B$1006,'Movimentação'!$F$7:$F$1006,"",0,-1),""))</f>
        <v/>
      </c>
      <c r="Q430" s="31">
        <f>IF(COUNTIFS('Manutenção'!$B$7:$B$1006,$A430,'Manutenção'!$H$7:$H$1006,"EM CONSERTO")&gt;0,1,0)</f>
        <v>0</v>
      </c>
    </row>
    <row r="431" ht="15.0" hidden="1" customHeight="1">
      <c r="A431" s="15"/>
      <c r="B431" s="17"/>
      <c r="C431" s="17"/>
      <c r="D431" s="17"/>
      <c r="E431" s="17"/>
      <c r="F431" s="17"/>
      <c r="G431" s="18"/>
      <c r="H431" s="15"/>
      <c r="I431" s="15"/>
      <c r="J431" s="24" t="str">
        <f t="array" ref="J431">IF($A431="","",IFERROR(_xlfn.XLOOKUP($A431,'Movimentação'!$B$7:$B$1006,'Movimentação'!$E$7:$E$1006,"",0,-1),""))</f>
        <v/>
      </c>
      <c r="K431" s="24" t="str">
        <f t="array" ref="K431">IF($A431="","",IFERROR(_xlfn.XLOOKUP($A431,'Movimentação'!$B$7:$B$1006,'Movimentação'!$G$7:$G$1006,"",0,-1),""))</f>
        <v/>
      </c>
      <c r="L431" s="24" t="str">
        <f t="shared" si="3"/>
        <v/>
      </c>
      <c r="M431" s="17"/>
      <c r="N431" s="30" t="str">
        <f t="array" ref="N431">IF($A431="","",IFERROR(IF(OR($L431="BAIXADO",$L431="FURTADO"),0,INDEX(Listas!$J$2:$J$40,MATCH($B431,Listas!$I$2:$I$40,0))),""))</f>
        <v/>
      </c>
      <c r="P431" s="31" t="str">
        <f t="array" ref="P431">IF($A431="","",IFERROR(_xlfn.XLOOKUP($A431,'Movimentação'!$B$7:$B$1006,'Movimentação'!$F$7:$F$1006,"",0,-1),""))</f>
        <v/>
      </c>
      <c r="Q431" s="31">
        <f>IF(COUNTIFS('Manutenção'!$B$7:$B$1006,$A431,'Manutenção'!$H$7:$H$1006,"EM CONSERTO")&gt;0,1,0)</f>
        <v>0</v>
      </c>
    </row>
    <row r="432" ht="15.0" hidden="1" customHeight="1">
      <c r="A432" s="15"/>
      <c r="B432" s="17"/>
      <c r="C432" s="17"/>
      <c r="D432" s="17"/>
      <c r="E432" s="17"/>
      <c r="F432" s="17"/>
      <c r="G432" s="18"/>
      <c r="H432" s="15"/>
      <c r="I432" s="15"/>
      <c r="J432" s="24" t="str">
        <f t="array" ref="J432">IF($A432="","",IFERROR(_xlfn.XLOOKUP($A432,'Movimentação'!$B$7:$B$1006,'Movimentação'!$E$7:$E$1006,"",0,-1),""))</f>
        <v/>
      </c>
      <c r="K432" s="24" t="str">
        <f t="array" ref="K432">IF($A432="","",IFERROR(_xlfn.XLOOKUP($A432,'Movimentação'!$B$7:$B$1006,'Movimentação'!$G$7:$G$1006,"",0,-1),""))</f>
        <v/>
      </c>
      <c r="L432" s="24" t="str">
        <f t="shared" si="3"/>
        <v/>
      </c>
      <c r="M432" s="17"/>
      <c r="N432" s="30" t="str">
        <f t="array" ref="N432">IF($A432="","",IFERROR(IF(OR($L432="BAIXADO",$L432="FURTADO"),0,INDEX(Listas!$J$2:$J$40,MATCH($B432,Listas!$I$2:$I$40,0))),""))</f>
        <v/>
      </c>
      <c r="P432" s="31" t="str">
        <f t="array" ref="P432">IF($A432="","",IFERROR(_xlfn.XLOOKUP($A432,'Movimentação'!$B$7:$B$1006,'Movimentação'!$F$7:$F$1006,"",0,-1),""))</f>
        <v/>
      </c>
      <c r="Q432" s="31">
        <f>IF(COUNTIFS('Manutenção'!$B$7:$B$1006,$A432,'Manutenção'!$H$7:$H$1006,"EM CONSERTO")&gt;0,1,0)</f>
        <v>0</v>
      </c>
    </row>
    <row r="433" ht="15.0" hidden="1" customHeight="1">
      <c r="A433" s="15"/>
      <c r="B433" s="17"/>
      <c r="C433" s="17"/>
      <c r="D433" s="17"/>
      <c r="E433" s="17"/>
      <c r="F433" s="17"/>
      <c r="G433" s="18"/>
      <c r="H433" s="15"/>
      <c r="I433" s="15"/>
      <c r="J433" s="24" t="str">
        <f t="array" ref="J433">IF($A433="","",IFERROR(_xlfn.XLOOKUP($A433,'Movimentação'!$B$7:$B$1006,'Movimentação'!$E$7:$E$1006,"",0,-1),""))</f>
        <v/>
      </c>
      <c r="K433" s="24" t="str">
        <f t="array" ref="K433">IF($A433="","",IFERROR(_xlfn.XLOOKUP($A433,'Movimentação'!$B$7:$B$1006,'Movimentação'!$G$7:$G$1006,"",0,-1),""))</f>
        <v/>
      </c>
      <c r="L433" s="24" t="str">
        <f t="shared" si="3"/>
        <v/>
      </c>
      <c r="M433" s="17"/>
      <c r="N433" s="30" t="str">
        <f t="array" ref="N433">IF($A433="","",IFERROR(IF(OR($L433="BAIXADO",$L433="FURTADO"),0,INDEX(Listas!$J$2:$J$40,MATCH($B433,Listas!$I$2:$I$40,0))),""))</f>
        <v/>
      </c>
      <c r="P433" s="31" t="str">
        <f t="array" ref="P433">IF($A433="","",IFERROR(_xlfn.XLOOKUP($A433,'Movimentação'!$B$7:$B$1006,'Movimentação'!$F$7:$F$1006,"",0,-1),""))</f>
        <v/>
      </c>
      <c r="Q433" s="31">
        <f>IF(COUNTIFS('Manutenção'!$B$7:$B$1006,$A433,'Manutenção'!$H$7:$H$1006,"EM CONSERTO")&gt;0,1,0)</f>
        <v>0</v>
      </c>
    </row>
    <row r="434" ht="15.0" hidden="1" customHeight="1">
      <c r="A434" s="15"/>
      <c r="B434" s="17"/>
      <c r="C434" s="17"/>
      <c r="D434" s="17"/>
      <c r="E434" s="17"/>
      <c r="F434" s="17"/>
      <c r="G434" s="18"/>
      <c r="H434" s="15"/>
      <c r="I434" s="15"/>
      <c r="J434" s="24" t="str">
        <f t="array" ref="J434">IF($A434="","",IFERROR(_xlfn.XLOOKUP($A434,'Movimentação'!$B$7:$B$1006,'Movimentação'!$E$7:$E$1006,"",0,-1),""))</f>
        <v/>
      </c>
      <c r="K434" s="24" t="str">
        <f t="array" ref="K434">IF($A434="","",IFERROR(_xlfn.XLOOKUP($A434,'Movimentação'!$B$7:$B$1006,'Movimentação'!$G$7:$G$1006,"",0,-1),""))</f>
        <v/>
      </c>
      <c r="L434" s="24" t="str">
        <f t="shared" si="3"/>
        <v/>
      </c>
      <c r="M434" s="17"/>
      <c r="N434" s="30" t="str">
        <f t="array" ref="N434">IF($A434="","",IFERROR(IF(OR($L434="BAIXADO",$L434="FURTADO"),0,INDEX(Listas!$J$2:$J$40,MATCH($B434,Listas!$I$2:$I$40,0))),""))</f>
        <v/>
      </c>
      <c r="P434" s="31" t="str">
        <f t="array" ref="P434">IF($A434="","",IFERROR(_xlfn.XLOOKUP($A434,'Movimentação'!$B$7:$B$1006,'Movimentação'!$F$7:$F$1006,"",0,-1),""))</f>
        <v/>
      </c>
      <c r="Q434" s="31">
        <f>IF(COUNTIFS('Manutenção'!$B$7:$B$1006,$A434,'Manutenção'!$H$7:$H$1006,"EM CONSERTO")&gt;0,1,0)</f>
        <v>0</v>
      </c>
    </row>
    <row r="435" ht="15.0" hidden="1" customHeight="1">
      <c r="A435" s="15"/>
      <c r="B435" s="17"/>
      <c r="C435" s="17"/>
      <c r="D435" s="17"/>
      <c r="E435" s="17"/>
      <c r="F435" s="17"/>
      <c r="G435" s="18"/>
      <c r="H435" s="15"/>
      <c r="I435" s="15"/>
      <c r="J435" s="24" t="str">
        <f t="array" ref="J435">IF($A435="","",IFERROR(_xlfn.XLOOKUP($A435,'Movimentação'!$B$7:$B$1006,'Movimentação'!$E$7:$E$1006,"",0,-1),""))</f>
        <v/>
      </c>
      <c r="K435" s="24" t="str">
        <f t="array" ref="K435">IF($A435="","",IFERROR(_xlfn.XLOOKUP($A435,'Movimentação'!$B$7:$B$1006,'Movimentação'!$G$7:$G$1006,"",0,-1),""))</f>
        <v/>
      </c>
      <c r="L435" s="24" t="str">
        <f t="shared" si="3"/>
        <v/>
      </c>
      <c r="M435" s="17"/>
      <c r="N435" s="30" t="str">
        <f t="array" ref="N435">IF($A435="","",IFERROR(IF(OR($L435="BAIXADO",$L435="FURTADO"),0,INDEX(Listas!$J$2:$J$40,MATCH($B435,Listas!$I$2:$I$40,0))),""))</f>
        <v/>
      </c>
      <c r="P435" s="31" t="str">
        <f t="array" ref="P435">IF($A435="","",IFERROR(_xlfn.XLOOKUP($A435,'Movimentação'!$B$7:$B$1006,'Movimentação'!$F$7:$F$1006,"",0,-1),""))</f>
        <v/>
      </c>
      <c r="Q435" s="31">
        <f>IF(COUNTIFS('Manutenção'!$B$7:$B$1006,$A435,'Manutenção'!$H$7:$H$1006,"EM CONSERTO")&gt;0,1,0)</f>
        <v>0</v>
      </c>
    </row>
    <row r="436" ht="15.0" hidden="1" customHeight="1">
      <c r="A436" s="15"/>
      <c r="B436" s="17"/>
      <c r="C436" s="17"/>
      <c r="D436" s="17"/>
      <c r="E436" s="17"/>
      <c r="F436" s="17"/>
      <c r="G436" s="18"/>
      <c r="H436" s="15"/>
      <c r="I436" s="15"/>
      <c r="J436" s="24" t="str">
        <f t="array" ref="J436">IF($A436="","",IFERROR(_xlfn.XLOOKUP($A436,'Movimentação'!$B$7:$B$1006,'Movimentação'!$E$7:$E$1006,"",0,-1),""))</f>
        <v/>
      </c>
      <c r="K436" s="24" t="str">
        <f t="array" ref="K436">IF($A436="","",IFERROR(_xlfn.XLOOKUP($A436,'Movimentação'!$B$7:$B$1006,'Movimentação'!$G$7:$G$1006,"",0,-1),""))</f>
        <v/>
      </c>
      <c r="L436" s="24" t="str">
        <f t="shared" si="3"/>
        <v/>
      </c>
      <c r="M436" s="17"/>
      <c r="N436" s="30" t="str">
        <f t="array" ref="N436">IF($A436="","",IFERROR(IF(OR($L436="BAIXADO",$L436="FURTADO"),0,INDEX(Listas!$J$2:$J$40,MATCH($B436,Listas!$I$2:$I$40,0))),""))</f>
        <v/>
      </c>
      <c r="P436" s="31" t="str">
        <f t="array" ref="P436">IF($A436="","",IFERROR(_xlfn.XLOOKUP($A436,'Movimentação'!$B$7:$B$1006,'Movimentação'!$F$7:$F$1006,"",0,-1),""))</f>
        <v/>
      </c>
      <c r="Q436" s="31">
        <f>IF(COUNTIFS('Manutenção'!$B$7:$B$1006,$A436,'Manutenção'!$H$7:$H$1006,"EM CONSERTO")&gt;0,1,0)</f>
        <v>0</v>
      </c>
    </row>
    <row r="437" ht="15.0" hidden="1" customHeight="1">
      <c r="A437" s="15"/>
      <c r="B437" s="17"/>
      <c r="C437" s="17"/>
      <c r="D437" s="17"/>
      <c r="E437" s="17"/>
      <c r="F437" s="17"/>
      <c r="G437" s="18"/>
      <c r="H437" s="15"/>
      <c r="I437" s="15"/>
      <c r="J437" s="24" t="str">
        <f t="array" ref="J437">IF($A437="","",IFERROR(_xlfn.XLOOKUP($A437,'Movimentação'!$B$7:$B$1006,'Movimentação'!$E$7:$E$1006,"",0,-1),""))</f>
        <v/>
      </c>
      <c r="K437" s="24" t="str">
        <f t="array" ref="K437">IF($A437="","",IFERROR(_xlfn.XLOOKUP($A437,'Movimentação'!$B$7:$B$1006,'Movimentação'!$G$7:$G$1006,"",0,-1),""))</f>
        <v/>
      </c>
      <c r="L437" s="24" t="str">
        <f t="shared" si="3"/>
        <v/>
      </c>
      <c r="M437" s="17"/>
      <c r="N437" s="30" t="str">
        <f t="array" ref="N437">IF($A437="","",IFERROR(IF(OR($L437="BAIXADO",$L437="FURTADO"),0,INDEX(Listas!$J$2:$J$40,MATCH($B437,Listas!$I$2:$I$40,0))),""))</f>
        <v/>
      </c>
      <c r="P437" s="31" t="str">
        <f t="array" ref="P437">IF($A437="","",IFERROR(_xlfn.XLOOKUP($A437,'Movimentação'!$B$7:$B$1006,'Movimentação'!$F$7:$F$1006,"",0,-1),""))</f>
        <v/>
      </c>
      <c r="Q437" s="31">
        <f>IF(COUNTIFS('Manutenção'!$B$7:$B$1006,$A437,'Manutenção'!$H$7:$H$1006,"EM CONSERTO")&gt;0,1,0)</f>
        <v>0</v>
      </c>
    </row>
    <row r="438" ht="15.0" hidden="1" customHeight="1">
      <c r="A438" s="15"/>
      <c r="B438" s="17"/>
      <c r="C438" s="17"/>
      <c r="D438" s="17"/>
      <c r="E438" s="17"/>
      <c r="F438" s="17"/>
      <c r="G438" s="18"/>
      <c r="H438" s="15"/>
      <c r="I438" s="15"/>
      <c r="J438" s="24" t="str">
        <f t="array" ref="J438">IF($A438="","",IFERROR(_xlfn.XLOOKUP($A438,'Movimentação'!$B$7:$B$1006,'Movimentação'!$E$7:$E$1006,"",0,-1),""))</f>
        <v/>
      </c>
      <c r="K438" s="24" t="str">
        <f t="array" ref="K438">IF($A438="","",IFERROR(_xlfn.XLOOKUP($A438,'Movimentação'!$B$7:$B$1006,'Movimentação'!$G$7:$G$1006,"",0,-1),""))</f>
        <v/>
      </c>
      <c r="L438" s="24" t="str">
        <f t="shared" si="3"/>
        <v/>
      </c>
      <c r="M438" s="17"/>
      <c r="N438" s="30" t="str">
        <f t="array" ref="N438">IF($A438="","",IFERROR(IF(OR($L438="BAIXADO",$L438="FURTADO"),0,INDEX(Listas!$J$2:$J$40,MATCH($B438,Listas!$I$2:$I$40,0))),""))</f>
        <v/>
      </c>
      <c r="P438" s="31" t="str">
        <f t="array" ref="P438">IF($A438="","",IFERROR(_xlfn.XLOOKUP($A438,'Movimentação'!$B$7:$B$1006,'Movimentação'!$F$7:$F$1006,"",0,-1),""))</f>
        <v/>
      </c>
      <c r="Q438" s="31">
        <f>IF(COUNTIFS('Manutenção'!$B$7:$B$1006,$A438,'Manutenção'!$H$7:$H$1006,"EM CONSERTO")&gt;0,1,0)</f>
        <v>0</v>
      </c>
    </row>
    <row r="439" ht="15.0" hidden="1" customHeight="1">
      <c r="A439" s="15"/>
      <c r="B439" s="17"/>
      <c r="C439" s="17"/>
      <c r="D439" s="17"/>
      <c r="E439" s="17"/>
      <c r="F439" s="17"/>
      <c r="G439" s="18"/>
      <c r="H439" s="15"/>
      <c r="I439" s="15"/>
      <c r="J439" s="24" t="str">
        <f t="array" ref="J439">IF($A439="","",IFERROR(_xlfn.XLOOKUP($A439,'Movimentação'!$B$7:$B$1006,'Movimentação'!$E$7:$E$1006,"",0,-1),""))</f>
        <v/>
      </c>
      <c r="K439" s="24" t="str">
        <f t="array" ref="K439">IF($A439="","",IFERROR(_xlfn.XLOOKUP($A439,'Movimentação'!$B$7:$B$1006,'Movimentação'!$G$7:$G$1006,"",0,-1),""))</f>
        <v/>
      </c>
      <c r="L439" s="24" t="str">
        <f t="shared" si="3"/>
        <v/>
      </c>
      <c r="M439" s="17"/>
      <c r="N439" s="30" t="str">
        <f t="array" ref="N439">IF($A439="","",IFERROR(IF(OR($L439="BAIXADO",$L439="FURTADO"),0,INDEX(Listas!$J$2:$J$40,MATCH($B439,Listas!$I$2:$I$40,0))),""))</f>
        <v/>
      </c>
      <c r="P439" s="31" t="str">
        <f t="array" ref="P439">IF($A439="","",IFERROR(_xlfn.XLOOKUP($A439,'Movimentação'!$B$7:$B$1006,'Movimentação'!$F$7:$F$1006,"",0,-1),""))</f>
        <v/>
      </c>
      <c r="Q439" s="31">
        <f>IF(COUNTIFS('Manutenção'!$B$7:$B$1006,$A439,'Manutenção'!$H$7:$H$1006,"EM CONSERTO")&gt;0,1,0)</f>
        <v>0</v>
      </c>
    </row>
    <row r="440" ht="15.0" hidden="1" customHeight="1">
      <c r="A440" s="15"/>
      <c r="B440" s="17"/>
      <c r="C440" s="17"/>
      <c r="D440" s="17"/>
      <c r="E440" s="17"/>
      <c r="F440" s="17"/>
      <c r="G440" s="18"/>
      <c r="H440" s="15"/>
      <c r="I440" s="15"/>
      <c r="J440" s="24" t="str">
        <f t="array" ref="J440">IF($A440="","",IFERROR(_xlfn.XLOOKUP($A440,'Movimentação'!$B$7:$B$1006,'Movimentação'!$E$7:$E$1006,"",0,-1),""))</f>
        <v/>
      </c>
      <c r="K440" s="24" t="str">
        <f t="array" ref="K440">IF($A440="","",IFERROR(_xlfn.XLOOKUP($A440,'Movimentação'!$B$7:$B$1006,'Movimentação'!$G$7:$G$1006,"",0,-1),""))</f>
        <v/>
      </c>
      <c r="L440" s="24" t="str">
        <f t="shared" si="3"/>
        <v/>
      </c>
      <c r="M440" s="17"/>
      <c r="N440" s="30" t="str">
        <f t="array" ref="N440">IF($A440="","",IFERROR(IF(OR($L440="BAIXADO",$L440="FURTADO"),0,INDEX(Listas!$J$2:$J$40,MATCH($B440,Listas!$I$2:$I$40,0))),""))</f>
        <v/>
      </c>
      <c r="P440" s="31" t="str">
        <f t="array" ref="P440">IF($A440="","",IFERROR(_xlfn.XLOOKUP($A440,'Movimentação'!$B$7:$B$1006,'Movimentação'!$F$7:$F$1006,"",0,-1),""))</f>
        <v/>
      </c>
      <c r="Q440" s="31">
        <f>IF(COUNTIFS('Manutenção'!$B$7:$B$1006,$A440,'Manutenção'!$H$7:$H$1006,"EM CONSERTO")&gt;0,1,0)</f>
        <v>0</v>
      </c>
    </row>
    <row r="441" ht="15.0" hidden="1" customHeight="1">
      <c r="A441" s="15"/>
      <c r="B441" s="17"/>
      <c r="C441" s="17"/>
      <c r="D441" s="17"/>
      <c r="E441" s="17"/>
      <c r="F441" s="17"/>
      <c r="G441" s="18"/>
      <c r="H441" s="15"/>
      <c r="I441" s="15"/>
      <c r="J441" s="24" t="str">
        <f t="array" ref="J441">IF($A441="","",IFERROR(_xlfn.XLOOKUP($A441,'Movimentação'!$B$7:$B$1006,'Movimentação'!$E$7:$E$1006,"",0,-1),""))</f>
        <v/>
      </c>
      <c r="K441" s="24" t="str">
        <f t="array" ref="K441">IF($A441="","",IFERROR(_xlfn.XLOOKUP($A441,'Movimentação'!$B$7:$B$1006,'Movimentação'!$G$7:$G$1006,"",0,-1),""))</f>
        <v/>
      </c>
      <c r="L441" s="24" t="str">
        <f t="shared" si="3"/>
        <v/>
      </c>
      <c r="M441" s="17"/>
      <c r="N441" s="30" t="str">
        <f t="array" ref="N441">IF($A441="","",IFERROR(IF(OR($L441="BAIXADO",$L441="FURTADO"),0,INDEX(Listas!$J$2:$J$40,MATCH($B441,Listas!$I$2:$I$40,0))),""))</f>
        <v/>
      </c>
      <c r="P441" s="31" t="str">
        <f t="array" ref="P441">IF($A441="","",IFERROR(_xlfn.XLOOKUP($A441,'Movimentação'!$B$7:$B$1006,'Movimentação'!$F$7:$F$1006,"",0,-1),""))</f>
        <v/>
      </c>
      <c r="Q441" s="31">
        <f>IF(COUNTIFS('Manutenção'!$B$7:$B$1006,$A441,'Manutenção'!$H$7:$H$1006,"EM CONSERTO")&gt;0,1,0)</f>
        <v>0</v>
      </c>
    </row>
    <row r="442" ht="15.0" hidden="1" customHeight="1">
      <c r="A442" s="15"/>
      <c r="B442" s="17"/>
      <c r="C442" s="17"/>
      <c r="D442" s="17"/>
      <c r="E442" s="17"/>
      <c r="F442" s="17"/>
      <c r="G442" s="18"/>
      <c r="H442" s="15"/>
      <c r="I442" s="15"/>
      <c r="J442" s="24" t="str">
        <f t="array" ref="J442">IF($A442="","",IFERROR(_xlfn.XLOOKUP($A442,'Movimentação'!$B$7:$B$1006,'Movimentação'!$E$7:$E$1006,"",0,-1),""))</f>
        <v/>
      </c>
      <c r="K442" s="24" t="str">
        <f t="array" ref="K442">IF($A442="","",IFERROR(_xlfn.XLOOKUP($A442,'Movimentação'!$B$7:$B$1006,'Movimentação'!$G$7:$G$1006,"",0,-1),""))</f>
        <v/>
      </c>
      <c r="L442" s="24" t="str">
        <f t="shared" si="3"/>
        <v/>
      </c>
      <c r="M442" s="17"/>
      <c r="N442" s="30" t="str">
        <f t="array" ref="N442">IF($A442="","",IFERROR(IF(OR($L442="BAIXADO",$L442="FURTADO"),0,INDEX(Listas!$J$2:$J$40,MATCH($B442,Listas!$I$2:$I$40,0))),""))</f>
        <v/>
      </c>
      <c r="P442" s="31" t="str">
        <f t="array" ref="P442">IF($A442="","",IFERROR(_xlfn.XLOOKUP($A442,'Movimentação'!$B$7:$B$1006,'Movimentação'!$F$7:$F$1006,"",0,-1),""))</f>
        <v/>
      </c>
      <c r="Q442" s="31">
        <f>IF(COUNTIFS('Manutenção'!$B$7:$B$1006,$A442,'Manutenção'!$H$7:$H$1006,"EM CONSERTO")&gt;0,1,0)</f>
        <v>0</v>
      </c>
    </row>
    <row r="443" ht="15.0" hidden="1" customHeight="1">
      <c r="A443" s="15"/>
      <c r="B443" s="17"/>
      <c r="C443" s="17"/>
      <c r="D443" s="17"/>
      <c r="E443" s="17"/>
      <c r="F443" s="17"/>
      <c r="G443" s="18"/>
      <c r="H443" s="15"/>
      <c r="I443" s="15"/>
      <c r="J443" s="24" t="str">
        <f t="array" ref="J443">IF($A443="","",IFERROR(_xlfn.XLOOKUP($A443,'Movimentação'!$B$7:$B$1006,'Movimentação'!$E$7:$E$1006,"",0,-1),""))</f>
        <v/>
      </c>
      <c r="K443" s="24" t="str">
        <f t="array" ref="K443">IF($A443="","",IFERROR(_xlfn.XLOOKUP($A443,'Movimentação'!$B$7:$B$1006,'Movimentação'!$G$7:$G$1006,"",0,-1),""))</f>
        <v/>
      </c>
      <c r="L443" s="24" t="str">
        <f t="shared" si="3"/>
        <v/>
      </c>
      <c r="M443" s="17"/>
      <c r="N443" s="30" t="str">
        <f t="array" ref="N443">IF($A443="","",IFERROR(IF(OR($L443="BAIXADO",$L443="FURTADO"),0,INDEX(Listas!$J$2:$J$40,MATCH($B443,Listas!$I$2:$I$40,0))),""))</f>
        <v/>
      </c>
      <c r="P443" s="31" t="str">
        <f t="array" ref="P443">IF($A443="","",IFERROR(_xlfn.XLOOKUP($A443,'Movimentação'!$B$7:$B$1006,'Movimentação'!$F$7:$F$1006,"",0,-1),""))</f>
        <v/>
      </c>
      <c r="Q443" s="31">
        <f>IF(COUNTIFS('Manutenção'!$B$7:$B$1006,$A443,'Manutenção'!$H$7:$H$1006,"EM CONSERTO")&gt;0,1,0)</f>
        <v>0</v>
      </c>
    </row>
    <row r="444" ht="15.0" hidden="1" customHeight="1">
      <c r="A444" s="15"/>
      <c r="B444" s="17"/>
      <c r="C444" s="17"/>
      <c r="D444" s="17"/>
      <c r="E444" s="17"/>
      <c r="F444" s="17"/>
      <c r="G444" s="18"/>
      <c r="H444" s="15"/>
      <c r="I444" s="15"/>
      <c r="J444" s="24" t="str">
        <f t="array" ref="J444">IF($A444="","",IFERROR(_xlfn.XLOOKUP($A444,'Movimentação'!$B$7:$B$1006,'Movimentação'!$E$7:$E$1006,"",0,-1),""))</f>
        <v/>
      </c>
      <c r="K444" s="24" t="str">
        <f t="array" ref="K444">IF($A444="","",IFERROR(_xlfn.XLOOKUP($A444,'Movimentação'!$B$7:$B$1006,'Movimentação'!$G$7:$G$1006,"",0,-1),""))</f>
        <v/>
      </c>
      <c r="L444" s="24" t="str">
        <f t="shared" si="3"/>
        <v/>
      </c>
      <c r="M444" s="17"/>
      <c r="N444" s="30" t="str">
        <f t="array" ref="N444">IF($A444="","",IFERROR(IF(OR($L444="BAIXADO",$L444="FURTADO"),0,INDEX(Listas!$J$2:$J$40,MATCH($B444,Listas!$I$2:$I$40,0))),""))</f>
        <v/>
      </c>
      <c r="P444" s="31" t="str">
        <f t="array" ref="P444">IF($A444="","",IFERROR(_xlfn.XLOOKUP($A444,'Movimentação'!$B$7:$B$1006,'Movimentação'!$F$7:$F$1006,"",0,-1),""))</f>
        <v/>
      </c>
      <c r="Q444" s="31">
        <f>IF(COUNTIFS('Manutenção'!$B$7:$B$1006,$A444,'Manutenção'!$H$7:$H$1006,"EM CONSERTO")&gt;0,1,0)</f>
        <v>0</v>
      </c>
    </row>
    <row r="445" ht="15.0" hidden="1" customHeight="1">
      <c r="A445" s="15"/>
      <c r="B445" s="17"/>
      <c r="C445" s="17"/>
      <c r="D445" s="17"/>
      <c r="E445" s="17"/>
      <c r="F445" s="17"/>
      <c r="G445" s="18"/>
      <c r="H445" s="15"/>
      <c r="I445" s="15"/>
      <c r="J445" s="24" t="str">
        <f t="array" ref="J445">IF($A445="","",IFERROR(_xlfn.XLOOKUP($A445,'Movimentação'!$B$7:$B$1006,'Movimentação'!$E$7:$E$1006,"",0,-1),""))</f>
        <v/>
      </c>
      <c r="K445" s="24" t="str">
        <f t="array" ref="K445">IF($A445="","",IFERROR(_xlfn.XLOOKUP($A445,'Movimentação'!$B$7:$B$1006,'Movimentação'!$G$7:$G$1006,"",0,-1),""))</f>
        <v/>
      </c>
      <c r="L445" s="24" t="str">
        <f t="shared" si="3"/>
        <v/>
      </c>
      <c r="M445" s="17"/>
      <c r="N445" s="30" t="str">
        <f t="array" ref="N445">IF($A445="","",IFERROR(IF(OR($L445="BAIXADO",$L445="FURTADO"),0,INDEX(Listas!$J$2:$J$40,MATCH($B445,Listas!$I$2:$I$40,0))),""))</f>
        <v/>
      </c>
      <c r="P445" s="31" t="str">
        <f t="array" ref="P445">IF($A445="","",IFERROR(_xlfn.XLOOKUP($A445,'Movimentação'!$B$7:$B$1006,'Movimentação'!$F$7:$F$1006,"",0,-1),""))</f>
        <v/>
      </c>
      <c r="Q445" s="31">
        <f>IF(COUNTIFS('Manutenção'!$B$7:$B$1006,$A445,'Manutenção'!$H$7:$H$1006,"EM CONSERTO")&gt;0,1,0)</f>
        <v>0</v>
      </c>
    </row>
    <row r="446" ht="15.0" hidden="1" customHeight="1">
      <c r="A446" s="15"/>
      <c r="B446" s="17"/>
      <c r="C446" s="17"/>
      <c r="D446" s="17"/>
      <c r="E446" s="17"/>
      <c r="F446" s="17"/>
      <c r="G446" s="18"/>
      <c r="H446" s="15"/>
      <c r="I446" s="15"/>
      <c r="J446" s="24" t="str">
        <f t="array" ref="J446">IF($A446="","",IFERROR(_xlfn.XLOOKUP($A446,'Movimentação'!$B$7:$B$1006,'Movimentação'!$E$7:$E$1006,"",0,-1),""))</f>
        <v/>
      </c>
      <c r="K446" s="24" t="str">
        <f t="array" ref="K446">IF($A446="","",IFERROR(_xlfn.XLOOKUP($A446,'Movimentação'!$B$7:$B$1006,'Movimentação'!$G$7:$G$1006,"",0,-1),""))</f>
        <v/>
      </c>
      <c r="L446" s="24" t="str">
        <f t="shared" si="3"/>
        <v/>
      </c>
      <c r="M446" s="17"/>
      <c r="N446" s="30" t="str">
        <f t="array" ref="N446">IF($A446="","",IFERROR(IF(OR($L446="BAIXADO",$L446="FURTADO"),0,INDEX(Listas!$J$2:$J$40,MATCH($B446,Listas!$I$2:$I$40,0))),""))</f>
        <v/>
      </c>
      <c r="P446" s="31" t="str">
        <f t="array" ref="P446">IF($A446="","",IFERROR(_xlfn.XLOOKUP($A446,'Movimentação'!$B$7:$B$1006,'Movimentação'!$F$7:$F$1006,"",0,-1),""))</f>
        <v/>
      </c>
      <c r="Q446" s="31">
        <f>IF(COUNTIFS('Manutenção'!$B$7:$B$1006,$A446,'Manutenção'!$H$7:$H$1006,"EM CONSERTO")&gt;0,1,0)</f>
        <v>0</v>
      </c>
    </row>
    <row r="447" ht="15.0" hidden="1" customHeight="1">
      <c r="A447" s="15"/>
      <c r="B447" s="17"/>
      <c r="C447" s="17"/>
      <c r="D447" s="17"/>
      <c r="E447" s="17"/>
      <c r="F447" s="17"/>
      <c r="G447" s="18"/>
      <c r="H447" s="15"/>
      <c r="I447" s="15"/>
      <c r="J447" s="24" t="str">
        <f t="array" ref="J447">IF($A447="","",IFERROR(_xlfn.XLOOKUP($A447,'Movimentação'!$B$7:$B$1006,'Movimentação'!$E$7:$E$1006,"",0,-1),""))</f>
        <v/>
      </c>
      <c r="K447" s="24" t="str">
        <f t="array" ref="K447">IF($A447="","",IFERROR(_xlfn.XLOOKUP($A447,'Movimentação'!$B$7:$B$1006,'Movimentação'!$G$7:$G$1006,"",0,-1),""))</f>
        <v/>
      </c>
      <c r="L447" s="24" t="str">
        <f t="shared" si="3"/>
        <v/>
      </c>
      <c r="M447" s="17"/>
      <c r="N447" s="30" t="str">
        <f t="array" ref="N447">IF($A447="","",IFERROR(IF(OR($L447="BAIXADO",$L447="FURTADO"),0,INDEX(Listas!$J$2:$J$40,MATCH($B447,Listas!$I$2:$I$40,0))),""))</f>
        <v/>
      </c>
      <c r="P447" s="31" t="str">
        <f t="array" ref="P447">IF($A447="","",IFERROR(_xlfn.XLOOKUP($A447,'Movimentação'!$B$7:$B$1006,'Movimentação'!$F$7:$F$1006,"",0,-1),""))</f>
        <v/>
      </c>
      <c r="Q447" s="31">
        <f>IF(COUNTIFS('Manutenção'!$B$7:$B$1006,$A447,'Manutenção'!$H$7:$H$1006,"EM CONSERTO")&gt;0,1,0)</f>
        <v>0</v>
      </c>
    </row>
    <row r="448" ht="15.0" hidden="1" customHeight="1">
      <c r="A448" s="15"/>
      <c r="B448" s="17"/>
      <c r="C448" s="17"/>
      <c r="D448" s="17"/>
      <c r="E448" s="17"/>
      <c r="F448" s="17"/>
      <c r="G448" s="18"/>
      <c r="H448" s="15"/>
      <c r="I448" s="15"/>
      <c r="J448" s="24" t="str">
        <f t="array" ref="J448">IF($A448="","",IFERROR(_xlfn.XLOOKUP($A448,'Movimentação'!$B$7:$B$1006,'Movimentação'!$E$7:$E$1006,"",0,-1),""))</f>
        <v/>
      </c>
      <c r="K448" s="24" t="str">
        <f t="array" ref="K448">IF($A448="","",IFERROR(_xlfn.XLOOKUP($A448,'Movimentação'!$B$7:$B$1006,'Movimentação'!$G$7:$G$1006,"",0,-1),""))</f>
        <v/>
      </c>
      <c r="L448" s="24" t="str">
        <f t="shared" si="3"/>
        <v/>
      </c>
      <c r="M448" s="17"/>
      <c r="N448" s="30" t="str">
        <f t="array" ref="N448">IF($A448="","",IFERROR(IF(OR($L448="BAIXADO",$L448="FURTADO"),0,INDEX(Listas!$J$2:$J$40,MATCH($B448,Listas!$I$2:$I$40,0))),""))</f>
        <v/>
      </c>
      <c r="P448" s="31" t="str">
        <f t="array" ref="P448">IF($A448="","",IFERROR(_xlfn.XLOOKUP($A448,'Movimentação'!$B$7:$B$1006,'Movimentação'!$F$7:$F$1006,"",0,-1),""))</f>
        <v/>
      </c>
      <c r="Q448" s="31">
        <f>IF(COUNTIFS('Manutenção'!$B$7:$B$1006,$A448,'Manutenção'!$H$7:$H$1006,"EM CONSERTO")&gt;0,1,0)</f>
        <v>0</v>
      </c>
    </row>
    <row r="449" ht="15.0" hidden="1" customHeight="1">
      <c r="A449" s="15"/>
      <c r="B449" s="17"/>
      <c r="C449" s="17"/>
      <c r="D449" s="17"/>
      <c r="E449" s="17"/>
      <c r="F449" s="17"/>
      <c r="G449" s="18"/>
      <c r="H449" s="15"/>
      <c r="I449" s="15"/>
      <c r="J449" s="24" t="str">
        <f t="array" ref="J449">IF($A449="","",IFERROR(_xlfn.XLOOKUP($A449,'Movimentação'!$B$7:$B$1006,'Movimentação'!$E$7:$E$1006,"",0,-1),""))</f>
        <v/>
      </c>
      <c r="K449" s="24" t="str">
        <f t="array" ref="K449">IF($A449="","",IFERROR(_xlfn.XLOOKUP($A449,'Movimentação'!$B$7:$B$1006,'Movimentação'!$G$7:$G$1006,"",0,-1),""))</f>
        <v/>
      </c>
      <c r="L449" s="24" t="str">
        <f t="shared" si="3"/>
        <v/>
      </c>
      <c r="M449" s="17"/>
      <c r="N449" s="30" t="str">
        <f t="array" ref="N449">IF($A449="","",IFERROR(IF(OR($L449="BAIXADO",$L449="FURTADO"),0,INDEX(Listas!$J$2:$J$40,MATCH($B449,Listas!$I$2:$I$40,0))),""))</f>
        <v/>
      </c>
      <c r="P449" s="31" t="str">
        <f t="array" ref="P449">IF($A449="","",IFERROR(_xlfn.XLOOKUP($A449,'Movimentação'!$B$7:$B$1006,'Movimentação'!$F$7:$F$1006,"",0,-1),""))</f>
        <v/>
      </c>
      <c r="Q449" s="31">
        <f>IF(COUNTIFS('Manutenção'!$B$7:$B$1006,$A449,'Manutenção'!$H$7:$H$1006,"EM CONSERTO")&gt;0,1,0)</f>
        <v>0</v>
      </c>
    </row>
    <row r="450" ht="15.0" hidden="1" customHeight="1">
      <c r="A450" s="15"/>
      <c r="B450" s="17"/>
      <c r="C450" s="17"/>
      <c r="D450" s="17"/>
      <c r="E450" s="17"/>
      <c r="F450" s="17"/>
      <c r="G450" s="18"/>
      <c r="H450" s="15"/>
      <c r="I450" s="15"/>
      <c r="J450" s="24" t="str">
        <f t="array" ref="J450">IF($A450="","",IFERROR(_xlfn.XLOOKUP($A450,'Movimentação'!$B$7:$B$1006,'Movimentação'!$E$7:$E$1006,"",0,-1),""))</f>
        <v/>
      </c>
      <c r="K450" s="24" t="str">
        <f t="array" ref="K450">IF($A450="","",IFERROR(_xlfn.XLOOKUP($A450,'Movimentação'!$B$7:$B$1006,'Movimentação'!$G$7:$G$1006,"",0,-1),""))</f>
        <v/>
      </c>
      <c r="L450" s="24" t="str">
        <f t="shared" si="3"/>
        <v/>
      </c>
      <c r="M450" s="17"/>
      <c r="N450" s="30" t="str">
        <f t="array" ref="N450">IF($A450="","",IFERROR(IF(OR($L450="BAIXADO",$L450="FURTADO"),0,INDEX(Listas!$J$2:$J$40,MATCH($B450,Listas!$I$2:$I$40,0))),""))</f>
        <v/>
      </c>
      <c r="P450" s="31" t="str">
        <f t="array" ref="P450">IF($A450="","",IFERROR(_xlfn.XLOOKUP($A450,'Movimentação'!$B$7:$B$1006,'Movimentação'!$F$7:$F$1006,"",0,-1),""))</f>
        <v/>
      </c>
      <c r="Q450" s="31">
        <f>IF(COUNTIFS('Manutenção'!$B$7:$B$1006,$A450,'Manutenção'!$H$7:$H$1006,"EM CONSERTO")&gt;0,1,0)</f>
        <v>0</v>
      </c>
    </row>
    <row r="451" ht="15.0" hidden="1" customHeight="1">
      <c r="A451" s="15"/>
      <c r="B451" s="17"/>
      <c r="C451" s="17"/>
      <c r="D451" s="17"/>
      <c r="E451" s="17"/>
      <c r="F451" s="17"/>
      <c r="G451" s="18"/>
      <c r="H451" s="15"/>
      <c r="I451" s="15"/>
      <c r="J451" s="24" t="str">
        <f t="array" ref="J451">IF($A451="","",IFERROR(_xlfn.XLOOKUP($A451,'Movimentação'!$B$7:$B$1006,'Movimentação'!$E$7:$E$1006,"",0,-1),""))</f>
        <v/>
      </c>
      <c r="K451" s="24" t="str">
        <f t="array" ref="K451">IF($A451="","",IFERROR(_xlfn.XLOOKUP($A451,'Movimentação'!$B$7:$B$1006,'Movimentação'!$G$7:$G$1006,"",0,-1),""))</f>
        <v/>
      </c>
      <c r="L451" s="24" t="str">
        <f t="shared" si="3"/>
        <v/>
      </c>
      <c r="M451" s="17"/>
      <c r="N451" s="30" t="str">
        <f t="array" ref="N451">IF($A451="","",IFERROR(IF(OR($L451="BAIXADO",$L451="FURTADO"),0,INDEX(Listas!$J$2:$J$40,MATCH($B451,Listas!$I$2:$I$40,0))),""))</f>
        <v/>
      </c>
      <c r="P451" s="31" t="str">
        <f t="array" ref="P451">IF($A451="","",IFERROR(_xlfn.XLOOKUP($A451,'Movimentação'!$B$7:$B$1006,'Movimentação'!$F$7:$F$1006,"",0,-1),""))</f>
        <v/>
      </c>
      <c r="Q451" s="31">
        <f>IF(COUNTIFS('Manutenção'!$B$7:$B$1006,$A451,'Manutenção'!$H$7:$H$1006,"EM CONSERTO")&gt;0,1,0)</f>
        <v>0</v>
      </c>
    </row>
    <row r="452" ht="15.0" hidden="1" customHeight="1">
      <c r="A452" s="15"/>
      <c r="B452" s="17"/>
      <c r="C452" s="17"/>
      <c r="D452" s="17"/>
      <c r="E452" s="17"/>
      <c r="F452" s="17"/>
      <c r="G452" s="18"/>
      <c r="H452" s="15"/>
      <c r="I452" s="15"/>
      <c r="J452" s="24" t="str">
        <f t="array" ref="J452">IF($A452="","",IFERROR(_xlfn.XLOOKUP($A452,'Movimentação'!$B$7:$B$1006,'Movimentação'!$E$7:$E$1006,"",0,-1),""))</f>
        <v/>
      </c>
      <c r="K452" s="24" t="str">
        <f t="array" ref="K452">IF($A452="","",IFERROR(_xlfn.XLOOKUP($A452,'Movimentação'!$B$7:$B$1006,'Movimentação'!$G$7:$G$1006,"",0,-1),""))</f>
        <v/>
      </c>
      <c r="L452" s="24" t="str">
        <f t="shared" si="3"/>
        <v/>
      </c>
      <c r="M452" s="17"/>
      <c r="N452" s="30" t="str">
        <f t="array" ref="N452">IF($A452="","",IFERROR(IF(OR($L452="BAIXADO",$L452="FURTADO"),0,INDEX(Listas!$J$2:$J$40,MATCH($B452,Listas!$I$2:$I$40,0))),""))</f>
        <v/>
      </c>
      <c r="P452" s="31" t="str">
        <f t="array" ref="P452">IF($A452="","",IFERROR(_xlfn.XLOOKUP($A452,'Movimentação'!$B$7:$B$1006,'Movimentação'!$F$7:$F$1006,"",0,-1),""))</f>
        <v/>
      </c>
      <c r="Q452" s="31">
        <f>IF(COUNTIFS('Manutenção'!$B$7:$B$1006,$A452,'Manutenção'!$H$7:$H$1006,"EM CONSERTO")&gt;0,1,0)</f>
        <v>0</v>
      </c>
    </row>
    <row r="453" ht="15.0" hidden="1" customHeight="1">
      <c r="A453" s="15"/>
      <c r="B453" s="17"/>
      <c r="C453" s="17"/>
      <c r="D453" s="17"/>
      <c r="E453" s="17"/>
      <c r="F453" s="17"/>
      <c r="G453" s="18"/>
      <c r="H453" s="15"/>
      <c r="I453" s="15"/>
      <c r="J453" s="24" t="str">
        <f t="array" ref="J453">IF($A453="","",IFERROR(_xlfn.XLOOKUP($A453,'Movimentação'!$B$7:$B$1006,'Movimentação'!$E$7:$E$1006,"",0,-1),""))</f>
        <v/>
      </c>
      <c r="K453" s="24" t="str">
        <f t="array" ref="K453">IF($A453="","",IFERROR(_xlfn.XLOOKUP($A453,'Movimentação'!$B$7:$B$1006,'Movimentação'!$G$7:$G$1006,"",0,-1),""))</f>
        <v/>
      </c>
      <c r="L453" s="24" t="str">
        <f t="shared" si="3"/>
        <v/>
      </c>
      <c r="M453" s="17"/>
      <c r="N453" s="30" t="str">
        <f t="array" ref="N453">IF($A453="","",IFERROR(IF(OR($L453="BAIXADO",$L453="FURTADO"),0,INDEX(Listas!$J$2:$J$40,MATCH($B453,Listas!$I$2:$I$40,0))),""))</f>
        <v/>
      </c>
      <c r="P453" s="31" t="str">
        <f t="array" ref="P453">IF($A453="","",IFERROR(_xlfn.XLOOKUP($A453,'Movimentação'!$B$7:$B$1006,'Movimentação'!$F$7:$F$1006,"",0,-1),""))</f>
        <v/>
      </c>
      <c r="Q453" s="31">
        <f>IF(COUNTIFS('Manutenção'!$B$7:$B$1006,$A453,'Manutenção'!$H$7:$H$1006,"EM CONSERTO")&gt;0,1,0)</f>
        <v>0</v>
      </c>
    </row>
    <row r="454" ht="15.0" hidden="1" customHeight="1">
      <c r="A454" s="15"/>
      <c r="B454" s="17"/>
      <c r="C454" s="17"/>
      <c r="D454" s="17"/>
      <c r="E454" s="17"/>
      <c r="F454" s="17"/>
      <c r="G454" s="18"/>
      <c r="H454" s="15"/>
      <c r="I454" s="15"/>
      <c r="J454" s="24" t="str">
        <f t="array" ref="J454">IF($A454="","",IFERROR(_xlfn.XLOOKUP($A454,'Movimentação'!$B$7:$B$1006,'Movimentação'!$E$7:$E$1006,"",0,-1),""))</f>
        <v/>
      </c>
      <c r="K454" s="24" t="str">
        <f t="array" ref="K454">IF($A454="","",IFERROR(_xlfn.XLOOKUP($A454,'Movimentação'!$B$7:$B$1006,'Movimentação'!$G$7:$G$1006,"",0,-1),""))</f>
        <v/>
      </c>
      <c r="L454" s="24" t="str">
        <f t="shared" si="3"/>
        <v/>
      </c>
      <c r="M454" s="17"/>
      <c r="N454" s="30" t="str">
        <f t="array" ref="N454">IF($A454="","",IFERROR(IF(OR($L454="BAIXADO",$L454="FURTADO"),0,INDEX(Listas!$J$2:$J$40,MATCH($B454,Listas!$I$2:$I$40,0))),""))</f>
        <v/>
      </c>
      <c r="P454" s="31" t="str">
        <f t="array" ref="P454">IF($A454="","",IFERROR(_xlfn.XLOOKUP($A454,'Movimentação'!$B$7:$B$1006,'Movimentação'!$F$7:$F$1006,"",0,-1),""))</f>
        <v/>
      </c>
      <c r="Q454" s="31">
        <f>IF(COUNTIFS('Manutenção'!$B$7:$B$1006,$A454,'Manutenção'!$H$7:$H$1006,"EM CONSERTO")&gt;0,1,0)</f>
        <v>0</v>
      </c>
    </row>
    <row r="455" ht="15.0" hidden="1" customHeight="1">
      <c r="A455" s="15"/>
      <c r="B455" s="17"/>
      <c r="C455" s="17"/>
      <c r="D455" s="17"/>
      <c r="E455" s="17"/>
      <c r="F455" s="17"/>
      <c r="G455" s="18"/>
      <c r="H455" s="15"/>
      <c r="I455" s="15"/>
      <c r="J455" s="24" t="str">
        <f t="array" ref="J455">IF($A455="","",IFERROR(_xlfn.XLOOKUP($A455,'Movimentação'!$B$7:$B$1006,'Movimentação'!$E$7:$E$1006,"",0,-1),""))</f>
        <v/>
      </c>
      <c r="K455" s="24" t="str">
        <f t="array" ref="K455">IF($A455="","",IFERROR(_xlfn.XLOOKUP($A455,'Movimentação'!$B$7:$B$1006,'Movimentação'!$G$7:$G$1006,"",0,-1),""))</f>
        <v/>
      </c>
      <c r="L455" s="24" t="str">
        <f t="shared" si="3"/>
        <v/>
      </c>
      <c r="M455" s="17"/>
      <c r="N455" s="30" t="str">
        <f t="array" ref="N455">IF($A455="","",IFERROR(IF(OR($L455="BAIXADO",$L455="FURTADO"),0,INDEX(Listas!$J$2:$J$40,MATCH($B455,Listas!$I$2:$I$40,0))),""))</f>
        <v/>
      </c>
      <c r="P455" s="31" t="str">
        <f t="array" ref="P455">IF($A455="","",IFERROR(_xlfn.XLOOKUP($A455,'Movimentação'!$B$7:$B$1006,'Movimentação'!$F$7:$F$1006,"",0,-1),""))</f>
        <v/>
      </c>
      <c r="Q455" s="31">
        <f>IF(COUNTIFS('Manutenção'!$B$7:$B$1006,$A455,'Manutenção'!$H$7:$H$1006,"EM CONSERTO")&gt;0,1,0)</f>
        <v>0</v>
      </c>
    </row>
    <row r="456" ht="15.0" hidden="1" customHeight="1">
      <c r="A456" s="15"/>
      <c r="B456" s="17"/>
      <c r="C456" s="17"/>
      <c r="D456" s="17"/>
      <c r="E456" s="17"/>
      <c r="F456" s="17"/>
      <c r="G456" s="18"/>
      <c r="H456" s="15"/>
      <c r="I456" s="15"/>
      <c r="J456" s="24" t="str">
        <f t="array" ref="J456">IF($A456="","",IFERROR(_xlfn.XLOOKUP($A456,'Movimentação'!$B$7:$B$1006,'Movimentação'!$E$7:$E$1006,"",0,-1),""))</f>
        <v/>
      </c>
      <c r="K456" s="24" t="str">
        <f t="array" ref="K456">IF($A456="","",IFERROR(_xlfn.XLOOKUP($A456,'Movimentação'!$B$7:$B$1006,'Movimentação'!$G$7:$G$1006,"",0,-1),""))</f>
        <v/>
      </c>
      <c r="L456" s="24" t="str">
        <f t="shared" si="3"/>
        <v/>
      </c>
      <c r="M456" s="17"/>
      <c r="N456" s="30" t="str">
        <f t="array" ref="N456">IF($A456="","",IFERROR(IF(OR($L456="BAIXADO",$L456="FURTADO"),0,INDEX(Listas!$J$2:$J$40,MATCH($B456,Listas!$I$2:$I$40,0))),""))</f>
        <v/>
      </c>
      <c r="P456" s="31" t="str">
        <f t="array" ref="P456">IF($A456="","",IFERROR(_xlfn.XLOOKUP($A456,'Movimentação'!$B$7:$B$1006,'Movimentação'!$F$7:$F$1006,"",0,-1),""))</f>
        <v/>
      </c>
      <c r="Q456" s="31">
        <f>IF(COUNTIFS('Manutenção'!$B$7:$B$1006,$A456,'Manutenção'!$H$7:$H$1006,"EM CONSERTO")&gt;0,1,0)</f>
        <v>0</v>
      </c>
    </row>
    <row r="457" ht="15.0" hidden="1" customHeight="1">
      <c r="A457" s="15"/>
      <c r="B457" s="17"/>
      <c r="C457" s="17"/>
      <c r="D457" s="17"/>
      <c r="E457" s="17"/>
      <c r="F457" s="17"/>
      <c r="G457" s="18"/>
      <c r="H457" s="15"/>
      <c r="I457" s="15"/>
      <c r="J457" s="24" t="str">
        <f t="array" ref="J457">IF($A457="","",IFERROR(_xlfn.XLOOKUP($A457,'Movimentação'!$B$7:$B$1006,'Movimentação'!$E$7:$E$1006,"",0,-1),""))</f>
        <v/>
      </c>
      <c r="K457" s="24" t="str">
        <f t="array" ref="K457">IF($A457="","",IFERROR(_xlfn.XLOOKUP($A457,'Movimentação'!$B$7:$B$1006,'Movimentação'!$G$7:$G$1006,"",0,-1),""))</f>
        <v/>
      </c>
      <c r="L457" s="24" t="str">
        <f t="shared" si="3"/>
        <v/>
      </c>
      <c r="M457" s="17"/>
      <c r="N457" s="30" t="str">
        <f t="array" ref="N457">IF($A457="","",IFERROR(IF(OR($L457="BAIXADO",$L457="FURTADO"),0,INDEX(Listas!$J$2:$J$40,MATCH($B457,Listas!$I$2:$I$40,0))),""))</f>
        <v/>
      </c>
      <c r="P457" s="31" t="str">
        <f t="array" ref="P457">IF($A457="","",IFERROR(_xlfn.XLOOKUP($A457,'Movimentação'!$B$7:$B$1006,'Movimentação'!$F$7:$F$1006,"",0,-1),""))</f>
        <v/>
      </c>
      <c r="Q457" s="31">
        <f>IF(COUNTIFS('Manutenção'!$B$7:$B$1006,$A457,'Manutenção'!$H$7:$H$1006,"EM CONSERTO")&gt;0,1,0)</f>
        <v>0</v>
      </c>
    </row>
    <row r="458" ht="15.0" hidden="1" customHeight="1">
      <c r="A458" s="15"/>
      <c r="B458" s="17"/>
      <c r="C458" s="17"/>
      <c r="D458" s="17"/>
      <c r="E458" s="17"/>
      <c r="F458" s="17"/>
      <c r="G458" s="18"/>
      <c r="H458" s="15"/>
      <c r="I458" s="15"/>
      <c r="J458" s="24" t="str">
        <f t="array" ref="J458">IF($A458="","",IFERROR(_xlfn.XLOOKUP($A458,'Movimentação'!$B$7:$B$1006,'Movimentação'!$E$7:$E$1006,"",0,-1),""))</f>
        <v/>
      </c>
      <c r="K458" s="24" t="str">
        <f t="array" ref="K458">IF($A458="","",IFERROR(_xlfn.XLOOKUP($A458,'Movimentação'!$B$7:$B$1006,'Movimentação'!$G$7:$G$1006,"",0,-1),""))</f>
        <v/>
      </c>
      <c r="L458" s="24" t="str">
        <f t="shared" si="3"/>
        <v/>
      </c>
      <c r="M458" s="17"/>
      <c r="N458" s="30" t="str">
        <f t="array" ref="N458">IF($A458="","",IFERROR(IF(OR($L458="BAIXADO",$L458="FURTADO"),0,INDEX(Listas!$J$2:$J$40,MATCH($B458,Listas!$I$2:$I$40,0))),""))</f>
        <v/>
      </c>
      <c r="P458" s="31" t="str">
        <f t="array" ref="P458">IF($A458="","",IFERROR(_xlfn.XLOOKUP($A458,'Movimentação'!$B$7:$B$1006,'Movimentação'!$F$7:$F$1006,"",0,-1),""))</f>
        <v/>
      </c>
      <c r="Q458" s="31">
        <f>IF(COUNTIFS('Manutenção'!$B$7:$B$1006,$A458,'Manutenção'!$H$7:$H$1006,"EM CONSERTO")&gt;0,1,0)</f>
        <v>0</v>
      </c>
    </row>
    <row r="459" ht="15.0" hidden="1" customHeight="1">
      <c r="A459" s="15"/>
      <c r="B459" s="17"/>
      <c r="C459" s="17"/>
      <c r="D459" s="17"/>
      <c r="E459" s="17"/>
      <c r="F459" s="17"/>
      <c r="G459" s="18"/>
      <c r="H459" s="15"/>
      <c r="I459" s="15"/>
      <c r="J459" s="24" t="str">
        <f t="array" ref="J459">IF($A459="","",IFERROR(_xlfn.XLOOKUP($A459,'Movimentação'!$B$7:$B$1006,'Movimentação'!$E$7:$E$1006,"",0,-1),""))</f>
        <v/>
      </c>
      <c r="K459" s="24" t="str">
        <f t="array" ref="K459">IF($A459="","",IFERROR(_xlfn.XLOOKUP($A459,'Movimentação'!$B$7:$B$1006,'Movimentação'!$G$7:$G$1006,"",0,-1),""))</f>
        <v/>
      </c>
      <c r="L459" s="24" t="str">
        <f t="shared" si="3"/>
        <v/>
      </c>
      <c r="M459" s="17"/>
      <c r="N459" s="30" t="str">
        <f t="array" ref="N459">IF($A459="","",IFERROR(IF(OR($L459="BAIXADO",$L459="FURTADO"),0,INDEX(Listas!$J$2:$J$40,MATCH($B459,Listas!$I$2:$I$40,0))),""))</f>
        <v/>
      </c>
      <c r="P459" s="31" t="str">
        <f t="array" ref="P459">IF($A459="","",IFERROR(_xlfn.XLOOKUP($A459,'Movimentação'!$B$7:$B$1006,'Movimentação'!$F$7:$F$1006,"",0,-1),""))</f>
        <v/>
      </c>
      <c r="Q459" s="31">
        <f>IF(COUNTIFS('Manutenção'!$B$7:$B$1006,$A459,'Manutenção'!$H$7:$H$1006,"EM CONSERTO")&gt;0,1,0)</f>
        <v>0</v>
      </c>
    </row>
    <row r="460" ht="15.0" hidden="1" customHeight="1">
      <c r="A460" s="15"/>
      <c r="B460" s="17"/>
      <c r="C460" s="17"/>
      <c r="D460" s="17"/>
      <c r="E460" s="17"/>
      <c r="F460" s="17"/>
      <c r="G460" s="18"/>
      <c r="H460" s="15"/>
      <c r="I460" s="15"/>
      <c r="J460" s="24" t="str">
        <f t="array" ref="J460">IF($A460="","",IFERROR(_xlfn.XLOOKUP($A460,'Movimentação'!$B$7:$B$1006,'Movimentação'!$E$7:$E$1006,"",0,-1),""))</f>
        <v/>
      </c>
      <c r="K460" s="24" t="str">
        <f t="array" ref="K460">IF($A460="","",IFERROR(_xlfn.XLOOKUP($A460,'Movimentação'!$B$7:$B$1006,'Movimentação'!$G$7:$G$1006,"",0,-1),""))</f>
        <v/>
      </c>
      <c r="L460" s="24" t="str">
        <f t="shared" si="3"/>
        <v/>
      </c>
      <c r="M460" s="17"/>
      <c r="N460" s="30" t="str">
        <f t="array" ref="N460">IF($A460="","",IFERROR(IF(OR($L460="BAIXADO",$L460="FURTADO"),0,INDEX(Listas!$J$2:$J$40,MATCH($B460,Listas!$I$2:$I$40,0))),""))</f>
        <v/>
      </c>
      <c r="P460" s="31" t="str">
        <f t="array" ref="P460">IF($A460="","",IFERROR(_xlfn.XLOOKUP($A460,'Movimentação'!$B$7:$B$1006,'Movimentação'!$F$7:$F$1006,"",0,-1),""))</f>
        <v/>
      </c>
      <c r="Q460" s="31">
        <f>IF(COUNTIFS('Manutenção'!$B$7:$B$1006,$A460,'Manutenção'!$H$7:$H$1006,"EM CONSERTO")&gt;0,1,0)</f>
        <v>0</v>
      </c>
    </row>
    <row r="461" ht="15.0" hidden="1" customHeight="1">
      <c r="A461" s="15"/>
      <c r="B461" s="17"/>
      <c r="C461" s="17"/>
      <c r="D461" s="17"/>
      <c r="E461" s="17"/>
      <c r="F461" s="17"/>
      <c r="G461" s="18"/>
      <c r="H461" s="15"/>
      <c r="I461" s="15"/>
      <c r="J461" s="24" t="str">
        <f t="array" ref="J461">IF($A461="","",IFERROR(_xlfn.XLOOKUP($A461,'Movimentação'!$B$7:$B$1006,'Movimentação'!$E$7:$E$1006,"",0,-1),""))</f>
        <v/>
      </c>
      <c r="K461" s="24" t="str">
        <f t="array" ref="K461">IF($A461="","",IFERROR(_xlfn.XLOOKUP($A461,'Movimentação'!$B$7:$B$1006,'Movimentação'!$G$7:$G$1006,"",0,-1),""))</f>
        <v/>
      </c>
      <c r="L461" s="24" t="str">
        <f t="shared" si="3"/>
        <v/>
      </c>
      <c r="M461" s="17"/>
      <c r="N461" s="30" t="str">
        <f t="array" ref="N461">IF($A461="","",IFERROR(IF(OR($L461="BAIXADO",$L461="FURTADO"),0,INDEX(Listas!$J$2:$J$40,MATCH($B461,Listas!$I$2:$I$40,0))),""))</f>
        <v/>
      </c>
      <c r="P461" s="31" t="str">
        <f t="array" ref="P461">IF($A461="","",IFERROR(_xlfn.XLOOKUP($A461,'Movimentação'!$B$7:$B$1006,'Movimentação'!$F$7:$F$1006,"",0,-1),""))</f>
        <v/>
      </c>
      <c r="Q461" s="31">
        <f>IF(COUNTIFS('Manutenção'!$B$7:$B$1006,$A461,'Manutenção'!$H$7:$H$1006,"EM CONSERTO")&gt;0,1,0)</f>
        <v>0</v>
      </c>
    </row>
    <row r="462" ht="15.0" hidden="1" customHeight="1">
      <c r="A462" s="15"/>
      <c r="B462" s="17"/>
      <c r="C462" s="17"/>
      <c r="D462" s="17"/>
      <c r="E462" s="17"/>
      <c r="F462" s="17"/>
      <c r="G462" s="18"/>
      <c r="H462" s="15"/>
      <c r="I462" s="15"/>
      <c r="J462" s="24" t="str">
        <f t="array" ref="J462">IF($A462="","",IFERROR(_xlfn.XLOOKUP($A462,'Movimentação'!$B$7:$B$1006,'Movimentação'!$E$7:$E$1006,"",0,-1),""))</f>
        <v/>
      </c>
      <c r="K462" s="24" t="str">
        <f t="array" ref="K462">IF($A462="","",IFERROR(_xlfn.XLOOKUP($A462,'Movimentação'!$B$7:$B$1006,'Movimentação'!$G$7:$G$1006,"",0,-1),""))</f>
        <v/>
      </c>
      <c r="L462" s="24" t="str">
        <f t="shared" si="3"/>
        <v/>
      </c>
      <c r="M462" s="17"/>
      <c r="N462" s="30" t="str">
        <f t="array" ref="N462">IF($A462="","",IFERROR(IF(OR($L462="BAIXADO",$L462="FURTADO"),0,INDEX(Listas!$J$2:$J$40,MATCH($B462,Listas!$I$2:$I$40,0))),""))</f>
        <v/>
      </c>
      <c r="P462" s="31" t="str">
        <f t="array" ref="P462">IF($A462="","",IFERROR(_xlfn.XLOOKUP($A462,'Movimentação'!$B$7:$B$1006,'Movimentação'!$F$7:$F$1006,"",0,-1),""))</f>
        <v/>
      </c>
      <c r="Q462" s="31">
        <f>IF(COUNTIFS('Manutenção'!$B$7:$B$1006,$A462,'Manutenção'!$H$7:$H$1006,"EM CONSERTO")&gt;0,1,0)</f>
        <v>0</v>
      </c>
    </row>
    <row r="463" ht="15.0" hidden="1" customHeight="1">
      <c r="A463" s="15"/>
      <c r="B463" s="17"/>
      <c r="C463" s="17"/>
      <c r="D463" s="17"/>
      <c r="E463" s="17"/>
      <c r="F463" s="17"/>
      <c r="G463" s="18"/>
      <c r="H463" s="15"/>
      <c r="I463" s="15"/>
      <c r="J463" s="24" t="str">
        <f t="array" ref="J463">IF($A463="","",IFERROR(_xlfn.XLOOKUP($A463,'Movimentação'!$B$7:$B$1006,'Movimentação'!$E$7:$E$1006,"",0,-1),""))</f>
        <v/>
      </c>
      <c r="K463" s="24" t="str">
        <f t="array" ref="K463">IF($A463="","",IFERROR(_xlfn.XLOOKUP($A463,'Movimentação'!$B$7:$B$1006,'Movimentação'!$G$7:$G$1006,"",0,-1),""))</f>
        <v/>
      </c>
      <c r="L463" s="24" t="str">
        <f t="shared" si="3"/>
        <v/>
      </c>
      <c r="M463" s="17"/>
      <c r="N463" s="30" t="str">
        <f t="array" ref="N463">IF($A463="","",IFERROR(IF(OR($L463="BAIXADO",$L463="FURTADO"),0,INDEX(Listas!$J$2:$J$40,MATCH($B463,Listas!$I$2:$I$40,0))),""))</f>
        <v/>
      </c>
      <c r="P463" s="31" t="str">
        <f t="array" ref="P463">IF($A463="","",IFERROR(_xlfn.XLOOKUP($A463,'Movimentação'!$B$7:$B$1006,'Movimentação'!$F$7:$F$1006,"",0,-1),""))</f>
        <v/>
      </c>
      <c r="Q463" s="31">
        <f>IF(COUNTIFS('Manutenção'!$B$7:$B$1006,$A463,'Manutenção'!$H$7:$H$1006,"EM CONSERTO")&gt;0,1,0)</f>
        <v>0</v>
      </c>
    </row>
    <row r="464" ht="15.0" hidden="1" customHeight="1">
      <c r="A464" s="15"/>
      <c r="B464" s="17"/>
      <c r="C464" s="17"/>
      <c r="D464" s="17"/>
      <c r="E464" s="17"/>
      <c r="F464" s="17"/>
      <c r="G464" s="18"/>
      <c r="H464" s="15"/>
      <c r="I464" s="15"/>
      <c r="J464" s="24" t="str">
        <f t="array" ref="J464">IF($A464="","",IFERROR(_xlfn.XLOOKUP($A464,'Movimentação'!$B$7:$B$1006,'Movimentação'!$E$7:$E$1006,"",0,-1),""))</f>
        <v/>
      </c>
      <c r="K464" s="24" t="str">
        <f t="array" ref="K464">IF($A464="","",IFERROR(_xlfn.XLOOKUP($A464,'Movimentação'!$B$7:$B$1006,'Movimentação'!$G$7:$G$1006,"",0,-1),""))</f>
        <v/>
      </c>
      <c r="L464" s="24" t="str">
        <f t="shared" si="3"/>
        <v/>
      </c>
      <c r="M464" s="17"/>
      <c r="N464" s="30" t="str">
        <f t="array" ref="N464">IF($A464="","",IFERROR(IF(OR($L464="BAIXADO",$L464="FURTADO"),0,INDEX(Listas!$J$2:$J$40,MATCH($B464,Listas!$I$2:$I$40,0))),""))</f>
        <v/>
      </c>
      <c r="P464" s="31" t="str">
        <f t="array" ref="P464">IF($A464="","",IFERROR(_xlfn.XLOOKUP($A464,'Movimentação'!$B$7:$B$1006,'Movimentação'!$F$7:$F$1006,"",0,-1),""))</f>
        <v/>
      </c>
      <c r="Q464" s="31">
        <f>IF(COUNTIFS('Manutenção'!$B$7:$B$1006,$A464,'Manutenção'!$H$7:$H$1006,"EM CONSERTO")&gt;0,1,0)</f>
        <v>0</v>
      </c>
    </row>
    <row r="465" ht="15.0" hidden="1" customHeight="1">
      <c r="A465" s="15"/>
      <c r="B465" s="17"/>
      <c r="C465" s="17"/>
      <c r="D465" s="17"/>
      <c r="E465" s="17"/>
      <c r="F465" s="17"/>
      <c r="G465" s="18"/>
      <c r="H465" s="15"/>
      <c r="I465" s="15"/>
      <c r="J465" s="24" t="str">
        <f t="array" ref="J465">IF($A465="","",IFERROR(_xlfn.XLOOKUP($A465,'Movimentação'!$B$7:$B$1006,'Movimentação'!$E$7:$E$1006,"",0,-1),""))</f>
        <v/>
      </c>
      <c r="K465" s="24" t="str">
        <f t="array" ref="K465">IF($A465="","",IFERROR(_xlfn.XLOOKUP($A465,'Movimentação'!$B$7:$B$1006,'Movimentação'!$G$7:$G$1006,"",0,-1),""))</f>
        <v/>
      </c>
      <c r="L465" s="24" t="str">
        <f t="shared" si="3"/>
        <v/>
      </c>
      <c r="M465" s="17"/>
      <c r="N465" s="30" t="str">
        <f t="array" ref="N465">IF($A465="","",IFERROR(IF(OR($L465="BAIXADO",$L465="FURTADO"),0,INDEX(Listas!$J$2:$J$40,MATCH($B465,Listas!$I$2:$I$40,0))),""))</f>
        <v/>
      </c>
      <c r="P465" s="31" t="str">
        <f t="array" ref="P465">IF($A465="","",IFERROR(_xlfn.XLOOKUP($A465,'Movimentação'!$B$7:$B$1006,'Movimentação'!$F$7:$F$1006,"",0,-1),""))</f>
        <v/>
      </c>
      <c r="Q465" s="31">
        <f>IF(COUNTIFS('Manutenção'!$B$7:$B$1006,$A465,'Manutenção'!$H$7:$H$1006,"EM CONSERTO")&gt;0,1,0)</f>
        <v>0</v>
      </c>
    </row>
    <row r="466" ht="15.0" hidden="1" customHeight="1">
      <c r="A466" s="15"/>
      <c r="B466" s="17"/>
      <c r="C466" s="17"/>
      <c r="D466" s="17"/>
      <c r="E466" s="17"/>
      <c r="F466" s="17"/>
      <c r="G466" s="18"/>
      <c r="H466" s="15"/>
      <c r="I466" s="15"/>
      <c r="J466" s="24" t="str">
        <f t="array" ref="J466">IF($A466="","",IFERROR(_xlfn.XLOOKUP($A466,'Movimentação'!$B$7:$B$1006,'Movimentação'!$E$7:$E$1006,"",0,-1),""))</f>
        <v/>
      </c>
      <c r="K466" s="24" t="str">
        <f t="array" ref="K466">IF($A466="","",IFERROR(_xlfn.XLOOKUP($A466,'Movimentação'!$B$7:$B$1006,'Movimentação'!$G$7:$G$1006,"",0,-1),""))</f>
        <v/>
      </c>
      <c r="L466" s="24" t="str">
        <f t="shared" si="3"/>
        <v/>
      </c>
      <c r="M466" s="17"/>
      <c r="N466" s="30" t="str">
        <f t="array" ref="N466">IF($A466="","",IFERROR(IF(OR($L466="BAIXADO",$L466="FURTADO"),0,INDEX(Listas!$J$2:$J$40,MATCH($B466,Listas!$I$2:$I$40,0))),""))</f>
        <v/>
      </c>
      <c r="P466" s="31" t="str">
        <f t="array" ref="P466">IF($A466="","",IFERROR(_xlfn.XLOOKUP($A466,'Movimentação'!$B$7:$B$1006,'Movimentação'!$F$7:$F$1006,"",0,-1),""))</f>
        <v/>
      </c>
      <c r="Q466" s="31">
        <f>IF(COUNTIFS('Manutenção'!$B$7:$B$1006,$A466,'Manutenção'!$H$7:$H$1006,"EM CONSERTO")&gt;0,1,0)</f>
        <v>0</v>
      </c>
    </row>
    <row r="467" ht="15.0" hidden="1" customHeight="1">
      <c r="A467" s="15"/>
      <c r="B467" s="17"/>
      <c r="C467" s="17"/>
      <c r="D467" s="17"/>
      <c r="E467" s="17"/>
      <c r="F467" s="17"/>
      <c r="G467" s="18"/>
      <c r="H467" s="15"/>
      <c r="I467" s="15"/>
      <c r="J467" s="24" t="str">
        <f t="array" ref="J467">IF($A467="","",IFERROR(_xlfn.XLOOKUP($A467,'Movimentação'!$B$7:$B$1006,'Movimentação'!$E$7:$E$1006,"",0,-1),""))</f>
        <v/>
      </c>
      <c r="K467" s="24" t="str">
        <f t="array" ref="K467">IF($A467="","",IFERROR(_xlfn.XLOOKUP($A467,'Movimentação'!$B$7:$B$1006,'Movimentação'!$G$7:$G$1006,"",0,-1),""))</f>
        <v/>
      </c>
      <c r="L467" s="24" t="str">
        <f t="shared" si="3"/>
        <v/>
      </c>
      <c r="M467" s="17"/>
      <c r="N467" s="30" t="str">
        <f t="array" ref="N467">IF($A467="","",IFERROR(IF(OR($L467="BAIXADO",$L467="FURTADO"),0,INDEX(Listas!$J$2:$J$40,MATCH($B467,Listas!$I$2:$I$40,0))),""))</f>
        <v/>
      </c>
      <c r="P467" s="31" t="str">
        <f t="array" ref="P467">IF($A467="","",IFERROR(_xlfn.XLOOKUP($A467,'Movimentação'!$B$7:$B$1006,'Movimentação'!$F$7:$F$1006,"",0,-1),""))</f>
        <v/>
      </c>
      <c r="Q467" s="31">
        <f>IF(COUNTIFS('Manutenção'!$B$7:$B$1006,$A467,'Manutenção'!$H$7:$H$1006,"EM CONSERTO")&gt;0,1,0)</f>
        <v>0</v>
      </c>
    </row>
    <row r="468" ht="15.0" hidden="1" customHeight="1">
      <c r="A468" s="15"/>
      <c r="B468" s="17"/>
      <c r="C468" s="17"/>
      <c r="D468" s="17"/>
      <c r="E468" s="17"/>
      <c r="F468" s="17"/>
      <c r="G468" s="18"/>
      <c r="H468" s="15"/>
      <c r="I468" s="15"/>
      <c r="J468" s="24" t="str">
        <f t="array" ref="J468">IF($A468="","",IFERROR(_xlfn.XLOOKUP($A468,'Movimentação'!$B$7:$B$1006,'Movimentação'!$E$7:$E$1006,"",0,-1),""))</f>
        <v/>
      </c>
      <c r="K468" s="24" t="str">
        <f t="array" ref="K468">IF($A468="","",IFERROR(_xlfn.XLOOKUP($A468,'Movimentação'!$B$7:$B$1006,'Movimentação'!$G$7:$G$1006,"",0,-1),""))</f>
        <v/>
      </c>
      <c r="L468" s="24" t="str">
        <f t="shared" si="3"/>
        <v/>
      </c>
      <c r="M468" s="17"/>
      <c r="N468" s="30" t="str">
        <f t="array" ref="N468">IF($A468="","",IFERROR(IF(OR($L468="BAIXADO",$L468="FURTADO"),0,INDEX(Listas!$J$2:$J$40,MATCH($B468,Listas!$I$2:$I$40,0))),""))</f>
        <v/>
      </c>
      <c r="P468" s="31" t="str">
        <f t="array" ref="P468">IF($A468="","",IFERROR(_xlfn.XLOOKUP($A468,'Movimentação'!$B$7:$B$1006,'Movimentação'!$F$7:$F$1006,"",0,-1),""))</f>
        <v/>
      </c>
      <c r="Q468" s="31">
        <f>IF(COUNTIFS('Manutenção'!$B$7:$B$1006,$A468,'Manutenção'!$H$7:$H$1006,"EM CONSERTO")&gt;0,1,0)</f>
        <v>0</v>
      </c>
    </row>
    <row r="469" ht="15.0" hidden="1" customHeight="1">
      <c r="A469" s="15"/>
      <c r="B469" s="17"/>
      <c r="C469" s="17"/>
      <c r="D469" s="17"/>
      <c r="E469" s="17"/>
      <c r="F469" s="17"/>
      <c r="G469" s="18"/>
      <c r="H469" s="15"/>
      <c r="I469" s="15"/>
      <c r="J469" s="24" t="str">
        <f t="array" ref="J469">IF($A469="","",IFERROR(_xlfn.XLOOKUP($A469,'Movimentação'!$B$7:$B$1006,'Movimentação'!$E$7:$E$1006,"",0,-1),""))</f>
        <v/>
      </c>
      <c r="K469" s="24" t="str">
        <f t="array" ref="K469">IF($A469="","",IFERROR(_xlfn.XLOOKUP($A469,'Movimentação'!$B$7:$B$1006,'Movimentação'!$G$7:$G$1006,"",0,-1),""))</f>
        <v/>
      </c>
      <c r="L469" s="24" t="str">
        <f t="shared" si="3"/>
        <v/>
      </c>
      <c r="M469" s="17"/>
      <c r="N469" s="30" t="str">
        <f t="array" ref="N469">IF($A469="","",IFERROR(IF(OR($L469="BAIXADO",$L469="FURTADO"),0,INDEX(Listas!$J$2:$J$40,MATCH($B469,Listas!$I$2:$I$40,0))),""))</f>
        <v/>
      </c>
      <c r="P469" s="31" t="str">
        <f t="array" ref="P469">IF($A469="","",IFERROR(_xlfn.XLOOKUP($A469,'Movimentação'!$B$7:$B$1006,'Movimentação'!$F$7:$F$1006,"",0,-1),""))</f>
        <v/>
      </c>
      <c r="Q469" s="31">
        <f>IF(COUNTIFS('Manutenção'!$B$7:$B$1006,$A469,'Manutenção'!$H$7:$H$1006,"EM CONSERTO")&gt;0,1,0)</f>
        <v>0</v>
      </c>
    </row>
    <row r="470" ht="15.0" hidden="1" customHeight="1">
      <c r="A470" s="15"/>
      <c r="B470" s="17"/>
      <c r="C470" s="17"/>
      <c r="D470" s="17"/>
      <c r="E470" s="17"/>
      <c r="F470" s="17"/>
      <c r="G470" s="18"/>
      <c r="H470" s="15"/>
      <c r="I470" s="15"/>
      <c r="J470" s="24" t="str">
        <f t="array" ref="J470">IF($A470="","",IFERROR(_xlfn.XLOOKUP($A470,'Movimentação'!$B$7:$B$1006,'Movimentação'!$E$7:$E$1006,"",0,-1),""))</f>
        <v/>
      </c>
      <c r="K470" s="24" t="str">
        <f t="array" ref="K470">IF($A470="","",IFERROR(_xlfn.XLOOKUP($A470,'Movimentação'!$B$7:$B$1006,'Movimentação'!$G$7:$G$1006,"",0,-1),""))</f>
        <v/>
      </c>
      <c r="L470" s="24" t="str">
        <f t="shared" si="3"/>
        <v/>
      </c>
      <c r="M470" s="17"/>
      <c r="N470" s="30" t="str">
        <f t="array" ref="N470">IF($A470="","",IFERROR(IF(OR($L470="BAIXADO",$L470="FURTADO"),0,INDEX(Listas!$J$2:$J$40,MATCH($B470,Listas!$I$2:$I$40,0))),""))</f>
        <v/>
      </c>
      <c r="P470" s="31" t="str">
        <f t="array" ref="P470">IF($A470="","",IFERROR(_xlfn.XLOOKUP($A470,'Movimentação'!$B$7:$B$1006,'Movimentação'!$F$7:$F$1006,"",0,-1),""))</f>
        <v/>
      </c>
      <c r="Q470" s="31">
        <f>IF(COUNTIFS('Manutenção'!$B$7:$B$1006,$A470,'Manutenção'!$H$7:$H$1006,"EM CONSERTO")&gt;0,1,0)</f>
        <v>0</v>
      </c>
    </row>
    <row r="471" ht="15.0" hidden="1" customHeight="1">
      <c r="A471" s="15"/>
      <c r="B471" s="17"/>
      <c r="C471" s="17"/>
      <c r="D471" s="17"/>
      <c r="E471" s="17"/>
      <c r="F471" s="17"/>
      <c r="G471" s="18"/>
      <c r="H471" s="15"/>
      <c r="I471" s="15"/>
      <c r="J471" s="24" t="str">
        <f t="array" ref="J471">IF($A471="","",IFERROR(_xlfn.XLOOKUP($A471,'Movimentação'!$B$7:$B$1006,'Movimentação'!$E$7:$E$1006,"",0,-1),""))</f>
        <v/>
      </c>
      <c r="K471" s="24" t="str">
        <f t="array" ref="K471">IF($A471="","",IFERROR(_xlfn.XLOOKUP($A471,'Movimentação'!$B$7:$B$1006,'Movimentação'!$G$7:$G$1006,"",0,-1),""))</f>
        <v/>
      </c>
      <c r="L471" s="24" t="str">
        <f t="shared" si="3"/>
        <v/>
      </c>
      <c r="M471" s="17"/>
      <c r="N471" s="30" t="str">
        <f t="array" ref="N471">IF($A471="","",IFERROR(IF(OR($L471="BAIXADO",$L471="FURTADO"),0,INDEX(Listas!$J$2:$J$40,MATCH($B471,Listas!$I$2:$I$40,0))),""))</f>
        <v/>
      </c>
      <c r="P471" s="31" t="str">
        <f t="array" ref="P471">IF($A471="","",IFERROR(_xlfn.XLOOKUP($A471,'Movimentação'!$B$7:$B$1006,'Movimentação'!$F$7:$F$1006,"",0,-1),""))</f>
        <v/>
      </c>
      <c r="Q471" s="31">
        <f>IF(COUNTIFS('Manutenção'!$B$7:$B$1006,$A471,'Manutenção'!$H$7:$H$1006,"EM CONSERTO")&gt;0,1,0)</f>
        <v>0</v>
      </c>
    </row>
    <row r="472" ht="15.0" hidden="1" customHeight="1">
      <c r="A472" s="15"/>
      <c r="B472" s="17"/>
      <c r="C472" s="17"/>
      <c r="D472" s="17"/>
      <c r="E472" s="17"/>
      <c r="F472" s="17"/>
      <c r="G472" s="18"/>
      <c r="H472" s="15"/>
      <c r="I472" s="15"/>
      <c r="J472" s="24" t="str">
        <f t="array" ref="J472">IF($A472="","",IFERROR(_xlfn.XLOOKUP($A472,'Movimentação'!$B$7:$B$1006,'Movimentação'!$E$7:$E$1006,"",0,-1),""))</f>
        <v/>
      </c>
      <c r="K472" s="24" t="str">
        <f t="array" ref="K472">IF($A472="","",IFERROR(_xlfn.XLOOKUP($A472,'Movimentação'!$B$7:$B$1006,'Movimentação'!$G$7:$G$1006,"",0,-1),""))</f>
        <v/>
      </c>
      <c r="L472" s="24" t="str">
        <f t="shared" si="3"/>
        <v/>
      </c>
      <c r="M472" s="17"/>
      <c r="N472" s="30" t="str">
        <f t="array" ref="N472">IF($A472="","",IFERROR(IF(OR($L472="BAIXADO",$L472="FURTADO"),0,INDEX(Listas!$J$2:$J$40,MATCH($B472,Listas!$I$2:$I$40,0))),""))</f>
        <v/>
      </c>
      <c r="P472" s="31" t="str">
        <f t="array" ref="P472">IF($A472="","",IFERROR(_xlfn.XLOOKUP($A472,'Movimentação'!$B$7:$B$1006,'Movimentação'!$F$7:$F$1006,"",0,-1),""))</f>
        <v/>
      </c>
      <c r="Q472" s="31">
        <f>IF(COUNTIFS('Manutenção'!$B$7:$B$1006,$A472,'Manutenção'!$H$7:$H$1006,"EM CONSERTO")&gt;0,1,0)</f>
        <v>0</v>
      </c>
    </row>
    <row r="473" ht="15.0" hidden="1" customHeight="1">
      <c r="A473" s="15"/>
      <c r="B473" s="17"/>
      <c r="C473" s="17"/>
      <c r="D473" s="17"/>
      <c r="E473" s="17"/>
      <c r="F473" s="17"/>
      <c r="G473" s="18"/>
      <c r="H473" s="15"/>
      <c r="I473" s="15"/>
      <c r="J473" s="24" t="str">
        <f t="array" ref="J473">IF($A473="","",IFERROR(_xlfn.XLOOKUP($A473,'Movimentação'!$B$7:$B$1006,'Movimentação'!$E$7:$E$1006,"",0,-1),""))</f>
        <v/>
      </c>
      <c r="K473" s="24" t="str">
        <f t="array" ref="K473">IF($A473="","",IFERROR(_xlfn.XLOOKUP($A473,'Movimentação'!$B$7:$B$1006,'Movimentação'!$G$7:$G$1006,"",0,-1),""))</f>
        <v/>
      </c>
      <c r="L473" s="24" t="str">
        <f t="shared" si="3"/>
        <v/>
      </c>
      <c r="M473" s="17"/>
      <c r="N473" s="30" t="str">
        <f t="array" ref="N473">IF($A473="","",IFERROR(IF(OR($L473="BAIXADO",$L473="FURTADO"),0,INDEX(Listas!$J$2:$J$40,MATCH($B473,Listas!$I$2:$I$40,0))),""))</f>
        <v/>
      </c>
      <c r="P473" s="31" t="str">
        <f t="array" ref="P473">IF($A473="","",IFERROR(_xlfn.XLOOKUP($A473,'Movimentação'!$B$7:$B$1006,'Movimentação'!$F$7:$F$1006,"",0,-1),""))</f>
        <v/>
      </c>
      <c r="Q473" s="31">
        <f>IF(COUNTIFS('Manutenção'!$B$7:$B$1006,$A473,'Manutenção'!$H$7:$H$1006,"EM CONSERTO")&gt;0,1,0)</f>
        <v>0</v>
      </c>
    </row>
    <row r="474" ht="15.0" hidden="1" customHeight="1">
      <c r="A474" s="15"/>
      <c r="B474" s="17"/>
      <c r="C474" s="17"/>
      <c r="D474" s="17"/>
      <c r="E474" s="17"/>
      <c r="F474" s="17"/>
      <c r="G474" s="18"/>
      <c r="H474" s="15"/>
      <c r="I474" s="15"/>
      <c r="J474" s="24" t="str">
        <f t="array" ref="J474">IF($A474="","",IFERROR(_xlfn.XLOOKUP($A474,'Movimentação'!$B$7:$B$1006,'Movimentação'!$E$7:$E$1006,"",0,-1),""))</f>
        <v/>
      </c>
      <c r="K474" s="24" t="str">
        <f t="array" ref="K474">IF($A474="","",IFERROR(_xlfn.XLOOKUP($A474,'Movimentação'!$B$7:$B$1006,'Movimentação'!$G$7:$G$1006,"",0,-1),""))</f>
        <v/>
      </c>
      <c r="L474" s="24" t="str">
        <f t="shared" si="3"/>
        <v/>
      </c>
      <c r="M474" s="17"/>
      <c r="N474" s="30" t="str">
        <f t="array" ref="N474">IF($A474="","",IFERROR(IF(OR($L474="BAIXADO",$L474="FURTADO"),0,INDEX(Listas!$J$2:$J$40,MATCH($B474,Listas!$I$2:$I$40,0))),""))</f>
        <v/>
      </c>
      <c r="P474" s="31" t="str">
        <f t="array" ref="P474">IF($A474="","",IFERROR(_xlfn.XLOOKUP($A474,'Movimentação'!$B$7:$B$1006,'Movimentação'!$F$7:$F$1006,"",0,-1),""))</f>
        <v/>
      </c>
      <c r="Q474" s="31">
        <f>IF(COUNTIFS('Manutenção'!$B$7:$B$1006,$A474,'Manutenção'!$H$7:$H$1006,"EM CONSERTO")&gt;0,1,0)</f>
        <v>0</v>
      </c>
    </row>
    <row r="475" ht="15.0" hidden="1" customHeight="1">
      <c r="A475" s="15"/>
      <c r="B475" s="17"/>
      <c r="C475" s="17"/>
      <c r="D475" s="17"/>
      <c r="E475" s="17"/>
      <c r="F475" s="17"/>
      <c r="G475" s="18"/>
      <c r="H475" s="15"/>
      <c r="I475" s="15"/>
      <c r="J475" s="24" t="str">
        <f t="array" ref="J475">IF($A475="","",IFERROR(_xlfn.XLOOKUP($A475,'Movimentação'!$B$7:$B$1006,'Movimentação'!$E$7:$E$1006,"",0,-1),""))</f>
        <v/>
      </c>
      <c r="K475" s="24" t="str">
        <f t="array" ref="K475">IF($A475="","",IFERROR(_xlfn.XLOOKUP($A475,'Movimentação'!$B$7:$B$1006,'Movimentação'!$G$7:$G$1006,"",0,-1),""))</f>
        <v/>
      </c>
      <c r="L475" s="24" t="str">
        <f t="shared" si="3"/>
        <v/>
      </c>
      <c r="M475" s="17"/>
      <c r="N475" s="30" t="str">
        <f t="array" ref="N475">IF($A475="","",IFERROR(IF(OR($L475="BAIXADO",$L475="FURTADO"),0,INDEX(Listas!$J$2:$J$40,MATCH($B475,Listas!$I$2:$I$40,0))),""))</f>
        <v/>
      </c>
      <c r="P475" s="31" t="str">
        <f t="array" ref="P475">IF($A475="","",IFERROR(_xlfn.XLOOKUP($A475,'Movimentação'!$B$7:$B$1006,'Movimentação'!$F$7:$F$1006,"",0,-1),""))</f>
        <v/>
      </c>
      <c r="Q475" s="31">
        <f>IF(COUNTIFS('Manutenção'!$B$7:$B$1006,$A475,'Manutenção'!$H$7:$H$1006,"EM CONSERTO")&gt;0,1,0)</f>
        <v>0</v>
      </c>
    </row>
    <row r="476" ht="15.0" hidden="1" customHeight="1">
      <c r="A476" s="15"/>
      <c r="B476" s="17"/>
      <c r="C476" s="17"/>
      <c r="D476" s="17"/>
      <c r="E476" s="17"/>
      <c r="F476" s="17"/>
      <c r="G476" s="18"/>
      <c r="H476" s="15"/>
      <c r="I476" s="15"/>
      <c r="J476" s="24" t="str">
        <f t="array" ref="J476">IF($A476="","",IFERROR(_xlfn.XLOOKUP($A476,'Movimentação'!$B$7:$B$1006,'Movimentação'!$E$7:$E$1006,"",0,-1),""))</f>
        <v/>
      </c>
      <c r="K476" s="24" t="str">
        <f t="array" ref="K476">IF($A476="","",IFERROR(_xlfn.XLOOKUP($A476,'Movimentação'!$B$7:$B$1006,'Movimentação'!$G$7:$G$1006,"",0,-1),""))</f>
        <v/>
      </c>
      <c r="L476" s="24" t="str">
        <f t="shared" si="3"/>
        <v/>
      </c>
      <c r="M476" s="17"/>
      <c r="N476" s="30" t="str">
        <f t="array" ref="N476">IF($A476="","",IFERROR(IF(OR($L476="BAIXADO",$L476="FURTADO"),0,INDEX(Listas!$J$2:$J$40,MATCH($B476,Listas!$I$2:$I$40,0))),""))</f>
        <v/>
      </c>
      <c r="P476" s="31" t="str">
        <f t="array" ref="P476">IF($A476="","",IFERROR(_xlfn.XLOOKUP($A476,'Movimentação'!$B$7:$B$1006,'Movimentação'!$F$7:$F$1006,"",0,-1),""))</f>
        <v/>
      </c>
      <c r="Q476" s="31">
        <f>IF(COUNTIFS('Manutenção'!$B$7:$B$1006,$A476,'Manutenção'!$H$7:$H$1006,"EM CONSERTO")&gt;0,1,0)</f>
        <v>0</v>
      </c>
    </row>
    <row r="477" ht="15.0" hidden="1" customHeight="1">
      <c r="A477" s="15"/>
      <c r="B477" s="17"/>
      <c r="C477" s="17"/>
      <c r="D477" s="17"/>
      <c r="E477" s="17"/>
      <c r="F477" s="17"/>
      <c r="G477" s="18"/>
      <c r="H477" s="15"/>
      <c r="I477" s="15"/>
      <c r="J477" s="24" t="str">
        <f t="array" ref="J477">IF($A477="","",IFERROR(_xlfn.XLOOKUP($A477,'Movimentação'!$B$7:$B$1006,'Movimentação'!$E$7:$E$1006,"",0,-1),""))</f>
        <v/>
      </c>
      <c r="K477" s="24" t="str">
        <f t="array" ref="K477">IF($A477="","",IFERROR(_xlfn.XLOOKUP($A477,'Movimentação'!$B$7:$B$1006,'Movimentação'!$G$7:$G$1006,"",0,-1),""))</f>
        <v/>
      </c>
      <c r="L477" s="24" t="str">
        <f t="shared" si="3"/>
        <v/>
      </c>
      <c r="M477" s="17"/>
      <c r="N477" s="30" t="str">
        <f t="array" ref="N477">IF($A477="","",IFERROR(IF(OR($L477="BAIXADO",$L477="FURTADO"),0,INDEX(Listas!$J$2:$J$40,MATCH($B477,Listas!$I$2:$I$40,0))),""))</f>
        <v/>
      </c>
      <c r="P477" s="31" t="str">
        <f t="array" ref="P477">IF($A477="","",IFERROR(_xlfn.XLOOKUP($A477,'Movimentação'!$B$7:$B$1006,'Movimentação'!$F$7:$F$1006,"",0,-1),""))</f>
        <v/>
      </c>
      <c r="Q477" s="31">
        <f>IF(COUNTIFS('Manutenção'!$B$7:$B$1006,$A477,'Manutenção'!$H$7:$H$1006,"EM CONSERTO")&gt;0,1,0)</f>
        <v>0</v>
      </c>
    </row>
    <row r="478" ht="15.0" hidden="1" customHeight="1">
      <c r="A478" s="15"/>
      <c r="B478" s="17"/>
      <c r="C478" s="17"/>
      <c r="D478" s="17"/>
      <c r="E478" s="17"/>
      <c r="F478" s="17"/>
      <c r="G478" s="18"/>
      <c r="H478" s="15"/>
      <c r="I478" s="15"/>
      <c r="J478" s="24" t="str">
        <f t="array" ref="J478">IF($A478="","",IFERROR(_xlfn.XLOOKUP($A478,'Movimentação'!$B$7:$B$1006,'Movimentação'!$E$7:$E$1006,"",0,-1),""))</f>
        <v/>
      </c>
      <c r="K478" s="24" t="str">
        <f t="array" ref="K478">IF($A478="","",IFERROR(_xlfn.XLOOKUP($A478,'Movimentação'!$B$7:$B$1006,'Movimentação'!$G$7:$G$1006,"",0,-1),""))</f>
        <v/>
      </c>
      <c r="L478" s="24" t="str">
        <f t="shared" si="3"/>
        <v/>
      </c>
      <c r="M478" s="17"/>
      <c r="N478" s="30" t="str">
        <f t="array" ref="N478">IF($A478="","",IFERROR(IF(OR($L478="BAIXADO",$L478="FURTADO"),0,INDEX(Listas!$J$2:$J$40,MATCH($B478,Listas!$I$2:$I$40,0))),""))</f>
        <v/>
      </c>
      <c r="P478" s="31" t="str">
        <f t="array" ref="P478">IF($A478="","",IFERROR(_xlfn.XLOOKUP($A478,'Movimentação'!$B$7:$B$1006,'Movimentação'!$F$7:$F$1006,"",0,-1),""))</f>
        <v/>
      </c>
      <c r="Q478" s="31">
        <f>IF(COUNTIFS('Manutenção'!$B$7:$B$1006,$A478,'Manutenção'!$H$7:$H$1006,"EM CONSERTO")&gt;0,1,0)</f>
        <v>0</v>
      </c>
    </row>
    <row r="479" ht="15.0" hidden="1" customHeight="1">
      <c r="A479" s="15"/>
      <c r="B479" s="17"/>
      <c r="C479" s="17"/>
      <c r="D479" s="17"/>
      <c r="E479" s="17"/>
      <c r="F479" s="17"/>
      <c r="G479" s="18"/>
      <c r="H479" s="15"/>
      <c r="I479" s="15"/>
      <c r="J479" s="24" t="str">
        <f t="array" ref="J479">IF($A479="","",IFERROR(_xlfn.XLOOKUP($A479,'Movimentação'!$B$7:$B$1006,'Movimentação'!$E$7:$E$1006,"",0,-1),""))</f>
        <v/>
      </c>
      <c r="K479" s="24" t="str">
        <f t="array" ref="K479">IF($A479="","",IFERROR(_xlfn.XLOOKUP($A479,'Movimentação'!$B$7:$B$1006,'Movimentação'!$G$7:$G$1006,"",0,-1),""))</f>
        <v/>
      </c>
      <c r="L479" s="24" t="str">
        <f t="shared" si="3"/>
        <v/>
      </c>
      <c r="M479" s="17"/>
      <c r="N479" s="30" t="str">
        <f t="array" ref="N479">IF($A479="","",IFERROR(IF(OR($L479="BAIXADO",$L479="FURTADO"),0,INDEX(Listas!$J$2:$J$40,MATCH($B479,Listas!$I$2:$I$40,0))),""))</f>
        <v/>
      </c>
      <c r="P479" s="31" t="str">
        <f t="array" ref="P479">IF($A479="","",IFERROR(_xlfn.XLOOKUP($A479,'Movimentação'!$B$7:$B$1006,'Movimentação'!$F$7:$F$1006,"",0,-1),""))</f>
        <v/>
      </c>
      <c r="Q479" s="31">
        <f>IF(COUNTIFS('Manutenção'!$B$7:$B$1006,$A479,'Manutenção'!$H$7:$H$1006,"EM CONSERTO")&gt;0,1,0)</f>
        <v>0</v>
      </c>
    </row>
    <row r="480" ht="15.0" hidden="1" customHeight="1">
      <c r="A480" s="15"/>
      <c r="B480" s="17"/>
      <c r="C480" s="17"/>
      <c r="D480" s="17"/>
      <c r="E480" s="17"/>
      <c r="F480" s="17"/>
      <c r="G480" s="18"/>
      <c r="H480" s="15"/>
      <c r="I480" s="15"/>
      <c r="J480" s="24" t="str">
        <f t="array" ref="J480">IF($A480="","",IFERROR(_xlfn.XLOOKUP($A480,'Movimentação'!$B$7:$B$1006,'Movimentação'!$E$7:$E$1006,"",0,-1),""))</f>
        <v/>
      </c>
      <c r="K480" s="24" t="str">
        <f t="array" ref="K480">IF($A480="","",IFERROR(_xlfn.XLOOKUP($A480,'Movimentação'!$B$7:$B$1006,'Movimentação'!$G$7:$G$1006,"",0,-1),""))</f>
        <v/>
      </c>
      <c r="L480" s="24" t="str">
        <f t="shared" si="3"/>
        <v/>
      </c>
      <c r="M480" s="17"/>
      <c r="N480" s="30" t="str">
        <f t="array" ref="N480">IF($A480="","",IFERROR(IF(OR($L480="BAIXADO",$L480="FURTADO"),0,INDEX(Listas!$J$2:$J$40,MATCH($B480,Listas!$I$2:$I$40,0))),""))</f>
        <v/>
      </c>
      <c r="P480" s="31" t="str">
        <f t="array" ref="P480">IF($A480="","",IFERROR(_xlfn.XLOOKUP($A480,'Movimentação'!$B$7:$B$1006,'Movimentação'!$F$7:$F$1006,"",0,-1),""))</f>
        <v/>
      </c>
      <c r="Q480" s="31">
        <f>IF(COUNTIFS('Manutenção'!$B$7:$B$1006,$A480,'Manutenção'!$H$7:$H$1006,"EM CONSERTO")&gt;0,1,0)</f>
        <v>0</v>
      </c>
    </row>
    <row r="481" ht="15.0" hidden="1" customHeight="1">
      <c r="A481" s="15"/>
      <c r="B481" s="17"/>
      <c r="C481" s="17"/>
      <c r="D481" s="17"/>
      <c r="E481" s="17"/>
      <c r="F481" s="17"/>
      <c r="G481" s="18"/>
      <c r="H481" s="15"/>
      <c r="I481" s="15"/>
      <c r="J481" s="24" t="str">
        <f t="array" ref="J481">IF($A481="","",IFERROR(_xlfn.XLOOKUP($A481,'Movimentação'!$B$7:$B$1006,'Movimentação'!$E$7:$E$1006,"",0,-1),""))</f>
        <v/>
      </c>
      <c r="K481" s="24" t="str">
        <f t="array" ref="K481">IF($A481="","",IFERROR(_xlfn.XLOOKUP($A481,'Movimentação'!$B$7:$B$1006,'Movimentação'!$G$7:$G$1006,"",0,-1),""))</f>
        <v/>
      </c>
      <c r="L481" s="24" t="str">
        <f t="shared" si="3"/>
        <v/>
      </c>
      <c r="M481" s="17"/>
      <c r="N481" s="30" t="str">
        <f t="array" ref="N481">IF($A481="","",IFERROR(IF(OR($L481="BAIXADO",$L481="FURTADO"),0,INDEX(Listas!$J$2:$J$40,MATCH($B481,Listas!$I$2:$I$40,0))),""))</f>
        <v/>
      </c>
      <c r="P481" s="31" t="str">
        <f t="array" ref="P481">IF($A481="","",IFERROR(_xlfn.XLOOKUP($A481,'Movimentação'!$B$7:$B$1006,'Movimentação'!$F$7:$F$1006,"",0,-1),""))</f>
        <v/>
      </c>
      <c r="Q481" s="31">
        <f>IF(COUNTIFS('Manutenção'!$B$7:$B$1006,$A481,'Manutenção'!$H$7:$H$1006,"EM CONSERTO")&gt;0,1,0)</f>
        <v>0</v>
      </c>
    </row>
    <row r="482" ht="15.0" hidden="1" customHeight="1">
      <c r="A482" s="15"/>
      <c r="B482" s="17"/>
      <c r="C482" s="17"/>
      <c r="D482" s="17"/>
      <c r="E482" s="17"/>
      <c r="F482" s="17"/>
      <c r="G482" s="18"/>
      <c r="H482" s="15"/>
      <c r="I482" s="15"/>
      <c r="J482" s="24" t="str">
        <f t="array" ref="J482">IF($A482="","",IFERROR(_xlfn.XLOOKUP($A482,'Movimentação'!$B$7:$B$1006,'Movimentação'!$E$7:$E$1006,"",0,-1),""))</f>
        <v/>
      </c>
      <c r="K482" s="24" t="str">
        <f t="array" ref="K482">IF($A482="","",IFERROR(_xlfn.XLOOKUP($A482,'Movimentação'!$B$7:$B$1006,'Movimentação'!$G$7:$G$1006,"",0,-1),""))</f>
        <v/>
      </c>
      <c r="L482" s="24" t="str">
        <f t="shared" si="3"/>
        <v/>
      </c>
      <c r="M482" s="17"/>
      <c r="N482" s="30" t="str">
        <f t="array" ref="N482">IF($A482="","",IFERROR(IF(OR($L482="BAIXADO",$L482="FURTADO"),0,INDEX(Listas!$J$2:$J$40,MATCH($B482,Listas!$I$2:$I$40,0))),""))</f>
        <v/>
      </c>
      <c r="P482" s="31" t="str">
        <f t="array" ref="P482">IF($A482="","",IFERROR(_xlfn.XLOOKUP($A482,'Movimentação'!$B$7:$B$1006,'Movimentação'!$F$7:$F$1006,"",0,-1),""))</f>
        <v/>
      </c>
      <c r="Q482" s="31">
        <f>IF(COUNTIFS('Manutenção'!$B$7:$B$1006,$A482,'Manutenção'!$H$7:$H$1006,"EM CONSERTO")&gt;0,1,0)</f>
        <v>0</v>
      </c>
    </row>
    <row r="483" ht="15.0" hidden="1" customHeight="1">
      <c r="A483" s="15"/>
      <c r="B483" s="17"/>
      <c r="C483" s="17"/>
      <c r="D483" s="17"/>
      <c r="E483" s="17"/>
      <c r="F483" s="17"/>
      <c r="G483" s="18"/>
      <c r="H483" s="15"/>
      <c r="I483" s="15"/>
      <c r="J483" s="24" t="str">
        <f t="array" ref="J483">IF($A483="","",IFERROR(_xlfn.XLOOKUP($A483,'Movimentação'!$B$7:$B$1006,'Movimentação'!$E$7:$E$1006,"",0,-1),""))</f>
        <v/>
      </c>
      <c r="K483" s="24" t="str">
        <f t="array" ref="K483">IF($A483="","",IFERROR(_xlfn.XLOOKUP($A483,'Movimentação'!$B$7:$B$1006,'Movimentação'!$G$7:$G$1006,"",0,-1),""))</f>
        <v/>
      </c>
      <c r="L483" s="24" t="str">
        <f t="shared" si="3"/>
        <v/>
      </c>
      <c r="M483" s="17"/>
      <c r="N483" s="30" t="str">
        <f t="array" ref="N483">IF($A483="","",IFERROR(IF(OR($L483="BAIXADO",$L483="FURTADO"),0,INDEX(Listas!$J$2:$J$40,MATCH($B483,Listas!$I$2:$I$40,0))),""))</f>
        <v/>
      </c>
      <c r="P483" s="31" t="str">
        <f t="array" ref="P483">IF($A483="","",IFERROR(_xlfn.XLOOKUP($A483,'Movimentação'!$B$7:$B$1006,'Movimentação'!$F$7:$F$1006,"",0,-1),""))</f>
        <v/>
      </c>
      <c r="Q483" s="31">
        <f>IF(COUNTIFS('Manutenção'!$B$7:$B$1006,$A483,'Manutenção'!$H$7:$H$1006,"EM CONSERTO")&gt;0,1,0)</f>
        <v>0</v>
      </c>
    </row>
    <row r="484" ht="15.0" hidden="1" customHeight="1">
      <c r="A484" s="15"/>
      <c r="B484" s="17"/>
      <c r="C484" s="17"/>
      <c r="D484" s="17"/>
      <c r="E484" s="17"/>
      <c r="F484" s="17"/>
      <c r="G484" s="18"/>
      <c r="H484" s="15"/>
      <c r="I484" s="15"/>
      <c r="J484" s="24" t="str">
        <f t="array" ref="J484">IF($A484="","",IFERROR(_xlfn.XLOOKUP($A484,'Movimentação'!$B$7:$B$1006,'Movimentação'!$E$7:$E$1006,"",0,-1),""))</f>
        <v/>
      </c>
      <c r="K484" s="24" t="str">
        <f t="array" ref="K484">IF($A484="","",IFERROR(_xlfn.XLOOKUP($A484,'Movimentação'!$B$7:$B$1006,'Movimentação'!$G$7:$G$1006,"",0,-1),""))</f>
        <v/>
      </c>
      <c r="L484" s="24" t="str">
        <f t="shared" si="3"/>
        <v/>
      </c>
      <c r="M484" s="17"/>
      <c r="N484" s="30" t="str">
        <f t="array" ref="N484">IF($A484="","",IFERROR(IF(OR($L484="BAIXADO",$L484="FURTADO"),0,INDEX(Listas!$J$2:$J$40,MATCH($B484,Listas!$I$2:$I$40,0))),""))</f>
        <v/>
      </c>
      <c r="P484" s="31" t="str">
        <f t="array" ref="P484">IF($A484="","",IFERROR(_xlfn.XLOOKUP($A484,'Movimentação'!$B$7:$B$1006,'Movimentação'!$F$7:$F$1006,"",0,-1),""))</f>
        <v/>
      </c>
      <c r="Q484" s="31">
        <f>IF(COUNTIFS('Manutenção'!$B$7:$B$1006,$A484,'Manutenção'!$H$7:$H$1006,"EM CONSERTO")&gt;0,1,0)</f>
        <v>0</v>
      </c>
    </row>
    <row r="485" ht="15.0" hidden="1" customHeight="1">
      <c r="A485" s="15"/>
      <c r="B485" s="17"/>
      <c r="C485" s="17"/>
      <c r="D485" s="17"/>
      <c r="E485" s="17"/>
      <c r="F485" s="17"/>
      <c r="G485" s="18"/>
      <c r="H485" s="15"/>
      <c r="I485" s="15"/>
      <c r="J485" s="24" t="str">
        <f t="array" ref="J485">IF($A485="","",IFERROR(_xlfn.XLOOKUP($A485,'Movimentação'!$B$7:$B$1006,'Movimentação'!$E$7:$E$1006,"",0,-1),""))</f>
        <v/>
      </c>
      <c r="K485" s="24" t="str">
        <f t="array" ref="K485">IF($A485="","",IFERROR(_xlfn.XLOOKUP($A485,'Movimentação'!$B$7:$B$1006,'Movimentação'!$G$7:$G$1006,"",0,-1),""))</f>
        <v/>
      </c>
      <c r="L485" s="24" t="str">
        <f t="shared" si="3"/>
        <v/>
      </c>
      <c r="M485" s="17"/>
      <c r="N485" s="30" t="str">
        <f t="array" ref="N485">IF($A485="","",IFERROR(IF(OR($L485="BAIXADO",$L485="FURTADO"),0,INDEX(Listas!$J$2:$J$40,MATCH($B485,Listas!$I$2:$I$40,0))),""))</f>
        <v/>
      </c>
      <c r="P485" s="31" t="str">
        <f t="array" ref="P485">IF($A485="","",IFERROR(_xlfn.XLOOKUP($A485,'Movimentação'!$B$7:$B$1006,'Movimentação'!$F$7:$F$1006,"",0,-1),""))</f>
        <v/>
      </c>
      <c r="Q485" s="31">
        <f>IF(COUNTIFS('Manutenção'!$B$7:$B$1006,$A485,'Manutenção'!$H$7:$H$1006,"EM CONSERTO")&gt;0,1,0)</f>
        <v>0</v>
      </c>
    </row>
    <row r="486" ht="15.0" hidden="1" customHeight="1">
      <c r="A486" s="15"/>
      <c r="B486" s="17"/>
      <c r="C486" s="17"/>
      <c r="D486" s="17"/>
      <c r="E486" s="17"/>
      <c r="F486" s="17"/>
      <c r="G486" s="18"/>
      <c r="H486" s="15"/>
      <c r="I486" s="15"/>
      <c r="J486" s="24" t="str">
        <f t="array" ref="J486">IF($A486="","",IFERROR(_xlfn.XLOOKUP($A486,'Movimentação'!$B$7:$B$1006,'Movimentação'!$E$7:$E$1006,"",0,-1),""))</f>
        <v/>
      </c>
      <c r="K486" s="24" t="str">
        <f t="array" ref="K486">IF($A486="","",IFERROR(_xlfn.XLOOKUP($A486,'Movimentação'!$B$7:$B$1006,'Movimentação'!$G$7:$G$1006,"",0,-1),""))</f>
        <v/>
      </c>
      <c r="L486" s="24" t="str">
        <f t="shared" si="3"/>
        <v/>
      </c>
      <c r="M486" s="17"/>
      <c r="N486" s="30" t="str">
        <f t="array" ref="N486">IF($A486="","",IFERROR(IF(OR($L486="BAIXADO",$L486="FURTADO"),0,INDEX(Listas!$J$2:$J$40,MATCH($B486,Listas!$I$2:$I$40,0))),""))</f>
        <v/>
      </c>
      <c r="P486" s="31" t="str">
        <f t="array" ref="P486">IF($A486="","",IFERROR(_xlfn.XLOOKUP($A486,'Movimentação'!$B$7:$B$1006,'Movimentação'!$F$7:$F$1006,"",0,-1),""))</f>
        <v/>
      </c>
      <c r="Q486" s="31">
        <f>IF(COUNTIFS('Manutenção'!$B$7:$B$1006,$A486,'Manutenção'!$H$7:$H$1006,"EM CONSERTO")&gt;0,1,0)</f>
        <v>0</v>
      </c>
    </row>
    <row r="487" ht="15.0" hidden="1" customHeight="1">
      <c r="A487" s="15"/>
      <c r="B487" s="17"/>
      <c r="C487" s="17"/>
      <c r="D487" s="17"/>
      <c r="E487" s="17"/>
      <c r="F487" s="17"/>
      <c r="G487" s="18"/>
      <c r="H487" s="15"/>
      <c r="I487" s="15"/>
      <c r="J487" s="24" t="str">
        <f t="array" ref="J487">IF($A487="","",IFERROR(_xlfn.XLOOKUP($A487,'Movimentação'!$B$7:$B$1006,'Movimentação'!$E$7:$E$1006,"",0,-1),""))</f>
        <v/>
      </c>
      <c r="K487" s="24" t="str">
        <f t="array" ref="K487">IF($A487="","",IFERROR(_xlfn.XLOOKUP($A487,'Movimentação'!$B$7:$B$1006,'Movimentação'!$G$7:$G$1006,"",0,-1),""))</f>
        <v/>
      </c>
      <c r="L487" s="24" t="str">
        <f t="shared" si="3"/>
        <v/>
      </c>
      <c r="M487" s="17"/>
      <c r="N487" s="30" t="str">
        <f t="array" ref="N487">IF($A487="","",IFERROR(IF(OR($L487="BAIXADO",$L487="FURTADO"),0,INDEX(Listas!$J$2:$J$40,MATCH($B487,Listas!$I$2:$I$40,0))),""))</f>
        <v/>
      </c>
      <c r="P487" s="31" t="str">
        <f t="array" ref="P487">IF($A487="","",IFERROR(_xlfn.XLOOKUP($A487,'Movimentação'!$B$7:$B$1006,'Movimentação'!$F$7:$F$1006,"",0,-1),""))</f>
        <v/>
      </c>
      <c r="Q487" s="31">
        <f>IF(COUNTIFS('Manutenção'!$B$7:$B$1006,$A487,'Manutenção'!$H$7:$H$1006,"EM CONSERTO")&gt;0,1,0)</f>
        <v>0</v>
      </c>
    </row>
    <row r="488" ht="15.0" hidden="1" customHeight="1">
      <c r="A488" s="15"/>
      <c r="B488" s="17"/>
      <c r="C488" s="17"/>
      <c r="D488" s="17"/>
      <c r="E488" s="17"/>
      <c r="F488" s="17"/>
      <c r="G488" s="18"/>
      <c r="H488" s="15"/>
      <c r="I488" s="15"/>
      <c r="J488" s="24" t="str">
        <f t="array" ref="J488">IF($A488="","",IFERROR(_xlfn.XLOOKUP($A488,'Movimentação'!$B$7:$B$1006,'Movimentação'!$E$7:$E$1006,"",0,-1),""))</f>
        <v/>
      </c>
      <c r="K488" s="24" t="str">
        <f t="array" ref="K488">IF($A488="","",IFERROR(_xlfn.XLOOKUP($A488,'Movimentação'!$B$7:$B$1006,'Movimentação'!$G$7:$G$1006,"",0,-1),""))</f>
        <v/>
      </c>
      <c r="L488" s="24" t="str">
        <f t="shared" si="3"/>
        <v/>
      </c>
      <c r="M488" s="17"/>
      <c r="N488" s="30" t="str">
        <f t="array" ref="N488">IF($A488="","",IFERROR(IF(OR($L488="BAIXADO",$L488="FURTADO"),0,INDEX(Listas!$J$2:$J$40,MATCH($B488,Listas!$I$2:$I$40,0))),""))</f>
        <v/>
      </c>
      <c r="P488" s="31" t="str">
        <f t="array" ref="P488">IF($A488="","",IFERROR(_xlfn.XLOOKUP($A488,'Movimentação'!$B$7:$B$1006,'Movimentação'!$F$7:$F$1006,"",0,-1),""))</f>
        <v/>
      </c>
      <c r="Q488" s="31">
        <f>IF(COUNTIFS('Manutenção'!$B$7:$B$1006,$A488,'Manutenção'!$H$7:$H$1006,"EM CONSERTO")&gt;0,1,0)</f>
        <v>0</v>
      </c>
    </row>
    <row r="489" ht="15.0" hidden="1" customHeight="1">
      <c r="A489" s="15"/>
      <c r="B489" s="17"/>
      <c r="C489" s="17"/>
      <c r="D489" s="17"/>
      <c r="E489" s="17"/>
      <c r="F489" s="17"/>
      <c r="G489" s="18"/>
      <c r="H489" s="15"/>
      <c r="I489" s="15"/>
      <c r="J489" s="24" t="str">
        <f t="array" ref="J489">IF($A489="","",IFERROR(_xlfn.XLOOKUP($A489,'Movimentação'!$B$7:$B$1006,'Movimentação'!$E$7:$E$1006,"",0,-1),""))</f>
        <v/>
      </c>
      <c r="K489" s="24" t="str">
        <f t="array" ref="K489">IF($A489="","",IFERROR(_xlfn.XLOOKUP($A489,'Movimentação'!$B$7:$B$1006,'Movimentação'!$G$7:$G$1006,"",0,-1),""))</f>
        <v/>
      </c>
      <c r="L489" s="24" t="str">
        <f t="shared" si="3"/>
        <v/>
      </c>
      <c r="M489" s="17"/>
      <c r="N489" s="30" t="str">
        <f t="array" ref="N489">IF($A489="","",IFERROR(IF(OR($L489="BAIXADO",$L489="FURTADO"),0,INDEX(Listas!$J$2:$J$40,MATCH($B489,Listas!$I$2:$I$40,0))),""))</f>
        <v/>
      </c>
      <c r="P489" s="31" t="str">
        <f t="array" ref="P489">IF($A489="","",IFERROR(_xlfn.XLOOKUP($A489,'Movimentação'!$B$7:$B$1006,'Movimentação'!$F$7:$F$1006,"",0,-1),""))</f>
        <v/>
      </c>
      <c r="Q489" s="31">
        <f>IF(COUNTIFS('Manutenção'!$B$7:$B$1006,$A489,'Manutenção'!$H$7:$H$1006,"EM CONSERTO")&gt;0,1,0)</f>
        <v>0</v>
      </c>
    </row>
    <row r="490" ht="15.0" hidden="1" customHeight="1">
      <c r="A490" s="15"/>
      <c r="B490" s="17"/>
      <c r="C490" s="17"/>
      <c r="D490" s="17"/>
      <c r="E490" s="17"/>
      <c r="F490" s="17"/>
      <c r="G490" s="18"/>
      <c r="H490" s="15"/>
      <c r="I490" s="15"/>
      <c r="J490" s="24" t="str">
        <f t="array" ref="J490">IF($A490="","",IFERROR(_xlfn.XLOOKUP($A490,'Movimentação'!$B$7:$B$1006,'Movimentação'!$E$7:$E$1006,"",0,-1),""))</f>
        <v/>
      </c>
      <c r="K490" s="24" t="str">
        <f t="array" ref="K490">IF($A490="","",IFERROR(_xlfn.XLOOKUP($A490,'Movimentação'!$B$7:$B$1006,'Movimentação'!$G$7:$G$1006,"",0,-1),""))</f>
        <v/>
      </c>
      <c r="L490" s="24" t="str">
        <f t="shared" si="3"/>
        <v/>
      </c>
      <c r="M490" s="17"/>
      <c r="N490" s="30" t="str">
        <f t="array" ref="N490">IF($A490="","",IFERROR(IF(OR($L490="BAIXADO",$L490="FURTADO"),0,INDEX(Listas!$J$2:$J$40,MATCH($B490,Listas!$I$2:$I$40,0))),""))</f>
        <v/>
      </c>
      <c r="P490" s="31" t="str">
        <f t="array" ref="P490">IF($A490="","",IFERROR(_xlfn.XLOOKUP($A490,'Movimentação'!$B$7:$B$1006,'Movimentação'!$F$7:$F$1006,"",0,-1),""))</f>
        <v/>
      </c>
      <c r="Q490" s="31">
        <f>IF(COUNTIFS('Manutenção'!$B$7:$B$1006,$A490,'Manutenção'!$H$7:$H$1006,"EM CONSERTO")&gt;0,1,0)</f>
        <v>0</v>
      </c>
    </row>
    <row r="491" ht="15.0" hidden="1" customHeight="1">
      <c r="A491" s="15"/>
      <c r="B491" s="17"/>
      <c r="C491" s="17"/>
      <c r="D491" s="17"/>
      <c r="E491" s="17"/>
      <c r="F491" s="17"/>
      <c r="G491" s="18"/>
      <c r="H491" s="15"/>
      <c r="I491" s="15"/>
      <c r="J491" s="24" t="str">
        <f t="array" ref="J491">IF($A491="","",IFERROR(_xlfn.XLOOKUP($A491,'Movimentação'!$B$7:$B$1006,'Movimentação'!$E$7:$E$1006,"",0,-1),""))</f>
        <v/>
      </c>
      <c r="K491" s="24" t="str">
        <f t="array" ref="K491">IF($A491="","",IFERROR(_xlfn.XLOOKUP($A491,'Movimentação'!$B$7:$B$1006,'Movimentação'!$G$7:$G$1006,"",0,-1),""))</f>
        <v/>
      </c>
      <c r="L491" s="24" t="str">
        <f t="shared" si="3"/>
        <v/>
      </c>
      <c r="M491" s="17"/>
      <c r="N491" s="30" t="str">
        <f t="array" ref="N491">IF($A491="","",IFERROR(IF(OR($L491="BAIXADO",$L491="FURTADO"),0,INDEX(Listas!$J$2:$J$40,MATCH($B491,Listas!$I$2:$I$40,0))),""))</f>
        <v/>
      </c>
      <c r="P491" s="31" t="str">
        <f t="array" ref="P491">IF($A491="","",IFERROR(_xlfn.XLOOKUP($A491,'Movimentação'!$B$7:$B$1006,'Movimentação'!$F$7:$F$1006,"",0,-1),""))</f>
        <v/>
      </c>
      <c r="Q491" s="31">
        <f>IF(COUNTIFS('Manutenção'!$B$7:$B$1006,$A491,'Manutenção'!$H$7:$H$1006,"EM CONSERTO")&gt;0,1,0)</f>
        <v>0</v>
      </c>
    </row>
    <row r="492" ht="15.0" hidden="1" customHeight="1">
      <c r="A492" s="15"/>
      <c r="B492" s="17"/>
      <c r="C492" s="17"/>
      <c r="D492" s="17"/>
      <c r="E492" s="17"/>
      <c r="F492" s="17"/>
      <c r="G492" s="18"/>
      <c r="H492" s="15"/>
      <c r="I492" s="15"/>
      <c r="J492" s="24" t="str">
        <f t="array" ref="J492">IF($A492="","",IFERROR(_xlfn.XLOOKUP($A492,'Movimentação'!$B$7:$B$1006,'Movimentação'!$E$7:$E$1006,"",0,-1),""))</f>
        <v/>
      </c>
      <c r="K492" s="24" t="str">
        <f t="array" ref="K492">IF($A492="","",IFERROR(_xlfn.XLOOKUP($A492,'Movimentação'!$B$7:$B$1006,'Movimentação'!$G$7:$G$1006,"",0,-1),""))</f>
        <v/>
      </c>
      <c r="L492" s="24" t="str">
        <f t="shared" si="3"/>
        <v/>
      </c>
      <c r="M492" s="17"/>
      <c r="N492" s="30" t="str">
        <f t="array" ref="N492">IF($A492="","",IFERROR(IF(OR($L492="BAIXADO",$L492="FURTADO"),0,INDEX(Listas!$J$2:$J$40,MATCH($B492,Listas!$I$2:$I$40,0))),""))</f>
        <v/>
      </c>
      <c r="P492" s="31" t="str">
        <f t="array" ref="P492">IF($A492="","",IFERROR(_xlfn.XLOOKUP($A492,'Movimentação'!$B$7:$B$1006,'Movimentação'!$F$7:$F$1006,"",0,-1),""))</f>
        <v/>
      </c>
      <c r="Q492" s="31">
        <f>IF(COUNTIFS('Manutenção'!$B$7:$B$1006,$A492,'Manutenção'!$H$7:$H$1006,"EM CONSERTO")&gt;0,1,0)</f>
        <v>0</v>
      </c>
    </row>
    <row r="493" ht="15.0" hidden="1" customHeight="1">
      <c r="A493" s="15"/>
      <c r="B493" s="17"/>
      <c r="C493" s="17"/>
      <c r="D493" s="17"/>
      <c r="E493" s="17"/>
      <c r="F493" s="17"/>
      <c r="G493" s="18"/>
      <c r="H493" s="15"/>
      <c r="I493" s="15"/>
      <c r="J493" s="24" t="str">
        <f t="array" ref="J493">IF($A493="","",IFERROR(_xlfn.XLOOKUP($A493,'Movimentação'!$B$7:$B$1006,'Movimentação'!$E$7:$E$1006,"",0,-1),""))</f>
        <v/>
      </c>
      <c r="K493" s="24" t="str">
        <f t="array" ref="K493">IF($A493="","",IFERROR(_xlfn.XLOOKUP($A493,'Movimentação'!$B$7:$B$1006,'Movimentação'!$G$7:$G$1006,"",0,-1),""))</f>
        <v/>
      </c>
      <c r="L493" s="24" t="str">
        <f t="shared" si="3"/>
        <v/>
      </c>
      <c r="M493" s="17"/>
      <c r="N493" s="30" t="str">
        <f t="array" ref="N493">IF($A493="","",IFERROR(IF(OR($L493="BAIXADO",$L493="FURTADO"),0,INDEX(Listas!$J$2:$J$40,MATCH($B493,Listas!$I$2:$I$40,0))),""))</f>
        <v/>
      </c>
      <c r="P493" s="31" t="str">
        <f t="array" ref="P493">IF($A493="","",IFERROR(_xlfn.XLOOKUP($A493,'Movimentação'!$B$7:$B$1006,'Movimentação'!$F$7:$F$1006,"",0,-1),""))</f>
        <v/>
      </c>
      <c r="Q493" s="31">
        <f>IF(COUNTIFS('Manutenção'!$B$7:$B$1006,$A493,'Manutenção'!$H$7:$H$1006,"EM CONSERTO")&gt;0,1,0)</f>
        <v>0</v>
      </c>
    </row>
    <row r="494" ht="15.0" hidden="1" customHeight="1">
      <c r="A494" s="15"/>
      <c r="B494" s="17"/>
      <c r="C494" s="17"/>
      <c r="D494" s="17"/>
      <c r="E494" s="17"/>
      <c r="F494" s="17"/>
      <c r="G494" s="18"/>
      <c r="H494" s="15"/>
      <c r="I494" s="15"/>
      <c r="J494" s="24" t="str">
        <f t="array" ref="J494">IF($A494="","",IFERROR(_xlfn.XLOOKUP($A494,'Movimentação'!$B$7:$B$1006,'Movimentação'!$E$7:$E$1006,"",0,-1),""))</f>
        <v/>
      </c>
      <c r="K494" s="24" t="str">
        <f t="array" ref="K494">IF($A494="","",IFERROR(_xlfn.XLOOKUP($A494,'Movimentação'!$B$7:$B$1006,'Movimentação'!$G$7:$G$1006,"",0,-1),""))</f>
        <v/>
      </c>
      <c r="L494" s="24" t="str">
        <f t="shared" si="3"/>
        <v/>
      </c>
      <c r="M494" s="17"/>
      <c r="N494" s="30" t="str">
        <f t="array" ref="N494">IF($A494="","",IFERROR(IF(OR($L494="BAIXADO",$L494="FURTADO"),0,INDEX(Listas!$J$2:$J$40,MATCH($B494,Listas!$I$2:$I$40,0))),""))</f>
        <v/>
      </c>
      <c r="P494" s="31" t="str">
        <f t="array" ref="P494">IF($A494="","",IFERROR(_xlfn.XLOOKUP($A494,'Movimentação'!$B$7:$B$1006,'Movimentação'!$F$7:$F$1006,"",0,-1),""))</f>
        <v/>
      </c>
      <c r="Q494" s="31">
        <f>IF(COUNTIFS('Manutenção'!$B$7:$B$1006,$A494,'Manutenção'!$H$7:$H$1006,"EM CONSERTO")&gt;0,1,0)</f>
        <v>0</v>
      </c>
    </row>
    <row r="495" ht="15.0" hidden="1" customHeight="1">
      <c r="A495" s="15"/>
      <c r="B495" s="17"/>
      <c r="C495" s="17"/>
      <c r="D495" s="17"/>
      <c r="E495" s="17"/>
      <c r="F495" s="17"/>
      <c r="G495" s="18"/>
      <c r="H495" s="15"/>
      <c r="I495" s="15"/>
      <c r="J495" s="24" t="str">
        <f t="array" ref="J495">IF($A495="","",IFERROR(_xlfn.XLOOKUP($A495,'Movimentação'!$B$7:$B$1006,'Movimentação'!$E$7:$E$1006,"",0,-1),""))</f>
        <v/>
      </c>
      <c r="K495" s="24" t="str">
        <f t="array" ref="K495">IF($A495="","",IFERROR(_xlfn.XLOOKUP($A495,'Movimentação'!$B$7:$B$1006,'Movimentação'!$G$7:$G$1006,"",0,-1),""))</f>
        <v/>
      </c>
      <c r="L495" s="24" t="str">
        <f t="shared" si="3"/>
        <v/>
      </c>
      <c r="M495" s="17"/>
      <c r="N495" s="30" t="str">
        <f t="array" ref="N495">IF($A495="","",IFERROR(IF(OR($L495="BAIXADO",$L495="FURTADO"),0,INDEX(Listas!$J$2:$J$40,MATCH($B495,Listas!$I$2:$I$40,0))),""))</f>
        <v/>
      </c>
      <c r="P495" s="31" t="str">
        <f t="array" ref="P495">IF($A495="","",IFERROR(_xlfn.XLOOKUP($A495,'Movimentação'!$B$7:$B$1006,'Movimentação'!$F$7:$F$1006,"",0,-1),""))</f>
        <v/>
      </c>
      <c r="Q495" s="31">
        <f>IF(COUNTIFS('Manutenção'!$B$7:$B$1006,$A495,'Manutenção'!$H$7:$H$1006,"EM CONSERTO")&gt;0,1,0)</f>
        <v>0</v>
      </c>
    </row>
    <row r="496" ht="15.0" hidden="1" customHeight="1">
      <c r="A496" s="15"/>
      <c r="B496" s="17"/>
      <c r="C496" s="17"/>
      <c r="D496" s="17"/>
      <c r="E496" s="17"/>
      <c r="F496" s="17"/>
      <c r="G496" s="18"/>
      <c r="H496" s="15"/>
      <c r="I496" s="15"/>
      <c r="J496" s="24" t="str">
        <f t="array" ref="J496">IF($A496="","",IFERROR(_xlfn.XLOOKUP($A496,'Movimentação'!$B$7:$B$1006,'Movimentação'!$E$7:$E$1006,"",0,-1),""))</f>
        <v/>
      </c>
      <c r="K496" s="24" t="str">
        <f t="array" ref="K496">IF($A496="","",IFERROR(_xlfn.XLOOKUP($A496,'Movimentação'!$B$7:$B$1006,'Movimentação'!$G$7:$G$1006,"",0,-1),""))</f>
        <v/>
      </c>
      <c r="L496" s="24" t="str">
        <f t="shared" si="3"/>
        <v/>
      </c>
      <c r="M496" s="17"/>
      <c r="N496" s="30" t="str">
        <f t="array" ref="N496">IF($A496="","",IFERROR(IF(OR($L496="BAIXADO",$L496="FURTADO"),0,INDEX(Listas!$J$2:$J$40,MATCH($B496,Listas!$I$2:$I$40,0))),""))</f>
        <v/>
      </c>
      <c r="P496" s="31" t="str">
        <f t="array" ref="P496">IF($A496="","",IFERROR(_xlfn.XLOOKUP($A496,'Movimentação'!$B$7:$B$1006,'Movimentação'!$F$7:$F$1006,"",0,-1),""))</f>
        <v/>
      </c>
      <c r="Q496" s="31">
        <f>IF(COUNTIFS('Manutenção'!$B$7:$B$1006,$A496,'Manutenção'!$H$7:$H$1006,"EM CONSERTO")&gt;0,1,0)</f>
        <v>0</v>
      </c>
    </row>
    <row r="497" ht="15.0" hidden="1" customHeight="1">
      <c r="A497" s="15"/>
      <c r="B497" s="17"/>
      <c r="C497" s="17"/>
      <c r="D497" s="17"/>
      <c r="E497" s="17"/>
      <c r="F497" s="17"/>
      <c r="G497" s="18"/>
      <c r="H497" s="15"/>
      <c r="I497" s="15"/>
      <c r="J497" s="24" t="str">
        <f t="array" ref="J497">IF($A497="","",IFERROR(_xlfn.XLOOKUP($A497,'Movimentação'!$B$7:$B$1006,'Movimentação'!$E$7:$E$1006,"",0,-1),""))</f>
        <v/>
      </c>
      <c r="K497" s="24" t="str">
        <f t="array" ref="K497">IF($A497="","",IFERROR(_xlfn.XLOOKUP($A497,'Movimentação'!$B$7:$B$1006,'Movimentação'!$G$7:$G$1006,"",0,-1),""))</f>
        <v/>
      </c>
      <c r="L497" s="24" t="str">
        <f t="shared" si="3"/>
        <v/>
      </c>
      <c r="M497" s="17"/>
      <c r="N497" s="30" t="str">
        <f t="array" ref="N497">IF($A497="","",IFERROR(IF(OR($L497="BAIXADO",$L497="FURTADO"),0,INDEX(Listas!$J$2:$J$40,MATCH($B497,Listas!$I$2:$I$40,0))),""))</f>
        <v/>
      </c>
      <c r="P497" s="31" t="str">
        <f t="array" ref="P497">IF($A497="","",IFERROR(_xlfn.XLOOKUP($A497,'Movimentação'!$B$7:$B$1006,'Movimentação'!$F$7:$F$1006,"",0,-1),""))</f>
        <v/>
      </c>
      <c r="Q497" s="31">
        <f>IF(COUNTIFS('Manutenção'!$B$7:$B$1006,$A497,'Manutenção'!$H$7:$H$1006,"EM CONSERTO")&gt;0,1,0)</f>
        <v>0</v>
      </c>
    </row>
    <row r="498" ht="15.0" hidden="1" customHeight="1">
      <c r="A498" s="15"/>
      <c r="B498" s="17"/>
      <c r="C498" s="17"/>
      <c r="D498" s="17"/>
      <c r="E498" s="17"/>
      <c r="F498" s="17"/>
      <c r="G498" s="18"/>
      <c r="H498" s="15"/>
      <c r="I498" s="15"/>
      <c r="J498" s="24" t="str">
        <f t="array" ref="J498">IF($A498="","",IFERROR(_xlfn.XLOOKUP($A498,'Movimentação'!$B$7:$B$1006,'Movimentação'!$E$7:$E$1006,"",0,-1),""))</f>
        <v/>
      </c>
      <c r="K498" s="24" t="str">
        <f t="array" ref="K498">IF($A498="","",IFERROR(_xlfn.XLOOKUP($A498,'Movimentação'!$B$7:$B$1006,'Movimentação'!$G$7:$G$1006,"",0,-1),""))</f>
        <v/>
      </c>
      <c r="L498" s="24" t="str">
        <f t="shared" si="3"/>
        <v/>
      </c>
      <c r="M498" s="17"/>
      <c r="N498" s="30" t="str">
        <f t="array" ref="N498">IF($A498="","",IFERROR(IF(OR($L498="BAIXADO",$L498="FURTADO"),0,INDEX(Listas!$J$2:$J$40,MATCH($B498,Listas!$I$2:$I$40,0))),""))</f>
        <v/>
      </c>
      <c r="P498" s="31" t="str">
        <f t="array" ref="P498">IF($A498="","",IFERROR(_xlfn.XLOOKUP($A498,'Movimentação'!$B$7:$B$1006,'Movimentação'!$F$7:$F$1006,"",0,-1),""))</f>
        <v/>
      </c>
      <c r="Q498" s="31">
        <f>IF(COUNTIFS('Manutenção'!$B$7:$B$1006,$A498,'Manutenção'!$H$7:$H$1006,"EM CONSERTO")&gt;0,1,0)</f>
        <v>0</v>
      </c>
    </row>
    <row r="499" ht="15.0" hidden="1" customHeight="1">
      <c r="A499" s="15"/>
      <c r="B499" s="17"/>
      <c r="C499" s="17"/>
      <c r="D499" s="17"/>
      <c r="E499" s="17"/>
      <c r="F499" s="17"/>
      <c r="G499" s="18"/>
      <c r="H499" s="15"/>
      <c r="I499" s="15"/>
      <c r="J499" s="24" t="str">
        <f t="array" ref="J499">IF($A499="","",IFERROR(_xlfn.XLOOKUP($A499,'Movimentação'!$B$7:$B$1006,'Movimentação'!$E$7:$E$1006,"",0,-1),""))</f>
        <v/>
      </c>
      <c r="K499" s="24" t="str">
        <f t="array" ref="K499">IF($A499="","",IFERROR(_xlfn.XLOOKUP($A499,'Movimentação'!$B$7:$B$1006,'Movimentação'!$G$7:$G$1006,"",0,-1),""))</f>
        <v/>
      </c>
      <c r="L499" s="24" t="str">
        <f t="shared" si="3"/>
        <v/>
      </c>
      <c r="M499" s="17"/>
      <c r="N499" s="30" t="str">
        <f t="array" ref="N499">IF($A499="","",IFERROR(IF(OR($L499="BAIXADO",$L499="FURTADO"),0,INDEX(Listas!$J$2:$J$40,MATCH($B499,Listas!$I$2:$I$40,0))),""))</f>
        <v/>
      </c>
      <c r="P499" s="31" t="str">
        <f t="array" ref="P499">IF($A499="","",IFERROR(_xlfn.XLOOKUP($A499,'Movimentação'!$B$7:$B$1006,'Movimentação'!$F$7:$F$1006,"",0,-1),""))</f>
        <v/>
      </c>
      <c r="Q499" s="31">
        <f>IF(COUNTIFS('Manutenção'!$B$7:$B$1006,$A499,'Manutenção'!$H$7:$H$1006,"EM CONSERTO")&gt;0,1,0)</f>
        <v>0</v>
      </c>
    </row>
    <row r="500" ht="15.0" hidden="1" customHeight="1">
      <c r="A500" s="15"/>
      <c r="B500" s="17"/>
      <c r="C500" s="17"/>
      <c r="D500" s="17"/>
      <c r="E500" s="17"/>
      <c r="F500" s="17"/>
      <c r="G500" s="18"/>
      <c r="H500" s="15"/>
      <c r="I500" s="15"/>
      <c r="J500" s="24" t="str">
        <f t="array" ref="J500">IF($A500="","",IFERROR(_xlfn.XLOOKUP($A500,'Movimentação'!$B$7:$B$1006,'Movimentação'!$E$7:$E$1006,"",0,-1),""))</f>
        <v/>
      </c>
      <c r="K500" s="24" t="str">
        <f t="array" ref="K500">IF($A500="","",IFERROR(_xlfn.XLOOKUP($A500,'Movimentação'!$B$7:$B$1006,'Movimentação'!$G$7:$G$1006,"",0,-1),""))</f>
        <v/>
      </c>
      <c r="L500" s="24" t="str">
        <f t="shared" si="3"/>
        <v/>
      </c>
      <c r="M500" s="17"/>
      <c r="N500" s="30" t="str">
        <f t="array" ref="N500">IF($A500="","",IFERROR(IF(OR($L500="BAIXADO",$L500="FURTADO"),0,INDEX(Listas!$J$2:$J$40,MATCH($B500,Listas!$I$2:$I$40,0))),""))</f>
        <v/>
      </c>
      <c r="P500" s="31" t="str">
        <f t="array" ref="P500">IF($A500="","",IFERROR(_xlfn.XLOOKUP($A500,'Movimentação'!$B$7:$B$1006,'Movimentação'!$F$7:$F$1006,"",0,-1),""))</f>
        <v/>
      </c>
      <c r="Q500" s="31">
        <f>IF(COUNTIFS('Manutenção'!$B$7:$B$1006,$A500,'Manutenção'!$H$7:$H$1006,"EM CONSERTO")&gt;0,1,0)</f>
        <v>0</v>
      </c>
    </row>
    <row r="501" ht="15.0" hidden="1" customHeight="1">
      <c r="A501" s="15"/>
      <c r="B501" s="17"/>
      <c r="C501" s="17"/>
      <c r="D501" s="17"/>
      <c r="E501" s="17"/>
      <c r="F501" s="17"/>
      <c r="G501" s="18"/>
      <c r="H501" s="15"/>
      <c r="I501" s="15"/>
      <c r="J501" s="24" t="str">
        <f t="array" ref="J501">IF($A501="","",IFERROR(_xlfn.XLOOKUP($A501,'Movimentação'!$B$7:$B$1006,'Movimentação'!$E$7:$E$1006,"",0,-1),""))</f>
        <v/>
      </c>
      <c r="K501" s="24" t="str">
        <f t="array" ref="K501">IF($A501="","",IFERROR(_xlfn.XLOOKUP($A501,'Movimentação'!$B$7:$B$1006,'Movimentação'!$G$7:$G$1006,"",0,-1),""))</f>
        <v/>
      </c>
      <c r="L501" s="24" t="str">
        <f t="shared" si="3"/>
        <v/>
      </c>
      <c r="M501" s="17"/>
      <c r="N501" s="30" t="str">
        <f t="array" ref="N501">IF($A501="","",IFERROR(IF(OR($L501="BAIXADO",$L501="FURTADO"),0,INDEX(Listas!$J$2:$J$40,MATCH($B501,Listas!$I$2:$I$40,0))),""))</f>
        <v/>
      </c>
      <c r="P501" s="31" t="str">
        <f t="array" ref="P501">IF($A501="","",IFERROR(_xlfn.XLOOKUP($A501,'Movimentação'!$B$7:$B$1006,'Movimentação'!$F$7:$F$1006,"",0,-1),""))</f>
        <v/>
      </c>
      <c r="Q501" s="31">
        <f>IF(COUNTIFS('Manutenção'!$B$7:$B$1006,$A501,'Manutenção'!$H$7:$H$1006,"EM CONSERTO")&gt;0,1,0)</f>
        <v>0</v>
      </c>
    </row>
    <row r="502" ht="15.0" hidden="1" customHeight="1">
      <c r="A502" s="15"/>
      <c r="B502" s="17"/>
      <c r="C502" s="17"/>
      <c r="D502" s="17"/>
      <c r="E502" s="17"/>
      <c r="F502" s="17"/>
      <c r="G502" s="18"/>
      <c r="H502" s="15"/>
      <c r="I502" s="15"/>
      <c r="J502" s="24" t="str">
        <f t="array" ref="J502">IF($A502="","",IFERROR(_xlfn.XLOOKUP($A502,'Movimentação'!$B$7:$B$1006,'Movimentação'!$E$7:$E$1006,"",0,-1),""))</f>
        <v/>
      </c>
      <c r="K502" s="24" t="str">
        <f t="array" ref="K502">IF($A502="","",IFERROR(_xlfn.XLOOKUP($A502,'Movimentação'!$B$7:$B$1006,'Movimentação'!$G$7:$G$1006,"",0,-1),""))</f>
        <v/>
      </c>
      <c r="L502" s="24" t="str">
        <f t="shared" si="3"/>
        <v/>
      </c>
      <c r="M502" s="17"/>
      <c r="N502" s="30" t="str">
        <f t="array" ref="N502">IF($A502="","",IFERROR(IF(OR($L502="BAIXADO",$L502="FURTADO"),0,INDEX(Listas!$J$2:$J$40,MATCH($B502,Listas!$I$2:$I$40,0))),""))</f>
        <v/>
      </c>
      <c r="P502" s="31" t="str">
        <f t="array" ref="P502">IF($A502="","",IFERROR(_xlfn.XLOOKUP($A502,'Movimentação'!$B$7:$B$1006,'Movimentação'!$F$7:$F$1006,"",0,-1),""))</f>
        <v/>
      </c>
      <c r="Q502" s="31">
        <f>IF(COUNTIFS('Manutenção'!$B$7:$B$1006,$A502,'Manutenção'!$H$7:$H$1006,"EM CONSERTO")&gt;0,1,0)</f>
        <v>0</v>
      </c>
    </row>
    <row r="503" ht="15.0" hidden="1" customHeight="1">
      <c r="A503" s="15"/>
      <c r="B503" s="17"/>
      <c r="C503" s="17"/>
      <c r="D503" s="17"/>
      <c r="E503" s="17"/>
      <c r="F503" s="17"/>
      <c r="G503" s="18"/>
      <c r="H503" s="15"/>
      <c r="I503" s="15"/>
      <c r="J503" s="24" t="str">
        <f t="array" ref="J503">IF($A503="","",IFERROR(_xlfn.XLOOKUP($A503,'Movimentação'!$B$7:$B$1006,'Movimentação'!$E$7:$E$1006,"",0,-1),""))</f>
        <v/>
      </c>
      <c r="K503" s="24" t="str">
        <f t="array" ref="K503">IF($A503="","",IFERROR(_xlfn.XLOOKUP($A503,'Movimentação'!$B$7:$B$1006,'Movimentação'!$G$7:$G$1006,"",0,-1),""))</f>
        <v/>
      </c>
      <c r="L503" s="24" t="str">
        <f t="shared" si="3"/>
        <v/>
      </c>
      <c r="M503" s="17"/>
      <c r="N503" s="30" t="str">
        <f t="array" ref="N503">IF($A503="","",IFERROR(IF(OR($L503="BAIXADO",$L503="FURTADO"),0,INDEX(Listas!$J$2:$J$40,MATCH($B503,Listas!$I$2:$I$40,0))),""))</f>
        <v/>
      </c>
      <c r="P503" s="31" t="str">
        <f t="array" ref="P503">IF($A503="","",IFERROR(_xlfn.XLOOKUP($A503,'Movimentação'!$B$7:$B$1006,'Movimentação'!$F$7:$F$1006,"",0,-1),""))</f>
        <v/>
      </c>
      <c r="Q503" s="31">
        <f>IF(COUNTIFS('Manutenção'!$B$7:$B$1006,$A503,'Manutenção'!$H$7:$H$1006,"EM CONSERTO")&gt;0,1,0)</f>
        <v>0</v>
      </c>
    </row>
    <row r="504" ht="15.0" hidden="1" customHeight="1">
      <c r="A504" s="15"/>
      <c r="B504" s="17"/>
      <c r="C504" s="17"/>
      <c r="D504" s="17"/>
      <c r="E504" s="17"/>
      <c r="F504" s="17"/>
      <c r="G504" s="18"/>
      <c r="H504" s="15"/>
      <c r="I504" s="15"/>
      <c r="J504" s="24" t="str">
        <f t="array" ref="J504">IF($A504="","",IFERROR(_xlfn.XLOOKUP($A504,'Movimentação'!$B$7:$B$1006,'Movimentação'!$E$7:$E$1006,"",0,-1),""))</f>
        <v/>
      </c>
      <c r="K504" s="24" t="str">
        <f t="array" ref="K504">IF($A504="","",IFERROR(_xlfn.XLOOKUP($A504,'Movimentação'!$B$7:$B$1006,'Movimentação'!$G$7:$G$1006,"",0,-1),""))</f>
        <v/>
      </c>
      <c r="L504" s="24" t="str">
        <f t="shared" si="3"/>
        <v/>
      </c>
      <c r="M504" s="17"/>
      <c r="N504" s="30" t="str">
        <f t="array" ref="N504">IF($A504="","",IFERROR(IF(OR($L504="BAIXADO",$L504="FURTADO"),0,INDEX(Listas!$J$2:$J$40,MATCH($B504,Listas!$I$2:$I$40,0))),""))</f>
        <v/>
      </c>
      <c r="P504" s="31" t="str">
        <f t="array" ref="P504">IF($A504="","",IFERROR(_xlfn.XLOOKUP($A504,'Movimentação'!$B$7:$B$1006,'Movimentação'!$F$7:$F$1006,"",0,-1),""))</f>
        <v/>
      </c>
      <c r="Q504" s="31">
        <f>IF(COUNTIFS('Manutenção'!$B$7:$B$1006,$A504,'Manutenção'!$H$7:$H$1006,"EM CONSERTO")&gt;0,1,0)</f>
        <v>0</v>
      </c>
    </row>
    <row r="505" ht="15.0" hidden="1" customHeight="1">
      <c r="A505" s="15"/>
      <c r="B505" s="17"/>
      <c r="C505" s="17"/>
      <c r="D505" s="17"/>
      <c r="E505" s="17"/>
      <c r="F505" s="17"/>
      <c r="G505" s="18"/>
      <c r="H505" s="15"/>
      <c r="I505" s="15"/>
      <c r="J505" s="24" t="str">
        <f t="array" ref="J505">IF($A505="","",IFERROR(_xlfn.XLOOKUP($A505,'Movimentação'!$B$7:$B$1006,'Movimentação'!$E$7:$E$1006,"",0,-1),""))</f>
        <v/>
      </c>
      <c r="K505" s="24" t="str">
        <f t="array" ref="K505">IF($A505="","",IFERROR(_xlfn.XLOOKUP($A505,'Movimentação'!$B$7:$B$1006,'Movimentação'!$G$7:$G$1006,"",0,-1),""))</f>
        <v/>
      </c>
      <c r="L505" s="24" t="str">
        <f t="shared" si="3"/>
        <v/>
      </c>
      <c r="M505" s="17"/>
      <c r="N505" s="30" t="str">
        <f t="array" ref="N505">IF($A505="","",IFERROR(IF(OR($L505="BAIXADO",$L505="FURTADO"),0,INDEX(Listas!$J$2:$J$40,MATCH($B505,Listas!$I$2:$I$40,0))),""))</f>
        <v/>
      </c>
      <c r="P505" s="31" t="str">
        <f t="array" ref="P505">IF($A505="","",IFERROR(_xlfn.XLOOKUP($A505,'Movimentação'!$B$7:$B$1006,'Movimentação'!$F$7:$F$1006,"",0,-1),""))</f>
        <v/>
      </c>
      <c r="Q505" s="31">
        <f>IF(COUNTIFS('Manutenção'!$B$7:$B$1006,$A505,'Manutenção'!$H$7:$H$1006,"EM CONSERTO")&gt;0,1,0)</f>
        <v>0</v>
      </c>
    </row>
    <row r="506" ht="15.0" hidden="1" customHeight="1">
      <c r="A506" s="15"/>
      <c r="B506" s="17"/>
      <c r="C506" s="17"/>
      <c r="D506" s="17"/>
      <c r="E506" s="17"/>
      <c r="F506" s="17"/>
      <c r="G506" s="18"/>
      <c r="H506" s="15"/>
      <c r="I506" s="15"/>
      <c r="J506" s="24" t="str">
        <f t="array" ref="J506">IF($A506="","",IFERROR(_xlfn.XLOOKUP($A506,'Movimentação'!$B$7:$B$1006,'Movimentação'!$E$7:$E$1006,"",0,-1),""))</f>
        <v/>
      </c>
      <c r="K506" s="24" t="str">
        <f t="array" ref="K506">IF($A506="","",IFERROR(_xlfn.XLOOKUP($A506,'Movimentação'!$B$7:$B$1006,'Movimentação'!$G$7:$G$1006,"",0,-1),""))</f>
        <v/>
      </c>
      <c r="L506" s="24" t="str">
        <f t="shared" si="3"/>
        <v/>
      </c>
      <c r="M506" s="17"/>
      <c r="N506" s="30" t="str">
        <f t="array" ref="N506">IF($A506="","",IFERROR(IF(OR($L506="BAIXADO",$L506="FURTADO"),0,INDEX(Listas!$J$2:$J$40,MATCH($B506,Listas!$I$2:$I$40,0))),""))</f>
        <v/>
      </c>
      <c r="P506" s="31" t="str">
        <f t="array" ref="P506">IF($A506="","",IFERROR(_xlfn.XLOOKUP($A506,'Movimentação'!$B$7:$B$1006,'Movimentação'!$F$7:$F$1006,"",0,-1),""))</f>
        <v/>
      </c>
      <c r="Q506" s="31">
        <f>IF(COUNTIFS('Manutenção'!$B$7:$B$1006,$A506,'Manutenção'!$H$7:$H$1006,"EM CONSERTO")&gt;0,1,0)</f>
        <v>0</v>
      </c>
    </row>
    <row r="507" ht="15.0" hidden="1" customHeight="1">
      <c r="A507" s="15"/>
      <c r="B507" s="17"/>
      <c r="C507" s="17"/>
      <c r="D507" s="17"/>
      <c r="E507" s="17"/>
      <c r="F507" s="17"/>
      <c r="G507" s="18"/>
      <c r="H507" s="15"/>
      <c r="I507" s="15"/>
      <c r="J507" s="24" t="str">
        <f t="array" ref="J507">IF($A507="","",IFERROR(_xlfn.XLOOKUP($A507,'Movimentação'!$B$7:$B$1006,'Movimentação'!$E$7:$E$1006,"",0,-1),""))</f>
        <v/>
      </c>
      <c r="K507" s="24" t="str">
        <f t="array" ref="K507">IF($A507="","",IFERROR(_xlfn.XLOOKUP($A507,'Movimentação'!$B$7:$B$1006,'Movimentação'!$G$7:$G$1006,"",0,-1),""))</f>
        <v/>
      </c>
      <c r="L507" s="24" t="str">
        <f t="shared" si="3"/>
        <v/>
      </c>
      <c r="M507" s="17"/>
      <c r="N507" s="30" t="str">
        <f t="array" ref="N507">IF($A507="","",IFERROR(IF(OR($L507="BAIXADO",$L507="FURTADO"),0,INDEX(Listas!$J$2:$J$40,MATCH($B507,Listas!$I$2:$I$40,0))),""))</f>
        <v/>
      </c>
      <c r="P507" s="31" t="str">
        <f t="array" ref="P507">IF($A507="","",IFERROR(_xlfn.XLOOKUP($A507,'Movimentação'!$B$7:$B$1006,'Movimentação'!$F$7:$F$1006,"",0,-1),""))</f>
        <v/>
      </c>
      <c r="Q507" s="31">
        <f>IF(COUNTIFS('Manutenção'!$B$7:$B$1006,$A507,'Manutenção'!$H$7:$H$1006,"EM CONSERTO")&gt;0,1,0)</f>
        <v>0</v>
      </c>
    </row>
    <row r="508" ht="15.0" hidden="1" customHeight="1">
      <c r="A508" s="15"/>
      <c r="B508" s="17"/>
      <c r="C508" s="17"/>
      <c r="D508" s="17"/>
      <c r="E508" s="17"/>
      <c r="F508" s="17"/>
      <c r="G508" s="18"/>
      <c r="H508" s="15"/>
      <c r="I508" s="15"/>
      <c r="J508" s="24" t="str">
        <f t="array" ref="J508">IF($A508="","",IFERROR(_xlfn.XLOOKUP($A508,'Movimentação'!$B$7:$B$1006,'Movimentação'!$E$7:$E$1006,"",0,-1),""))</f>
        <v/>
      </c>
      <c r="K508" s="24" t="str">
        <f t="array" ref="K508">IF($A508="","",IFERROR(_xlfn.XLOOKUP($A508,'Movimentação'!$B$7:$B$1006,'Movimentação'!$G$7:$G$1006,"",0,-1),""))</f>
        <v/>
      </c>
      <c r="L508" s="24" t="str">
        <f t="shared" si="3"/>
        <v/>
      </c>
      <c r="M508" s="17"/>
      <c r="N508" s="30" t="str">
        <f t="array" ref="N508">IF($A508="","",IFERROR(IF(OR($L508="BAIXADO",$L508="FURTADO"),0,INDEX(Listas!$J$2:$J$40,MATCH($B508,Listas!$I$2:$I$40,0))),""))</f>
        <v/>
      </c>
      <c r="P508" s="31" t="str">
        <f t="array" ref="P508">IF($A508="","",IFERROR(_xlfn.XLOOKUP($A508,'Movimentação'!$B$7:$B$1006,'Movimentação'!$F$7:$F$1006,"",0,-1),""))</f>
        <v/>
      </c>
      <c r="Q508" s="31">
        <f>IF(COUNTIFS('Manutenção'!$B$7:$B$1006,$A508,'Manutenção'!$H$7:$H$1006,"EM CONSERTO")&gt;0,1,0)</f>
        <v>0</v>
      </c>
    </row>
    <row r="509" ht="15.0" hidden="1" customHeight="1">
      <c r="A509" s="15"/>
      <c r="B509" s="17"/>
      <c r="C509" s="17"/>
      <c r="D509" s="17"/>
      <c r="E509" s="17"/>
      <c r="F509" s="17"/>
      <c r="G509" s="18"/>
      <c r="H509" s="15"/>
      <c r="I509" s="15"/>
      <c r="J509" s="24" t="str">
        <f t="array" ref="J509">IF($A509="","",IFERROR(_xlfn.XLOOKUP($A509,'Movimentação'!$B$7:$B$1006,'Movimentação'!$E$7:$E$1006,"",0,-1),""))</f>
        <v/>
      </c>
      <c r="K509" s="24" t="str">
        <f t="array" ref="K509">IF($A509="","",IFERROR(_xlfn.XLOOKUP($A509,'Movimentação'!$B$7:$B$1006,'Movimentação'!$G$7:$G$1006,"",0,-1),""))</f>
        <v/>
      </c>
      <c r="L509" s="24" t="str">
        <f t="shared" si="3"/>
        <v/>
      </c>
      <c r="M509" s="17"/>
      <c r="N509" s="30" t="str">
        <f t="array" ref="N509">IF($A509="","",IFERROR(IF(OR($L509="BAIXADO",$L509="FURTADO"),0,INDEX(Listas!$J$2:$J$40,MATCH($B509,Listas!$I$2:$I$40,0))),""))</f>
        <v/>
      </c>
      <c r="P509" s="31" t="str">
        <f t="array" ref="P509">IF($A509="","",IFERROR(_xlfn.XLOOKUP($A509,'Movimentação'!$B$7:$B$1006,'Movimentação'!$F$7:$F$1006,"",0,-1),""))</f>
        <v/>
      </c>
      <c r="Q509" s="31">
        <f>IF(COUNTIFS('Manutenção'!$B$7:$B$1006,$A509,'Manutenção'!$H$7:$H$1006,"EM CONSERTO")&gt;0,1,0)</f>
        <v>0</v>
      </c>
    </row>
    <row r="510" ht="15.0" hidden="1" customHeight="1">
      <c r="A510" s="15"/>
      <c r="B510" s="17"/>
      <c r="C510" s="17"/>
      <c r="D510" s="17"/>
      <c r="E510" s="17"/>
      <c r="F510" s="17"/>
      <c r="G510" s="18"/>
      <c r="H510" s="15"/>
      <c r="I510" s="15"/>
      <c r="J510" s="24" t="str">
        <f t="array" ref="J510">IF($A510="","",IFERROR(_xlfn.XLOOKUP($A510,'Movimentação'!$B$7:$B$1006,'Movimentação'!$E$7:$E$1006,"",0,-1),""))</f>
        <v/>
      </c>
      <c r="K510" s="24" t="str">
        <f t="array" ref="K510">IF($A510="","",IFERROR(_xlfn.XLOOKUP($A510,'Movimentação'!$B$7:$B$1006,'Movimentação'!$G$7:$G$1006,"",0,-1),""))</f>
        <v/>
      </c>
      <c r="L510" s="24" t="str">
        <f t="shared" si="3"/>
        <v/>
      </c>
      <c r="M510" s="17"/>
      <c r="N510" s="30" t="str">
        <f t="array" ref="N510">IF($A510="","",IFERROR(IF(OR($L510="BAIXADO",$L510="FURTADO"),0,INDEX(Listas!$J$2:$J$40,MATCH($B510,Listas!$I$2:$I$40,0))),""))</f>
        <v/>
      </c>
      <c r="P510" s="31" t="str">
        <f t="array" ref="P510">IF($A510="","",IFERROR(_xlfn.XLOOKUP($A510,'Movimentação'!$B$7:$B$1006,'Movimentação'!$F$7:$F$1006,"",0,-1),""))</f>
        <v/>
      </c>
      <c r="Q510" s="31">
        <f>IF(COUNTIFS('Manutenção'!$B$7:$B$1006,$A510,'Manutenção'!$H$7:$H$1006,"EM CONSERTO")&gt;0,1,0)</f>
        <v>0</v>
      </c>
    </row>
    <row r="511" ht="15.0" hidden="1" customHeight="1">
      <c r="A511" s="15"/>
      <c r="B511" s="17"/>
      <c r="C511" s="17"/>
      <c r="D511" s="17"/>
      <c r="E511" s="17"/>
      <c r="F511" s="17"/>
      <c r="G511" s="18"/>
      <c r="H511" s="15"/>
      <c r="I511" s="15"/>
      <c r="J511" s="24" t="str">
        <f t="array" ref="J511">IF($A511="","",IFERROR(_xlfn.XLOOKUP($A511,'Movimentação'!$B$7:$B$1006,'Movimentação'!$E$7:$E$1006,"",0,-1),""))</f>
        <v/>
      </c>
      <c r="K511" s="24" t="str">
        <f t="array" ref="K511">IF($A511="","",IFERROR(_xlfn.XLOOKUP($A511,'Movimentação'!$B$7:$B$1006,'Movimentação'!$G$7:$G$1006,"",0,-1),""))</f>
        <v/>
      </c>
      <c r="L511" s="24" t="str">
        <f t="shared" si="3"/>
        <v/>
      </c>
      <c r="M511" s="17"/>
      <c r="N511" s="30" t="str">
        <f t="array" ref="N511">IF($A511="","",IFERROR(IF(OR($L511="BAIXADO",$L511="FURTADO"),0,INDEX(Listas!$J$2:$J$40,MATCH($B511,Listas!$I$2:$I$40,0))),""))</f>
        <v/>
      </c>
      <c r="P511" s="31" t="str">
        <f t="array" ref="P511">IF($A511="","",IFERROR(_xlfn.XLOOKUP($A511,'Movimentação'!$B$7:$B$1006,'Movimentação'!$F$7:$F$1006,"",0,-1),""))</f>
        <v/>
      </c>
      <c r="Q511" s="31">
        <f>IF(COUNTIFS('Manutenção'!$B$7:$B$1006,$A511,'Manutenção'!$H$7:$H$1006,"EM CONSERTO")&gt;0,1,0)</f>
        <v>0</v>
      </c>
    </row>
    <row r="512" ht="15.0" hidden="1" customHeight="1">
      <c r="A512" s="15"/>
      <c r="B512" s="17"/>
      <c r="C512" s="17"/>
      <c r="D512" s="17"/>
      <c r="E512" s="17"/>
      <c r="F512" s="17"/>
      <c r="G512" s="18"/>
      <c r="H512" s="15"/>
      <c r="I512" s="15"/>
      <c r="J512" s="24" t="str">
        <f t="array" ref="J512">IF($A512="","",IFERROR(_xlfn.XLOOKUP($A512,'Movimentação'!$B$7:$B$1006,'Movimentação'!$E$7:$E$1006,"",0,-1),""))</f>
        <v/>
      </c>
      <c r="K512" s="24" t="str">
        <f t="array" ref="K512">IF($A512="","",IFERROR(_xlfn.XLOOKUP($A512,'Movimentação'!$B$7:$B$1006,'Movimentação'!$G$7:$G$1006,"",0,-1),""))</f>
        <v/>
      </c>
      <c r="L512" s="24" t="str">
        <f t="shared" si="3"/>
        <v/>
      </c>
      <c r="M512" s="17"/>
      <c r="N512" s="30" t="str">
        <f t="array" ref="N512">IF($A512="","",IFERROR(IF(OR($L512="BAIXADO",$L512="FURTADO"),0,INDEX(Listas!$J$2:$J$40,MATCH($B512,Listas!$I$2:$I$40,0))),""))</f>
        <v/>
      </c>
      <c r="P512" s="31" t="str">
        <f t="array" ref="P512">IF($A512="","",IFERROR(_xlfn.XLOOKUP($A512,'Movimentação'!$B$7:$B$1006,'Movimentação'!$F$7:$F$1006,"",0,-1),""))</f>
        <v/>
      </c>
      <c r="Q512" s="31">
        <f>IF(COUNTIFS('Manutenção'!$B$7:$B$1006,$A512,'Manutenção'!$H$7:$H$1006,"EM CONSERTO")&gt;0,1,0)</f>
        <v>0</v>
      </c>
    </row>
    <row r="513" ht="15.0" hidden="1" customHeight="1">
      <c r="A513" s="15"/>
      <c r="B513" s="17"/>
      <c r="C513" s="17"/>
      <c r="D513" s="17"/>
      <c r="E513" s="17"/>
      <c r="F513" s="17"/>
      <c r="G513" s="18"/>
      <c r="H513" s="15"/>
      <c r="I513" s="15"/>
      <c r="J513" s="24" t="str">
        <f t="array" ref="J513">IF($A513="","",IFERROR(_xlfn.XLOOKUP($A513,'Movimentação'!$B$7:$B$1006,'Movimentação'!$E$7:$E$1006,"",0,-1),""))</f>
        <v/>
      </c>
      <c r="K513" s="24" t="str">
        <f t="array" ref="K513">IF($A513="","",IFERROR(_xlfn.XLOOKUP($A513,'Movimentação'!$B$7:$B$1006,'Movimentação'!$G$7:$G$1006,"",0,-1),""))</f>
        <v/>
      </c>
      <c r="L513" s="24" t="str">
        <f t="shared" si="3"/>
        <v/>
      </c>
      <c r="M513" s="17"/>
      <c r="N513" s="30" t="str">
        <f t="array" ref="N513">IF($A513="","",IFERROR(IF(OR($L513="BAIXADO",$L513="FURTADO"),0,INDEX(Listas!$J$2:$J$40,MATCH($B513,Listas!$I$2:$I$40,0))),""))</f>
        <v/>
      </c>
      <c r="P513" s="31" t="str">
        <f t="array" ref="P513">IF($A513="","",IFERROR(_xlfn.XLOOKUP($A513,'Movimentação'!$B$7:$B$1006,'Movimentação'!$F$7:$F$1006,"",0,-1),""))</f>
        <v/>
      </c>
      <c r="Q513" s="31">
        <f>IF(COUNTIFS('Manutenção'!$B$7:$B$1006,$A513,'Manutenção'!$H$7:$H$1006,"EM CONSERTO")&gt;0,1,0)</f>
        <v>0</v>
      </c>
    </row>
    <row r="514" ht="15.0" hidden="1" customHeight="1">
      <c r="A514" s="15"/>
      <c r="B514" s="17"/>
      <c r="C514" s="17"/>
      <c r="D514" s="17"/>
      <c r="E514" s="17"/>
      <c r="F514" s="17"/>
      <c r="G514" s="18"/>
      <c r="H514" s="15"/>
      <c r="I514" s="15"/>
      <c r="J514" s="24" t="str">
        <f t="array" ref="J514">IF($A514="","",IFERROR(_xlfn.XLOOKUP($A514,'Movimentação'!$B$7:$B$1006,'Movimentação'!$E$7:$E$1006,"",0,-1),""))</f>
        <v/>
      </c>
      <c r="K514" s="24" t="str">
        <f t="array" ref="K514">IF($A514="","",IFERROR(_xlfn.XLOOKUP($A514,'Movimentação'!$B$7:$B$1006,'Movimentação'!$G$7:$G$1006,"",0,-1),""))</f>
        <v/>
      </c>
      <c r="L514" s="24" t="str">
        <f t="shared" si="3"/>
        <v/>
      </c>
      <c r="M514" s="17"/>
      <c r="N514" s="30" t="str">
        <f t="array" ref="N514">IF($A514="","",IFERROR(IF(OR($L514="BAIXADO",$L514="FURTADO"),0,INDEX(Listas!$J$2:$J$40,MATCH($B514,Listas!$I$2:$I$40,0))),""))</f>
        <v/>
      </c>
      <c r="P514" s="31" t="str">
        <f t="array" ref="P514">IF($A514="","",IFERROR(_xlfn.XLOOKUP($A514,'Movimentação'!$B$7:$B$1006,'Movimentação'!$F$7:$F$1006,"",0,-1),""))</f>
        <v/>
      </c>
      <c r="Q514" s="31">
        <f>IF(COUNTIFS('Manutenção'!$B$7:$B$1006,$A514,'Manutenção'!$H$7:$H$1006,"EM CONSERTO")&gt;0,1,0)</f>
        <v>0</v>
      </c>
    </row>
    <row r="515" ht="15.0" hidden="1" customHeight="1">
      <c r="A515" s="15"/>
      <c r="B515" s="17"/>
      <c r="C515" s="17"/>
      <c r="D515" s="17"/>
      <c r="E515" s="17"/>
      <c r="F515" s="17"/>
      <c r="G515" s="18"/>
      <c r="H515" s="15"/>
      <c r="I515" s="15"/>
      <c r="J515" s="24" t="str">
        <f t="array" ref="J515">IF($A515="","",IFERROR(_xlfn.XLOOKUP($A515,'Movimentação'!$B$7:$B$1006,'Movimentação'!$E$7:$E$1006,"",0,-1),""))</f>
        <v/>
      </c>
      <c r="K515" s="24" t="str">
        <f t="array" ref="K515">IF($A515="","",IFERROR(_xlfn.XLOOKUP($A515,'Movimentação'!$B$7:$B$1006,'Movimentação'!$G$7:$G$1006,"",0,-1),""))</f>
        <v/>
      </c>
      <c r="L515" s="24" t="str">
        <f t="shared" si="3"/>
        <v/>
      </c>
      <c r="M515" s="17"/>
      <c r="N515" s="30" t="str">
        <f t="array" ref="N515">IF($A515="","",IFERROR(IF(OR($L515="BAIXADO",$L515="FURTADO"),0,INDEX(Listas!$J$2:$J$40,MATCH($B515,Listas!$I$2:$I$40,0))),""))</f>
        <v/>
      </c>
      <c r="P515" s="31" t="str">
        <f t="array" ref="P515">IF($A515="","",IFERROR(_xlfn.XLOOKUP($A515,'Movimentação'!$B$7:$B$1006,'Movimentação'!$F$7:$F$1006,"",0,-1),""))</f>
        <v/>
      </c>
      <c r="Q515" s="31">
        <f>IF(COUNTIFS('Manutenção'!$B$7:$B$1006,$A515,'Manutenção'!$H$7:$H$1006,"EM CONSERTO")&gt;0,1,0)</f>
        <v>0</v>
      </c>
    </row>
    <row r="516" ht="15.0" hidden="1" customHeight="1">
      <c r="A516" s="15"/>
      <c r="B516" s="17"/>
      <c r="C516" s="17"/>
      <c r="D516" s="17"/>
      <c r="E516" s="17"/>
      <c r="F516" s="17"/>
      <c r="G516" s="18"/>
      <c r="H516" s="15"/>
      <c r="I516" s="15"/>
      <c r="J516" s="24" t="str">
        <f t="array" ref="J516">IF($A516="","",IFERROR(_xlfn.XLOOKUP($A516,'Movimentação'!$B$7:$B$1006,'Movimentação'!$E$7:$E$1006,"",0,-1),""))</f>
        <v/>
      </c>
      <c r="K516" s="24" t="str">
        <f t="array" ref="K516">IF($A516="","",IFERROR(_xlfn.XLOOKUP($A516,'Movimentação'!$B$7:$B$1006,'Movimentação'!$G$7:$G$1006,"",0,-1),""))</f>
        <v/>
      </c>
      <c r="L516" s="24" t="str">
        <f t="shared" si="3"/>
        <v/>
      </c>
      <c r="M516" s="17"/>
      <c r="N516" s="30" t="str">
        <f t="array" ref="N516">IF($A516="","",IFERROR(IF(OR($L516="BAIXADO",$L516="FURTADO"),0,INDEX(Listas!$J$2:$J$40,MATCH($B516,Listas!$I$2:$I$40,0))),""))</f>
        <v/>
      </c>
      <c r="P516" s="31" t="str">
        <f t="array" ref="P516">IF($A516="","",IFERROR(_xlfn.XLOOKUP($A516,'Movimentação'!$B$7:$B$1006,'Movimentação'!$F$7:$F$1006,"",0,-1),""))</f>
        <v/>
      </c>
      <c r="Q516" s="31">
        <f>IF(COUNTIFS('Manutenção'!$B$7:$B$1006,$A516,'Manutenção'!$H$7:$H$1006,"EM CONSERTO")&gt;0,1,0)</f>
        <v>0</v>
      </c>
    </row>
    <row r="517" ht="15.0" hidden="1" customHeight="1">
      <c r="A517" s="15"/>
      <c r="B517" s="17"/>
      <c r="C517" s="17"/>
      <c r="D517" s="17"/>
      <c r="E517" s="17"/>
      <c r="F517" s="17"/>
      <c r="G517" s="18"/>
      <c r="H517" s="15"/>
      <c r="I517" s="15"/>
      <c r="J517" s="24" t="str">
        <f t="array" ref="J517">IF($A517="","",IFERROR(_xlfn.XLOOKUP($A517,'Movimentação'!$B$7:$B$1006,'Movimentação'!$E$7:$E$1006,"",0,-1),""))</f>
        <v/>
      </c>
      <c r="K517" s="24" t="str">
        <f t="array" ref="K517">IF($A517="","",IFERROR(_xlfn.XLOOKUP($A517,'Movimentação'!$B$7:$B$1006,'Movimentação'!$G$7:$G$1006,"",0,-1),""))</f>
        <v/>
      </c>
      <c r="L517" s="24" t="str">
        <f t="shared" si="3"/>
        <v/>
      </c>
      <c r="M517" s="17"/>
      <c r="N517" s="30" t="str">
        <f t="array" ref="N517">IF($A517="","",IFERROR(IF(OR($L517="BAIXADO",$L517="FURTADO"),0,INDEX(Listas!$J$2:$J$40,MATCH($B517,Listas!$I$2:$I$40,0))),""))</f>
        <v/>
      </c>
      <c r="P517" s="31" t="str">
        <f t="array" ref="P517">IF($A517="","",IFERROR(_xlfn.XLOOKUP($A517,'Movimentação'!$B$7:$B$1006,'Movimentação'!$F$7:$F$1006,"",0,-1),""))</f>
        <v/>
      </c>
      <c r="Q517" s="31">
        <f>IF(COUNTIFS('Manutenção'!$B$7:$B$1006,$A517,'Manutenção'!$H$7:$H$1006,"EM CONSERTO")&gt;0,1,0)</f>
        <v>0</v>
      </c>
    </row>
    <row r="518" ht="15.0" hidden="1" customHeight="1">
      <c r="A518" s="15"/>
      <c r="B518" s="17"/>
      <c r="C518" s="17"/>
      <c r="D518" s="17"/>
      <c r="E518" s="17"/>
      <c r="F518" s="17"/>
      <c r="G518" s="18"/>
      <c r="H518" s="15"/>
      <c r="I518" s="15"/>
      <c r="J518" s="24" t="str">
        <f t="array" ref="J518">IF($A518="","",IFERROR(_xlfn.XLOOKUP($A518,'Movimentação'!$B$7:$B$1006,'Movimentação'!$E$7:$E$1006,"",0,-1),""))</f>
        <v/>
      </c>
      <c r="K518" s="24" t="str">
        <f t="array" ref="K518">IF($A518="","",IFERROR(_xlfn.XLOOKUP($A518,'Movimentação'!$B$7:$B$1006,'Movimentação'!$G$7:$G$1006,"",0,-1),""))</f>
        <v/>
      </c>
      <c r="L518" s="24" t="str">
        <f t="shared" si="3"/>
        <v/>
      </c>
      <c r="M518" s="17"/>
      <c r="N518" s="30" t="str">
        <f t="array" ref="N518">IF($A518="","",IFERROR(IF(OR($L518="BAIXADO",$L518="FURTADO"),0,INDEX(Listas!$J$2:$J$40,MATCH($B518,Listas!$I$2:$I$40,0))),""))</f>
        <v/>
      </c>
      <c r="P518" s="31" t="str">
        <f t="array" ref="P518">IF($A518="","",IFERROR(_xlfn.XLOOKUP($A518,'Movimentação'!$B$7:$B$1006,'Movimentação'!$F$7:$F$1006,"",0,-1),""))</f>
        <v/>
      </c>
      <c r="Q518" s="31">
        <f>IF(COUNTIFS('Manutenção'!$B$7:$B$1006,$A518,'Manutenção'!$H$7:$H$1006,"EM CONSERTO")&gt;0,1,0)</f>
        <v>0</v>
      </c>
    </row>
    <row r="519" ht="15.0" hidden="1" customHeight="1">
      <c r="A519" s="15"/>
      <c r="B519" s="17"/>
      <c r="C519" s="17"/>
      <c r="D519" s="17"/>
      <c r="E519" s="17"/>
      <c r="F519" s="17"/>
      <c r="G519" s="18"/>
      <c r="H519" s="15"/>
      <c r="I519" s="15"/>
      <c r="J519" s="24" t="str">
        <f t="array" ref="J519">IF($A519="","",IFERROR(_xlfn.XLOOKUP($A519,'Movimentação'!$B$7:$B$1006,'Movimentação'!$E$7:$E$1006,"",0,-1),""))</f>
        <v/>
      </c>
      <c r="K519" s="24" t="str">
        <f t="array" ref="K519">IF($A519="","",IFERROR(_xlfn.XLOOKUP($A519,'Movimentação'!$B$7:$B$1006,'Movimentação'!$G$7:$G$1006,"",0,-1),""))</f>
        <v/>
      </c>
      <c r="L519" s="24" t="str">
        <f t="shared" si="3"/>
        <v/>
      </c>
      <c r="M519" s="17"/>
      <c r="N519" s="30" t="str">
        <f t="array" ref="N519">IF($A519="","",IFERROR(IF(OR($L519="BAIXADO",$L519="FURTADO"),0,INDEX(Listas!$J$2:$J$40,MATCH($B519,Listas!$I$2:$I$40,0))),""))</f>
        <v/>
      </c>
      <c r="P519" s="31" t="str">
        <f t="array" ref="P519">IF($A519="","",IFERROR(_xlfn.XLOOKUP($A519,'Movimentação'!$B$7:$B$1006,'Movimentação'!$F$7:$F$1006,"",0,-1),""))</f>
        <v/>
      </c>
      <c r="Q519" s="31">
        <f>IF(COUNTIFS('Manutenção'!$B$7:$B$1006,$A519,'Manutenção'!$H$7:$H$1006,"EM CONSERTO")&gt;0,1,0)</f>
        <v>0</v>
      </c>
    </row>
    <row r="520" ht="15.0" hidden="1" customHeight="1">
      <c r="A520" s="15"/>
      <c r="B520" s="17"/>
      <c r="C520" s="17"/>
      <c r="D520" s="17"/>
      <c r="E520" s="17"/>
      <c r="F520" s="17"/>
      <c r="G520" s="18"/>
      <c r="H520" s="15"/>
      <c r="I520" s="15"/>
      <c r="J520" s="24" t="str">
        <f t="array" ref="J520">IF($A520="","",IFERROR(_xlfn.XLOOKUP($A520,'Movimentação'!$B$7:$B$1006,'Movimentação'!$E$7:$E$1006,"",0,-1),""))</f>
        <v/>
      </c>
      <c r="K520" s="24" t="str">
        <f t="array" ref="K520">IF($A520="","",IFERROR(_xlfn.XLOOKUP($A520,'Movimentação'!$B$7:$B$1006,'Movimentação'!$G$7:$G$1006,"",0,-1),""))</f>
        <v/>
      </c>
      <c r="L520" s="24" t="str">
        <f t="shared" si="3"/>
        <v/>
      </c>
      <c r="M520" s="17"/>
      <c r="N520" s="30" t="str">
        <f t="array" ref="N520">IF($A520="","",IFERROR(IF(OR($L520="BAIXADO",$L520="FURTADO"),0,INDEX(Listas!$J$2:$J$40,MATCH($B520,Listas!$I$2:$I$40,0))),""))</f>
        <v/>
      </c>
      <c r="P520" s="31" t="str">
        <f t="array" ref="P520">IF($A520="","",IFERROR(_xlfn.XLOOKUP($A520,'Movimentação'!$B$7:$B$1006,'Movimentação'!$F$7:$F$1006,"",0,-1),""))</f>
        <v/>
      </c>
      <c r="Q520" s="31">
        <f>IF(COUNTIFS('Manutenção'!$B$7:$B$1006,$A520,'Manutenção'!$H$7:$H$1006,"EM CONSERTO")&gt;0,1,0)</f>
        <v>0</v>
      </c>
    </row>
    <row r="521" ht="15.0" hidden="1" customHeight="1">
      <c r="A521" s="15"/>
      <c r="B521" s="17"/>
      <c r="C521" s="17"/>
      <c r="D521" s="17"/>
      <c r="E521" s="17"/>
      <c r="F521" s="17"/>
      <c r="G521" s="18"/>
      <c r="H521" s="15"/>
      <c r="I521" s="15"/>
      <c r="J521" s="24" t="str">
        <f t="array" ref="J521">IF($A521="","",IFERROR(_xlfn.XLOOKUP($A521,'Movimentação'!$B$7:$B$1006,'Movimentação'!$E$7:$E$1006,"",0,-1),""))</f>
        <v/>
      </c>
      <c r="K521" s="24" t="str">
        <f t="array" ref="K521">IF($A521="","",IFERROR(_xlfn.XLOOKUP($A521,'Movimentação'!$B$7:$B$1006,'Movimentação'!$G$7:$G$1006,"",0,-1),""))</f>
        <v/>
      </c>
      <c r="L521" s="24" t="str">
        <f t="shared" si="3"/>
        <v/>
      </c>
      <c r="M521" s="17"/>
      <c r="N521" s="30" t="str">
        <f t="array" ref="N521">IF($A521="","",IFERROR(IF(OR($L521="BAIXADO",$L521="FURTADO"),0,INDEX(Listas!$J$2:$J$40,MATCH($B521,Listas!$I$2:$I$40,0))),""))</f>
        <v/>
      </c>
      <c r="P521" s="31" t="str">
        <f t="array" ref="P521">IF($A521="","",IFERROR(_xlfn.XLOOKUP($A521,'Movimentação'!$B$7:$B$1006,'Movimentação'!$F$7:$F$1006,"",0,-1),""))</f>
        <v/>
      </c>
      <c r="Q521" s="31">
        <f>IF(COUNTIFS('Manutenção'!$B$7:$B$1006,$A521,'Manutenção'!$H$7:$H$1006,"EM CONSERTO")&gt;0,1,0)</f>
        <v>0</v>
      </c>
    </row>
    <row r="522" ht="15.0" hidden="1" customHeight="1">
      <c r="A522" s="15"/>
      <c r="B522" s="17"/>
      <c r="C522" s="17"/>
      <c r="D522" s="17"/>
      <c r="E522" s="17"/>
      <c r="F522" s="17"/>
      <c r="G522" s="18"/>
      <c r="H522" s="15"/>
      <c r="I522" s="15"/>
      <c r="J522" s="24" t="str">
        <f t="array" ref="J522">IF($A522="","",IFERROR(_xlfn.XLOOKUP($A522,'Movimentação'!$B$7:$B$1006,'Movimentação'!$E$7:$E$1006,"",0,-1),""))</f>
        <v/>
      </c>
      <c r="K522" s="24" t="str">
        <f t="array" ref="K522">IF($A522="","",IFERROR(_xlfn.XLOOKUP($A522,'Movimentação'!$B$7:$B$1006,'Movimentação'!$G$7:$G$1006,"",0,-1),""))</f>
        <v/>
      </c>
      <c r="L522" s="24" t="str">
        <f t="shared" si="3"/>
        <v/>
      </c>
      <c r="M522" s="17"/>
      <c r="N522" s="30" t="str">
        <f t="array" ref="N522">IF($A522="","",IFERROR(IF(OR($L522="BAIXADO",$L522="FURTADO"),0,INDEX(Listas!$J$2:$J$40,MATCH($B522,Listas!$I$2:$I$40,0))),""))</f>
        <v/>
      </c>
      <c r="P522" s="31" t="str">
        <f t="array" ref="P522">IF($A522="","",IFERROR(_xlfn.XLOOKUP($A522,'Movimentação'!$B$7:$B$1006,'Movimentação'!$F$7:$F$1006,"",0,-1),""))</f>
        <v/>
      </c>
      <c r="Q522" s="31">
        <f>IF(COUNTIFS('Manutenção'!$B$7:$B$1006,$A522,'Manutenção'!$H$7:$H$1006,"EM CONSERTO")&gt;0,1,0)</f>
        <v>0</v>
      </c>
    </row>
    <row r="523" ht="15.0" hidden="1" customHeight="1">
      <c r="A523" s="15"/>
      <c r="B523" s="17"/>
      <c r="C523" s="17"/>
      <c r="D523" s="17"/>
      <c r="E523" s="17"/>
      <c r="F523" s="17"/>
      <c r="G523" s="18"/>
      <c r="H523" s="15"/>
      <c r="I523" s="15"/>
      <c r="J523" s="24" t="str">
        <f t="array" ref="J523">IF($A523="","",IFERROR(_xlfn.XLOOKUP($A523,'Movimentação'!$B$7:$B$1006,'Movimentação'!$E$7:$E$1006,"",0,-1),""))</f>
        <v/>
      </c>
      <c r="K523" s="24" t="str">
        <f t="array" ref="K523">IF($A523="","",IFERROR(_xlfn.XLOOKUP($A523,'Movimentação'!$B$7:$B$1006,'Movimentação'!$G$7:$G$1006,"",0,-1),""))</f>
        <v/>
      </c>
      <c r="L523" s="24" t="str">
        <f t="shared" si="3"/>
        <v/>
      </c>
      <c r="M523" s="17"/>
      <c r="N523" s="30" t="str">
        <f t="array" ref="N523">IF($A523="","",IFERROR(IF(OR($L523="BAIXADO",$L523="FURTADO"),0,INDEX(Listas!$J$2:$J$40,MATCH($B523,Listas!$I$2:$I$40,0))),""))</f>
        <v/>
      </c>
      <c r="P523" s="31" t="str">
        <f t="array" ref="P523">IF($A523="","",IFERROR(_xlfn.XLOOKUP($A523,'Movimentação'!$B$7:$B$1006,'Movimentação'!$F$7:$F$1006,"",0,-1),""))</f>
        <v/>
      </c>
      <c r="Q523" s="31">
        <f>IF(COUNTIFS('Manutenção'!$B$7:$B$1006,$A523,'Manutenção'!$H$7:$H$1006,"EM CONSERTO")&gt;0,1,0)</f>
        <v>0</v>
      </c>
    </row>
    <row r="524" ht="15.0" hidden="1" customHeight="1">
      <c r="A524" s="15"/>
      <c r="B524" s="17"/>
      <c r="C524" s="17"/>
      <c r="D524" s="17"/>
      <c r="E524" s="17"/>
      <c r="F524" s="17"/>
      <c r="G524" s="18"/>
      <c r="H524" s="15"/>
      <c r="I524" s="15"/>
      <c r="J524" s="24" t="str">
        <f t="array" ref="J524">IF($A524="","",IFERROR(_xlfn.XLOOKUP($A524,'Movimentação'!$B$7:$B$1006,'Movimentação'!$E$7:$E$1006,"",0,-1),""))</f>
        <v/>
      </c>
      <c r="K524" s="24" t="str">
        <f t="array" ref="K524">IF($A524="","",IFERROR(_xlfn.XLOOKUP($A524,'Movimentação'!$B$7:$B$1006,'Movimentação'!$G$7:$G$1006,"",0,-1),""))</f>
        <v/>
      </c>
      <c r="L524" s="24" t="str">
        <f t="shared" si="3"/>
        <v/>
      </c>
      <c r="M524" s="17"/>
      <c r="N524" s="30" t="str">
        <f t="array" ref="N524">IF($A524="","",IFERROR(IF(OR($L524="BAIXADO",$L524="FURTADO"),0,INDEX(Listas!$J$2:$J$40,MATCH($B524,Listas!$I$2:$I$40,0))),""))</f>
        <v/>
      </c>
      <c r="P524" s="31" t="str">
        <f t="array" ref="P524">IF($A524="","",IFERROR(_xlfn.XLOOKUP($A524,'Movimentação'!$B$7:$B$1006,'Movimentação'!$F$7:$F$1006,"",0,-1),""))</f>
        <v/>
      </c>
      <c r="Q524" s="31">
        <f>IF(COUNTIFS('Manutenção'!$B$7:$B$1006,$A524,'Manutenção'!$H$7:$H$1006,"EM CONSERTO")&gt;0,1,0)</f>
        <v>0</v>
      </c>
    </row>
    <row r="525" ht="15.0" hidden="1" customHeight="1">
      <c r="A525" s="15"/>
      <c r="B525" s="17"/>
      <c r="C525" s="17"/>
      <c r="D525" s="17"/>
      <c r="E525" s="17"/>
      <c r="F525" s="17"/>
      <c r="G525" s="18"/>
      <c r="H525" s="15"/>
      <c r="I525" s="15"/>
      <c r="J525" s="24" t="str">
        <f t="array" ref="J525">IF($A525="","",IFERROR(_xlfn.XLOOKUP($A525,'Movimentação'!$B$7:$B$1006,'Movimentação'!$E$7:$E$1006,"",0,-1),""))</f>
        <v/>
      </c>
      <c r="K525" s="24" t="str">
        <f t="array" ref="K525">IF($A525="","",IFERROR(_xlfn.XLOOKUP($A525,'Movimentação'!$B$7:$B$1006,'Movimentação'!$G$7:$G$1006,"",0,-1),""))</f>
        <v/>
      </c>
      <c r="L525" s="24" t="str">
        <f t="shared" si="3"/>
        <v/>
      </c>
      <c r="M525" s="17"/>
      <c r="N525" s="30" t="str">
        <f t="array" ref="N525">IF($A525="","",IFERROR(IF(OR($L525="BAIXADO",$L525="FURTADO"),0,INDEX(Listas!$J$2:$J$40,MATCH($B525,Listas!$I$2:$I$40,0))),""))</f>
        <v/>
      </c>
      <c r="P525" s="31" t="str">
        <f t="array" ref="P525">IF($A525="","",IFERROR(_xlfn.XLOOKUP($A525,'Movimentação'!$B$7:$B$1006,'Movimentação'!$F$7:$F$1006,"",0,-1),""))</f>
        <v/>
      </c>
      <c r="Q525" s="31">
        <f>IF(COUNTIFS('Manutenção'!$B$7:$B$1006,$A525,'Manutenção'!$H$7:$H$1006,"EM CONSERTO")&gt;0,1,0)</f>
        <v>0</v>
      </c>
    </row>
    <row r="526" ht="15.0" hidden="1" customHeight="1">
      <c r="A526" s="15"/>
      <c r="B526" s="17"/>
      <c r="C526" s="17"/>
      <c r="D526" s="17"/>
      <c r="E526" s="17"/>
      <c r="F526" s="17"/>
      <c r="G526" s="18"/>
      <c r="H526" s="15"/>
      <c r="I526" s="15"/>
      <c r="J526" s="24" t="str">
        <f t="array" ref="J526">IF($A526="","",IFERROR(_xlfn.XLOOKUP($A526,'Movimentação'!$B$7:$B$1006,'Movimentação'!$E$7:$E$1006,"",0,-1),""))</f>
        <v/>
      </c>
      <c r="K526" s="24" t="str">
        <f t="array" ref="K526">IF($A526="","",IFERROR(_xlfn.XLOOKUP($A526,'Movimentação'!$B$7:$B$1006,'Movimentação'!$G$7:$G$1006,"",0,-1),""))</f>
        <v/>
      </c>
      <c r="L526" s="24" t="str">
        <f t="shared" si="3"/>
        <v/>
      </c>
      <c r="M526" s="17"/>
      <c r="N526" s="30" t="str">
        <f t="array" ref="N526">IF($A526="","",IFERROR(IF(OR($L526="BAIXADO",$L526="FURTADO"),0,INDEX(Listas!$J$2:$J$40,MATCH($B526,Listas!$I$2:$I$40,0))),""))</f>
        <v/>
      </c>
      <c r="P526" s="31" t="str">
        <f t="array" ref="P526">IF($A526="","",IFERROR(_xlfn.XLOOKUP($A526,'Movimentação'!$B$7:$B$1006,'Movimentação'!$F$7:$F$1006,"",0,-1),""))</f>
        <v/>
      </c>
      <c r="Q526" s="31">
        <f>IF(COUNTIFS('Manutenção'!$B$7:$B$1006,$A526,'Manutenção'!$H$7:$H$1006,"EM CONSERTO")&gt;0,1,0)</f>
        <v>0</v>
      </c>
    </row>
    <row r="527" ht="15.0" hidden="1" customHeight="1">
      <c r="A527" s="15"/>
      <c r="B527" s="17"/>
      <c r="C527" s="17"/>
      <c r="D527" s="17"/>
      <c r="E527" s="17"/>
      <c r="F527" s="17"/>
      <c r="G527" s="18"/>
      <c r="H527" s="15"/>
      <c r="I527" s="15"/>
      <c r="J527" s="24" t="str">
        <f t="array" ref="J527">IF($A527="","",IFERROR(_xlfn.XLOOKUP($A527,'Movimentação'!$B$7:$B$1006,'Movimentação'!$E$7:$E$1006,"",0,-1),""))</f>
        <v/>
      </c>
      <c r="K527" s="24" t="str">
        <f t="array" ref="K527">IF($A527="","",IFERROR(_xlfn.XLOOKUP($A527,'Movimentação'!$B$7:$B$1006,'Movimentação'!$G$7:$G$1006,"",0,-1),""))</f>
        <v/>
      </c>
      <c r="L527" s="24" t="str">
        <f t="shared" si="3"/>
        <v/>
      </c>
      <c r="M527" s="17"/>
      <c r="N527" s="30" t="str">
        <f t="array" ref="N527">IF($A527="","",IFERROR(IF(OR($L527="BAIXADO",$L527="FURTADO"),0,INDEX(Listas!$J$2:$J$40,MATCH($B527,Listas!$I$2:$I$40,0))),""))</f>
        <v/>
      </c>
      <c r="P527" s="31" t="str">
        <f t="array" ref="P527">IF($A527="","",IFERROR(_xlfn.XLOOKUP($A527,'Movimentação'!$B$7:$B$1006,'Movimentação'!$F$7:$F$1006,"",0,-1),""))</f>
        <v/>
      </c>
      <c r="Q527" s="31">
        <f>IF(COUNTIFS('Manutenção'!$B$7:$B$1006,$A527,'Manutenção'!$H$7:$H$1006,"EM CONSERTO")&gt;0,1,0)</f>
        <v>0</v>
      </c>
    </row>
    <row r="528" ht="15.0" hidden="1" customHeight="1">
      <c r="A528" s="15"/>
      <c r="B528" s="17"/>
      <c r="C528" s="17"/>
      <c r="D528" s="17"/>
      <c r="E528" s="17"/>
      <c r="F528" s="17"/>
      <c r="G528" s="18"/>
      <c r="H528" s="15"/>
      <c r="I528" s="15"/>
      <c r="J528" s="24" t="str">
        <f t="array" ref="J528">IF($A528="","",IFERROR(_xlfn.XLOOKUP($A528,'Movimentação'!$B$7:$B$1006,'Movimentação'!$E$7:$E$1006,"",0,-1),""))</f>
        <v/>
      </c>
      <c r="K528" s="24" t="str">
        <f t="array" ref="K528">IF($A528="","",IFERROR(_xlfn.XLOOKUP($A528,'Movimentação'!$B$7:$B$1006,'Movimentação'!$G$7:$G$1006,"",0,-1),""))</f>
        <v/>
      </c>
      <c r="L528" s="24" t="str">
        <f t="shared" si="3"/>
        <v/>
      </c>
      <c r="M528" s="17"/>
      <c r="N528" s="30" t="str">
        <f t="array" ref="N528">IF($A528="","",IFERROR(IF(OR($L528="BAIXADO",$L528="FURTADO"),0,INDEX(Listas!$J$2:$J$40,MATCH($B528,Listas!$I$2:$I$40,0))),""))</f>
        <v/>
      </c>
      <c r="P528" s="31" t="str">
        <f t="array" ref="P528">IF($A528="","",IFERROR(_xlfn.XLOOKUP($A528,'Movimentação'!$B$7:$B$1006,'Movimentação'!$F$7:$F$1006,"",0,-1),""))</f>
        <v/>
      </c>
      <c r="Q528" s="31">
        <f>IF(COUNTIFS('Manutenção'!$B$7:$B$1006,$A528,'Manutenção'!$H$7:$H$1006,"EM CONSERTO")&gt;0,1,0)</f>
        <v>0</v>
      </c>
    </row>
    <row r="529" ht="15.0" hidden="1" customHeight="1">
      <c r="A529" s="15"/>
      <c r="B529" s="17"/>
      <c r="C529" s="17"/>
      <c r="D529" s="17"/>
      <c r="E529" s="17"/>
      <c r="F529" s="17"/>
      <c r="G529" s="18"/>
      <c r="H529" s="15"/>
      <c r="I529" s="15"/>
      <c r="J529" s="24" t="str">
        <f t="array" ref="J529">IF($A529="","",IFERROR(_xlfn.XLOOKUP($A529,'Movimentação'!$B$7:$B$1006,'Movimentação'!$E$7:$E$1006,"",0,-1),""))</f>
        <v/>
      </c>
      <c r="K529" s="24" t="str">
        <f t="array" ref="K529">IF($A529="","",IFERROR(_xlfn.XLOOKUP($A529,'Movimentação'!$B$7:$B$1006,'Movimentação'!$G$7:$G$1006,"",0,-1),""))</f>
        <v/>
      </c>
      <c r="L529" s="24" t="str">
        <f t="shared" si="3"/>
        <v/>
      </c>
      <c r="M529" s="17"/>
      <c r="N529" s="30" t="str">
        <f t="array" ref="N529">IF($A529="","",IFERROR(IF(OR($L529="BAIXADO",$L529="FURTADO"),0,INDEX(Listas!$J$2:$J$40,MATCH($B529,Listas!$I$2:$I$40,0))),""))</f>
        <v/>
      </c>
      <c r="P529" s="31" t="str">
        <f t="array" ref="P529">IF($A529="","",IFERROR(_xlfn.XLOOKUP($A529,'Movimentação'!$B$7:$B$1006,'Movimentação'!$F$7:$F$1006,"",0,-1),""))</f>
        <v/>
      </c>
      <c r="Q529" s="31">
        <f>IF(COUNTIFS('Manutenção'!$B$7:$B$1006,$A529,'Manutenção'!$H$7:$H$1006,"EM CONSERTO")&gt;0,1,0)</f>
        <v>0</v>
      </c>
    </row>
    <row r="530" ht="15.0" hidden="1" customHeight="1">
      <c r="A530" s="15"/>
      <c r="B530" s="17"/>
      <c r="C530" s="17"/>
      <c r="D530" s="17"/>
      <c r="E530" s="17"/>
      <c r="F530" s="17"/>
      <c r="G530" s="18"/>
      <c r="H530" s="15"/>
      <c r="I530" s="15"/>
      <c r="J530" s="24" t="str">
        <f t="array" ref="J530">IF($A530="","",IFERROR(_xlfn.XLOOKUP($A530,'Movimentação'!$B$7:$B$1006,'Movimentação'!$E$7:$E$1006,"",0,-1),""))</f>
        <v/>
      </c>
      <c r="K530" s="24" t="str">
        <f t="array" ref="K530">IF($A530="","",IFERROR(_xlfn.XLOOKUP($A530,'Movimentação'!$B$7:$B$1006,'Movimentação'!$G$7:$G$1006,"",0,-1),""))</f>
        <v/>
      </c>
      <c r="L530" s="24" t="str">
        <f t="shared" si="3"/>
        <v/>
      </c>
      <c r="M530" s="17"/>
      <c r="N530" s="30" t="str">
        <f t="array" ref="N530">IF($A530="","",IFERROR(IF(OR($L530="BAIXADO",$L530="FURTADO"),0,INDEX(Listas!$J$2:$J$40,MATCH($B530,Listas!$I$2:$I$40,0))),""))</f>
        <v/>
      </c>
      <c r="P530" s="31" t="str">
        <f t="array" ref="P530">IF($A530="","",IFERROR(_xlfn.XLOOKUP($A530,'Movimentação'!$B$7:$B$1006,'Movimentação'!$F$7:$F$1006,"",0,-1),""))</f>
        <v/>
      </c>
      <c r="Q530" s="31">
        <f>IF(COUNTIFS('Manutenção'!$B$7:$B$1006,$A530,'Manutenção'!$H$7:$H$1006,"EM CONSERTO")&gt;0,1,0)</f>
        <v>0</v>
      </c>
    </row>
    <row r="531" ht="15.0" hidden="1" customHeight="1">
      <c r="A531" s="15"/>
      <c r="B531" s="17"/>
      <c r="C531" s="17"/>
      <c r="D531" s="17"/>
      <c r="E531" s="17"/>
      <c r="F531" s="17"/>
      <c r="G531" s="18"/>
      <c r="H531" s="15"/>
      <c r="I531" s="15"/>
      <c r="J531" s="24" t="str">
        <f t="array" ref="J531">IF($A531="","",IFERROR(_xlfn.XLOOKUP($A531,'Movimentação'!$B$7:$B$1006,'Movimentação'!$E$7:$E$1006,"",0,-1),""))</f>
        <v/>
      </c>
      <c r="K531" s="24" t="str">
        <f t="array" ref="K531">IF($A531="","",IFERROR(_xlfn.XLOOKUP($A531,'Movimentação'!$B$7:$B$1006,'Movimentação'!$G$7:$G$1006,"",0,-1),""))</f>
        <v/>
      </c>
      <c r="L531" s="24" t="str">
        <f t="shared" si="3"/>
        <v/>
      </c>
      <c r="M531" s="17"/>
      <c r="N531" s="30" t="str">
        <f t="array" ref="N531">IF($A531="","",IFERROR(IF(OR($L531="BAIXADO",$L531="FURTADO"),0,INDEX(Listas!$J$2:$J$40,MATCH($B531,Listas!$I$2:$I$40,0))),""))</f>
        <v/>
      </c>
      <c r="P531" s="31" t="str">
        <f t="array" ref="P531">IF($A531="","",IFERROR(_xlfn.XLOOKUP($A531,'Movimentação'!$B$7:$B$1006,'Movimentação'!$F$7:$F$1006,"",0,-1),""))</f>
        <v/>
      </c>
      <c r="Q531" s="31">
        <f>IF(COUNTIFS('Manutenção'!$B$7:$B$1006,$A531,'Manutenção'!$H$7:$H$1006,"EM CONSERTO")&gt;0,1,0)</f>
        <v>0</v>
      </c>
    </row>
    <row r="532" ht="15.0" hidden="1" customHeight="1">
      <c r="A532" s="15"/>
      <c r="B532" s="17"/>
      <c r="C532" s="17"/>
      <c r="D532" s="17"/>
      <c r="E532" s="17"/>
      <c r="F532" s="17"/>
      <c r="G532" s="18"/>
      <c r="H532" s="15"/>
      <c r="I532" s="15"/>
      <c r="J532" s="24" t="str">
        <f t="array" ref="J532">IF($A532="","",IFERROR(_xlfn.XLOOKUP($A532,'Movimentação'!$B$7:$B$1006,'Movimentação'!$E$7:$E$1006,"",0,-1),""))</f>
        <v/>
      </c>
      <c r="K532" s="24" t="str">
        <f t="array" ref="K532">IF($A532="","",IFERROR(_xlfn.XLOOKUP($A532,'Movimentação'!$B$7:$B$1006,'Movimentação'!$G$7:$G$1006,"",0,-1),""))</f>
        <v/>
      </c>
      <c r="L532" s="24" t="str">
        <f t="shared" si="3"/>
        <v/>
      </c>
      <c r="M532" s="17"/>
      <c r="N532" s="30" t="str">
        <f t="array" ref="N532">IF($A532="","",IFERROR(IF(OR($L532="BAIXADO",$L532="FURTADO"),0,INDEX(Listas!$J$2:$J$40,MATCH($B532,Listas!$I$2:$I$40,0))),""))</f>
        <v/>
      </c>
      <c r="P532" s="31" t="str">
        <f t="array" ref="P532">IF($A532="","",IFERROR(_xlfn.XLOOKUP($A532,'Movimentação'!$B$7:$B$1006,'Movimentação'!$F$7:$F$1006,"",0,-1),""))</f>
        <v/>
      </c>
      <c r="Q532" s="31">
        <f>IF(COUNTIFS('Manutenção'!$B$7:$B$1006,$A532,'Manutenção'!$H$7:$H$1006,"EM CONSERTO")&gt;0,1,0)</f>
        <v>0</v>
      </c>
    </row>
    <row r="533" ht="15.0" hidden="1" customHeight="1">
      <c r="A533" s="15"/>
      <c r="B533" s="17"/>
      <c r="C533" s="17"/>
      <c r="D533" s="17"/>
      <c r="E533" s="17"/>
      <c r="F533" s="17"/>
      <c r="G533" s="18"/>
      <c r="H533" s="15"/>
      <c r="I533" s="15"/>
      <c r="J533" s="24" t="str">
        <f t="array" ref="J533">IF($A533="","",IFERROR(_xlfn.XLOOKUP($A533,'Movimentação'!$B$7:$B$1006,'Movimentação'!$E$7:$E$1006,"",0,-1),""))</f>
        <v/>
      </c>
      <c r="K533" s="24" t="str">
        <f t="array" ref="K533">IF($A533="","",IFERROR(_xlfn.XLOOKUP($A533,'Movimentação'!$B$7:$B$1006,'Movimentação'!$G$7:$G$1006,"",0,-1),""))</f>
        <v/>
      </c>
      <c r="L533" s="24" t="str">
        <f t="shared" si="3"/>
        <v/>
      </c>
      <c r="M533" s="17"/>
      <c r="N533" s="30" t="str">
        <f t="array" ref="N533">IF($A533="","",IFERROR(IF(OR($L533="BAIXADO",$L533="FURTADO"),0,INDEX(Listas!$J$2:$J$40,MATCH($B533,Listas!$I$2:$I$40,0))),""))</f>
        <v/>
      </c>
      <c r="P533" s="31" t="str">
        <f t="array" ref="P533">IF($A533="","",IFERROR(_xlfn.XLOOKUP($A533,'Movimentação'!$B$7:$B$1006,'Movimentação'!$F$7:$F$1006,"",0,-1),""))</f>
        <v/>
      </c>
      <c r="Q533" s="31">
        <f>IF(COUNTIFS('Manutenção'!$B$7:$B$1006,$A533,'Manutenção'!$H$7:$H$1006,"EM CONSERTO")&gt;0,1,0)</f>
        <v>0</v>
      </c>
    </row>
    <row r="534" ht="15.0" hidden="1" customHeight="1">
      <c r="A534" s="15"/>
      <c r="B534" s="17"/>
      <c r="C534" s="17"/>
      <c r="D534" s="17"/>
      <c r="E534" s="17"/>
      <c r="F534" s="17"/>
      <c r="G534" s="18"/>
      <c r="H534" s="15"/>
      <c r="I534" s="15"/>
      <c r="J534" s="24" t="str">
        <f t="array" ref="J534">IF($A534="","",IFERROR(_xlfn.XLOOKUP($A534,'Movimentação'!$B$7:$B$1006,'Movimentação'!$E$7:$E$1006,"",0,-1),""))</f>
        <v/>
      </c>
      <c r="K534" s="24" t="str">
        <f t="array" ref="K534">IF($A534="","",IFERROR(_xlfn.XLOOKUP($A534,'Movimentação'!$B$7:$B$1006,'Movimentação'!$G$7:$G$1006,"",0,-1),""))</f>
        <v/>
      </c>
      <c r="L534" s="24" t="str">
        <f t="shared" si="3"/>
        <v/>
      </c>
      <c r="M534" s="17"/>
      <c r="N534" s="30" t="str">
        <f t="array" ref="N534">IF($A534="","",IFERROR(IF(OR($L534="BAIXADO",$L534="FURTADO"),0,INDEX(Listas!$J$2:$J$40,MATCH($B534,Listas!$I$2:$I$40,0))),""))</f>
        <v/>
      </c>
      <c r="P534" s="31" t="str">
        <f t="array" ref="P534">IF($A534="","",IFERROR(_xlfn.XLOOKUP($A534,'Movimentação'!$B$7:$B$1006,'Movimentação'!$F$7:$F$1006,"",0,-1),""))</f>
        <v/>
      </c>
      <c r="Q534" s="31">
        <f>IF(COUNTIFS('Manutenção'!$B$7:$B$1006,$A534,'Manutenção'!$H$7:$H$1006,"EM CONSERTO")&gt;0,1,0)</f>
        <v>0</v>
      </c>
    </row>
    <row r="535" ht="15.0" hidden="1" customHeight="1">
      <c r="A535" s="15"/>
      <c r="B535" s="17"/>
      <c r="C535" s="17"/>
      <c r="D535" s="17"/>
      <c r="E535" s="17"/>
      <c r="F535" s="17"/>
      <c r="G535" s="18"/>
      <c r="H535" s="15"/>
      <c r="I535" s="15"/>
      <c r="J535" s="24" t="str">
        <f t="array" ref="J535">IF($A535="","",IFERROR(_xlfn.XLOOKUP($A535,'Movimentação'!$B$7:$B$1006,'Movimentação'!$E$7:$E$1006,"",0,-1),""))</f>
        <v/>
      </c>
      <c r="K535" s="24" t="str">
        <f t="array" ref="K535">IF($A535="","",IFERROR(_xlfn.XLOOKUP($A535,'Movimentação'!$B$7:$B$1006,'Movimentação'!$G$7:$G$1006,"",0,-1),""))</f>
        <v/>
      </c>
      <c r="L535" s="24" t="str">
        <f t="shared" si="3"/>
        <v/>
      </c>
      <c r="M535" s="17"/>
      <c r="N535" s="30" t="str">
        <f t="array" ref="N535">IF($A535="","",IFERROR(IF(OR($L535="BAIXADO",$L535="FURTADO"),0,INDEX(Listas!$J$2:$J$40,MATCH($B535,Listas!$I$2:$I$40,0))),""))</f>
        <v/>
      </c>
      <c r="P535" s="31" t="str">
        <f t="array" ref="P535">IF($A535="","",IFERROR(_xlfn.XLOOKUP($A535,'Movimentação'!$B$7:$B$1006,'Movimentação'!$F$7:$F$1006,"",0,-1),""))</f>
        <v/>
      </c>
      <c r="Q535" s="31">
        <f>IF(COUNTIFS('Manutenção'!$B$7:$B$1006,$A535,'Manutenção'!$H$7:$H$1006,"EM CONSERTO")&gt;0,1,0)</f>
        <v>0</v>
      </c>
    </row>
    <row r="536" ht="15.0" hidden="1" customHeight="1">
      <c r="A536" s="15"/>
      <c r="B536" s="17"/>
      <c r="C536" s="17"/>
      <c r="D536" s="17"/>
      <c r="E536" s="17"/>
      <c r="F536" s="17"/>
      <c r="G536" s="18"/>
      <c r="H536" s="15"/>
      <c r="I536" s="15"/>
      <c r="J536" s="24" t="str">
        <f t="array" ref="J536">IF($A536="","",IFERROR(_xlfn.XLOOKUP($A536,'Movimentação'!$B$7:$B$1006,'Movimentação'!$E$7:$E$1006,"",0,-1),""))</f>
        <v/>
      </c>
      <c r="K536" s="24" t="str">
        <f t="array" ref="K536">IF($A536="","",IFERROR(_xlfn.XLOOKUP($A536,'Movimentação'!$B$7:$B$1006,'Movimentação'!$G$7:$G$1006,"",0,-1),""))</f>
        <v/>
      </c>
      <c r="L536" s="24" t="str">
        <f t="shared" si="3"/>
        <v/>
      </c>
      <c r="M536" s="17"/>
      <c r="N536" s="30" t="str">
        <f t="array" ref="N536">IF($A536="","",IFERROR(IF(OR($L536="BAIXADO",$L536="FURTADO"),0,INDEX(Listas!$J$2:$J$40,MATCH($B536,Listas!$I$2:$I$40,0))),""))</f>
        <v/>
      </c>
      <c r="P536" s="31" t="str">
        <f t="array" ref="P536">IF($A536="","",IFERROR(_xlfn.XLOOKUP($A536,'Movimentação'!$B$7:$B$1006,'Movimentação'!$F$7:$F$1006,"",0,-1),""))</f>
        <v/>
      </c>
      <c r="Q536" s="31">
        <f>IF(COUNTIFS('Manutenção'!$B$7:$B$1006,$A536,'Manutenção'!$H$7:$H$1006,"EM CONSERTO")&gt;0,1,0)</f>
        <v>0</v>
      </c>
    </row>
    <row r="537" ht="15.0" hidden="1" customHeight="1">
      <c r="A537" s="15"/>
      <c r="B537" s="17"/>
      <c r="C537" s="17"/>
      <c r="D537" s="17"/>
      <c r="E537" s="17"/>
      <c r="F537" s="17"/>
      <c r="G537" s="18"/>
      <c r="H537" s="15"/>
      <c r="I537" s="15"/>
      <c r="J537" s="24" t="str">
        <f t="array" ref="J537">IF($A537="","",IFERROR(_xlfn.XLOOKUP($A537,'Movimentação'!$B$7:$B$1006,'Movimentação'!$E$7:$E$1006,"",0,-1),""))</f>
        <v/>
      </c>
      <c r="K537" s="24" t="str">
        <f t="array" ref="K537">IF($A537="","",IFERROR(_xlfn.XLOOKUP($A537,'Movimentação'!$B$7:$B$1006,'Movimentação'!$G$7:$G$1006,"",0,-1),""))</f>
        <v/>
      </c>
      <c r="L537" s="24" t="str">
        <f t="shared" si="3"/>
        <v/>
      </c>
      <c r="M537" s="17"/>
      <c r="N537" s="30" t="str">
        <f t="array" ref="N537">IF($A537="","",IFERROR(IF(OR($L537="BAIXADO",$L537="FURTADO"),0,INDEX(Listas!$J$2:$J$40,MATCH($B537,Listas!$I$2:$I$40,0))),""))</f>
        <v/>
      </c>
      <c r="P537" s="31" t="str">
        <f t="array" ref="P537">IF($A537="","",IFERROR(_xlfn.XLOOKUP($A537,'Movimentação'!$B$7:$B$1006,'Movimentação'!$F$7:$F$1006,"",0,-1),""))</f>
        <v/>
      </c>
      <c r="Q537" s="31">
        <f>IF(COUNTIFS('Manutenção'!$B$7:$B$1006,$A537,'Manutenção'!$H$7:$H$1006,"EM CONSERTO")&gt;0,1,0)</f>
        <v>0</v>
      </c>
    </row>
    <row r="538" ht="15.0" hidden="1" customHeight="1">
      <c r="A538" s="15"/>
      <c r="B538" s="17"/>
      <c r="C538" s="17"/>
      <c r="D538" s="17"/>
      <c r="E538" s="17"/>
      <c r="F538" s="17"/>
      <c r="G538" s="18"/>
      <c r="H538" s="15"/>
      <c r="I538" s="15"/>
      <c r="J538" s="24" t="str">
        <f t="array" ref="J538">IF($A538="","",IFERROR(_xlfn.XLOOKUP($A538,'Movimentação'!$B$7:$B$1006,'Movimentação'!$E$7:$E$1006,"",0,-1),""))</f>
        <v/>
      </c>
      <c r="K538" s="24" t="str">
        <f t="array" ref="K538">IF($A538="","",IFERROR(_xlfn.XLOOKUP($A538,'Movimentação'!$B$7:$B$1006,'Movimentação'!$G$7:$G$1006,"",0,-1),""))</f>
        <v/>
      </c>
      <c r="L538" s="24" t="str">
        <f t="shared" si="3"/>
        <v/>
      </c>
      <c r="M538" s="17"/>
      <c r="N538" s="30" t="str">
        <f t="array" ref="N538">IF($A538="","",IFERROR(IF(OR($L538="BAIXADO",$L538="FURTADO"),0,INDEX(Listas!$J$2:$J$40,MATCH($B538,Listas!$I$2:$I$40,0))),""))</f>
        <v/>
      </c>
      <c r="P538" s="31" t="str">
        <f t="array" ref="P538">IF($A538="","",IFERROR(_xlfn.XLOOKUP($A538,'Movimentação'!$B$7:$B$1006,'Movimentação'!$F$7:$F$1006,"",0,-1),""))</f>
        <v/>
      </c>
      <c r="Q538" s="31">
        <f>IF(COUNTIFS('Manutenção'!$B$7:$B$1006,$A538,'Manutenção'!$H$7:$H$1006,"EM CONSERTO")&gt;0,1,0)</f>
        <v>0</v>
      </c>
    </row>
    <row r="539" ht="15.0" hidden="1" customHeight="1">
      <c r="A539" s="15"/>
      <c r="B539" s="17"/>
      <c r="C539" s="17"/>
      <c r="D539" s="17"/>
      <c r="E539" s="17"/>
      <c r="F539" s="17"/>
      <c r="G539" s="18"/>
      <c r="H539" s="15"/>
      <c r="I539" s="15"/>
      <c r="J539" s="24" t="str">
        <f t="array" ref="J539">IF($A539="","",IFERROR(_xlfn.XLOOKUP($A539,'Movimentação'!$B$7:$B$1006,'Movimentação'!$E$7:$E$1006,"",0,-1),""))</f>
        <v/>
      </c>
      <c r="K539" s="24" t="str">
        <f t="array" ref="K539">IF($A539="","",IFERROR(_xlfn.XLOOKUP($A539,'Movimentação'!$B$7:$B$1006,'Movimentação'!$G$7:$G$1006,"",0,-1),""))</f>
        <v/>
      </c>
      <c r="L539" s="24" t="str">
        <f t="shared" si="3"/>
        <v/>
      </c>
      <c r="M539" s="17"/>
      <c r="N539" s="30" t="str">
        <f t="array" ref="N539">IF($A539="","",IFERROR(IF(OR($L539="BAIXADO",$L539="FURTADO"),0,INDEX(Listas!$J$2:$J$40,MATCH($B539,Listas!$I$2:$I$40,0))),""))</f>
        <v/>
      </c>
      <c r="P539" s="31" t="str">
        <f t="array" ref="P539">IF($A539="","",IFERROR(_xlfn.XLOOKUP($A539,'Movimentação'!$B$7:$B$1006,'Movimentação'!$F$7:$F$1006,"",0,-1),""))</f>
        <v/>
      </c>
      <c r="Q539" s="31">
        <f>IF(COUNTIFS('Manutenção'!$B$7:$B$1006,$A539,'Manutenção'!$H$7:$H$1006,"EM CONSERTO")&gt;0,1,0)</f>
        <v>0</v>
      </c>
    </row>
    <row r="540" ht="15.0" hidden="1" customHeight="1">
      <c r="A540" s="15"/>
      <c r="B540" s="17"/>
      <c r="C540" s="17"/>
      <c r="D540" s="17"/>
      <c r="E540" s="17"/>
      <c r="F540" s="17"/>
      <c r="G540" s="18"/>
      <c r="H540" s="15"/>
      <c r="I540" s="15"/>
      <c r="J540" s="24" t="str">
        <f t="array" ref="J540">IF($A540="","",IFERROR(_xlfn.XLOOKUP($A540,'Movimentação'!$B$7:$B$1006,'Movimentação'!$E$7:$E$1006,"",0,-1),""))</f>
        <v/>
      </c>
      <c r="K540" s="24" t="str">
        <f t="array" ref="K540">IF($A540="","",IFERROR(_xlfn.XLOOKUP($A540,'Movimentação'!$B$7:$B$1006,'Movimentação'!$G$7:$G$1006,"",0,-1),""))</f>
        <v/>
      </c>
      <c r="L540" s="24" t="str">
        <f t="shared" si="3"/>
        <v/>
      </c>
      <c r="M540" s="17"/>
      <c r="N540" s="30" t="str">
        <f t="array" ref="N540">IF($A540="","",IFERROR(IF(OR($L540="BAIXADO",$L540="FURTADO"),0,INDEX(Listas!$J$2:$J$40,MATCH($B540,Listas!$I$2:$I$40,0))),""))</f>
        <v/>
      </c>
      <c r="P540" s="31" t="str">
        <f t="array" ref="P540">IF($A540="","",IFERROR(_xlfn.XLOOKUP($A540,'Movimentação'!$B$7:$B$1006,'Movimentação'!$F$7:$F$1006,"",0,-1),""))</f>
        <v/>
      </c>
      <c r="Q540" s="31">
        <f>IF(COUNTIFS('Manutenção'!$B$7:$B$1006,$A540,'Manutenção'!$H$7:$H$1006,"EM CONSERTO")&gt;0,1,0)</f>
        <v>0</v>
      </c>
    </row>
    <row r="541" ht="15.0" hidden="1" customHeight="1">
      <c r="A541" s="15"/>
      <c r="B541" s="17"/>
      <c r="C541" s="17"/>
      <c r="D541" s="17"/>
      <c r="E541" s="17"/>
      <c r="F541" s="17"/>
      <c r="G541" s="18"/>
      <c r="H541" s="15"/>
      <c r="I541" s="15"/>
      <c r="J541" s="24" t="str">
        <f t="array" ref="J541">IF($A541="","",IFERROR(_xlfn.XLOOKUP($A541,'Movimentação'!$B$7:$B$1006,'Movimentação'!$E$7:$E$1006,"",0,-1),""))</f>
        <v/>
      </c>
      <c r="K541" s="24" t="str">
        <f t="array" ref="K541">IF($A541="","",IFERROR(_xlfn.XLOOKUP($A541,'Movimentação'!$B$7:$B$1006,'Movimentação'!$G$7:$G$1006,"",0,-1),""))</f>
        <v/>
      </c>
      <c r="L541" s="24" t="str">
        <f t="shared" si="3"/>
        <v/>
      </c>
      <c r="M541" s="17"/>
      <c r="N541" s="30" t="str">
        <f t="array" ref="N541">IF($A541="","",IFERROR(IF(OR($L541="BAIXADO",$L541="FURTADO"),0,INDEX(Listas!$J$2:$J$40,MATCH($B541,Listas!$I$2:$I$40,0))),""))</f>
        <v/>
      </c>
      <c r="P541" s="31" t="str">
        <f t="array" ref="P541">IF($A541="","",IFERROR(_xlfn.XLOOKUP($A541,'Movimentação'!$B$7:$B$1006,'Movimentação'!$F$7:$F$1006,"",0,-1),""))</f>
        <v/>
      </c>
      <c r="Q541" s="31">
        <f>IF(COUNTIFS('Manutenção'!$B$7:$B$1006,$A541,'Manutenção'!$H$7:$H$1006,"EM CONSERTO")&gt;0,1,0)</f>
        <v>0</v>
      </c>
    </row>
    <row r="542" ht="15.0" hidden="1" customHeight="1">
      <c r="A542" s="15"/>
      <c r="B542" s="17"/>
      <c r="C542" s="17"/>
      <c r="D542" s="17"/>
      <c r="E542" s="17"/>
      <c r="F542" s="17"/>
      <c r="G542" s="18"/>
      <c r="H542" s="15"/>
      <c r="I542" s="15"/>
      <c r="J542" s="24" t="str">
        <f t="array" ref="J542">IF($A542="","",IFERROR(_xlfn.XLOOKUP($A542,'Movimentação'!$B$7:$B$1006,'Movimentação'!$E$7:$E$1006,"",0,-1),""))</f>
        <v/>
      </c>
      <c r="K542" s="24" t="str">
        <f t="array" ref="K542">IF($A542="","",IFERROR(_xlfn.XLOOKUP($A542,'Movimentação'!$B$7:$B$1006,'Movimentação'!$G$7:$G$1006,"",0,-1),""))</f>
        <v/>
      </c>
      <c r="L542" s="24" t="str">
        <f t="shared" si="3"/>
        <v/>
      </c>
      <c r="M542" s="17"/>
      <c r="N542" s="30" t="str">
        <f t="array" ref="N542">IF($A542="","",IFERROR(IF(OR($L542="BAIXADO",$L542="FURTADO"),0,INDEX(Listas!$J$2:$J$40,MATCH($B542,Listas!$I$2:$I$40,0))),""))</f>
        <v/>
      </c>
      <c r="P542" s="31" t="str">
        <f t="array" ref="P542">IF($A542="","",IFERROR(_xlfn.XLOOKUP($A542,'Movimentação'!$B$7:$B$1006,'Movimentação'!$F$7:$F$1006,"",0,-1),""))</f>
        <v/>
      </c>
      <c r="Q542" s="31">
        <f>IF(COUNTIFS('Manutenção'!$B$7:$B$1006,$A542,'Manutenção'!$H$7:$H$1006,"EM CONSERTO")&gt;0,1,0)</f>
        <v>0</v>
      </c>
    </row>
    <row r="543" ht="15.0" hidden="1" customHeight="1">
      <c r="A543" s="15"/>
      <c r="B543" s="17"/>
      <c r="C543" s="17"/>
      <c r="D543" s="17"/>
      <c r="E543" s="17"/>
      <c r="F543" s="17"/>
      <c r="G543" s="18"/>
      <c r="H543" s="15"/>
      <c r="I543" s="15"/>
      <c r="J543" s="24" t="str">
        <f t="array" ref="J543">IF($A543="","",IFERROR(_xlfn.XLOOKUP($A543,'Movimentação'!$B$7:$B$1006,'Movimentação'!$E$7:$E$1006,"",0,-1),""))</f>
        <v/>
      </c>
      <c r="K543" s="24" t="str">
        <f t="array" ref="K543">IF($A543="","",IFERROR(_xlfn.XLOOKUP($A543,'Movimentação'!$B$7:$B$1006,'Movimentação'!$G$7:$G$1006,"",0,-1),""))</f>
        <v/>
      </c>
      <c r="L543" s="24" t="str">
        <f t="shared" si="3"/>
        <v/>
      </c>
      <c r="M543" s="17"/>
      <c r="N543" s="30" t="str">
        <f t="array" ref="N543">IF($A543="","",IFERROR(IF(OR($L543="BAIXADO",$L543="FURTADO"),0,INDEX(Listas!$J$2:$J$40,MATCH($B543,Listas!$I$2:$I$40,0))),""))</f>
        <v/>
      </c>
      <c r="P543" s="31" t="str">
        <f t="array" ref="P543">IF($A543="","",IFERROR(_xlfn.XLOOKUP($A543,'Movimentação'!$B$7:$B$1006,'Movimentação'!$F$7:$F$1006,"",0,-1),""))</f>
        <v/>
      </c>
      <c r="Q543" s="31">
        <f>IF(COUNTIFS('Manutenção'!$B$7:$B$1006,$A543,'Manutenção'!$H$7:$H$1006,"EM CONSERTO")&gt;0,1,0)</f>
        <v>0</v>
      </c>
    </row>
    <row r="544" ht="15.0" hidden="1" customHeight="1">
      <c r="A544" s="15"/>
      <c r="B544" s="17"/>
      <c r="C544" s="17"/>
      <c r="D544" s="17"/>
      <c r="E544" s="17"/>
      <c r="F544" s="17"/>
      <c r="G544" s="18"/>
      <c r="H544" s="15"/>
      <c r="I544" s="15"/>
      <c r="J544" s="24" t="str">
        <f t="array" ref="J544">IF($A544="","",IFERROR(_xlfn.XLOOKUP($A544,'Movimentação'!$B$7:$B$1006,'Movimentação'!$E$7:$E$1006,"",0,-1),""))</f>
        <v/>
      </c>
      <c r="K544" s="24" t="str">
        <f t="array" ref="K544">IF($A544="","",IFERROR(_xlfn.XLOOKUP($A544,'Movimentação'!$B$7:$B$1006,'Movimentação'!$G$7:$G$1006,"",0,-1),""))</f>
        <v/>
      </c>
      <c r="L544" s="24" t="str">
        <f t="shared" si="3"/>
        <v/>
      </c>
      <c r="M544" s="17"/>
      <c r="N544" s="30" t="str">
        <f t="array" ref="N544">IF($A544="","",IFERROR(IF(OR($L544="BAIXADO",$L544="FURTADO"),0,INDEX(Listas!$J$2:$J$40,MATCH($B544,Listas!$I$2:$I$40,0))),""))</f>
        <v/>
      </c>
      <c r="P544" s="31" t="str">
        <f t="array" ref="P544">IF($A544="","",IFERROR(_xlfn.XLOOKUP($A544,'Movimentação'!$B$7:$B$1006,'Movimentação'!$F$7:$F$1006,"",0,-1),""))</f>
        <v/>
      </c>
      <c r="Q544" s="31">
        <f>IF(COUNTIFS('Manutenção'!$B$7:$B$1006,$A544,'Manutenção'!$H$7:$H$1006,"EM CONSERTO")&gt;0,1,0)</f>
        <v>0</v>
      </c>
    </row>
    <row r="545" ht="15.0" hidden="1" customHeight="1">
      <c r="A545" s="15"/>
      <c r="B545" s="17"/>
      <c r="C545" s="17"/>
      <c r="D545" s="17"/>
      <c r="E545" s="17"/>
      <c r="F545" s="17"/>
      <c r="G545" s="18"/>
      <c r="H545" s="15"/>
      <c r="I545" s="15"/>
      <c r="J545" s="24" t="str">
        <f t="array" ref="J545">IF($A545="","",IFERROR(_xlfn.XLOOKUP($A545,'Movimentação'!$B$7:$B$1006,'Movimentação'!$E$7:$E$1006,"",0,-1),""))</f>
        <v/>
      </c>
      <c r="K545" s="24" t="str">
        <f t="array" ref="K545">IF($A545="","",IFERROR(_xlfn.XLOOKUP($A545,'Movimentação'!$B$7:$B$1006,'Movimentação'!$G$7:$G$1006,"",0,-1),""))</f>
        <v/>
      </c>
      <c r="L545" s="24" t="str">
        <f t="shared" si="3"/>
        <v/>
      </c>
      <c r="M545" s="17"/>
      <c r="N545" s="30" t="str">
        <f t="array" ref="N545">IF($A545="","",IFERROR(IF(OR($L545="BAIXADO",$L545="FURTADO"),0,INDEX(Listas!$J$2:$J$40,MATCH($B545,Listas!$I$2:$I$40,0))),""))</f>
        <v/>
      </c>
      <c r="P545" s="31" t="str">
        <f t="array" ref="P545">IF($A545="","",IFERROR(_xlfn.XLOOKUP($A545,'Movimentação'!$B$7:$B$1006,'Movimentação'!$F$7:$F$1006,"",0,-1),""))</f>
        <v/>
      </c>
      <c r="Q545" s="31">
        <f>IF(COUNTIFS('Manutenção'!$B$7:$B$1006,$A545,'Manutenção'!$H$7:$H$1006,"EM CONSERTO")&gt;0,1,0)</f>
        <v>0</v>
      </c>
    </row>
    <row r="546" ht="15.0" hidden="1" customHeight="1">
      <c r="A546" s="15"/>
      <c r="B546" s="17"/>
      <c r="C546" s="17"/>
      <c r="D546" s="17"/>
      <c r="E546" s="17"/>
      <c r="F546" s="17"/>
      <c r="G546" s="18"/>
      <c r="H546" s="15"/>
      <c r="I546" s="15"/>
      <c r="J546" s="24" t="str">
        <f t="array" ref="J546">IF($A546="","",IFERROR(_xlfn.XLOOKUP($A546,'Movimentação'!$B$7:$B$1006,'Movimentação'!$E$7:$E$1006,"",0,-1),""))</f>
        <v/>
      </c>
      <c r="K546" s="24" t="str">
        <f t="array" ref="K546">IF($A546="","",IFERROR(_xlfn.XLOOKUP($A546,'Movimentação'!$B$7:$B$1006,'Movimentação'!$G$7:$G$1006,"",0,-1),""))</f>
        <v/>
      </c>
      <c r="L546" s="24" t="str">
        <f t="shared" si="3"/>
        <v/>
      </c>
      <c r="M546" s="17"/>
      <c r="N546" s="30" t="str">
        <f t="array" ref="N546">IF($A546="","",IFERROR(IF(OR($L546="BAIXADO",$L546="FURTADO"),0,INDEX(Listas!$J$2:$J$40,MATCH($B546,Listas!$I$2:$I$40,0))),""))</f>
        <v/>
      </c>
      <c r="P546" s="31" t="str">
        <f t="array" ref="P546">IF($A546="","",IFERROR(_xlfn.XLOOKUP($A546,'Movimentação'!$B$7:$B$1006,'Movimentação'!$F$7:$F$1006,"",0,-1),""))</f>
        <v/>
      </c>
      <c r="Q546" s="31">
        <f>IF(COUNTIFS('Manutenção'!$B$7:$B$1006,$A546,'Manutenção'!$H$7:$H$1006,"EM CONSERTO")&gt;0,1,0)</f>
        <v>0</v>
      </c>
    </row>
    <row r="547" ht="15.0" hidden="1" customHeight="1">
      <c r="A547" s="15"/>
      <c r="B547" s="17"/>
      <c r="C547" s="17"/>
      <c r="D547" s="17"/>
      <c r="E547" s="17"/>
      <c r="F547" s="17"/>
      <c r="G547" s="18"/>
      <c r="H547" s="15"/>
      <c r="I547" s="15"/>
      <c r="J547" s="24" t="str">
        <f t="array" ref="J547">IF($A547="","",IFERROR(_xlfn.XLOOKUP($A547,'Movimentação'!$B$7:$B$1006,'Movimentação'!$E$7:$E$1006,"",0,-1),""))</f>
        <v/>
      </c>
      <c r="K547" s="24" t="str">
        <f t="array" ref="K547">IF($A547="","",IFERROR(_xlfn.XLOOKUP($A547,'Movimentação'!$B$7:$B$1006,'Movimentação'!$G$7:$G$1006,"",0,-1),""))</f>
        <v/>
      </c>
      <c r="L547" s="24" t="str">
        <f t="shared" si="3"/>
        <v/>
      </c>
      <c r="M547" s="17"/>
      <c r="N547" s="30" t="str">
        <f t="array" ref="N547">IF($A547="","",IFERROR(IF(OR($L547="BAIXADO",$L547="FURTADO"),0,INDEX(Listas!$J$2:$J$40,MATCH($B547,Listas!$I$2:$I$40,0))),""))</f>
        <v/>
      </c>
      <c r="P547" s="31" t="str">
        <f t="array" ref="P547">IF($A547="","",IFERROR(_xlfn.XLOOKUP($A547,'Movimentação'!$B$7:$B$1006,'Movimentação'!$F$7:$F$1006,"",0,-1),""))</f>
        <v/>
      </c>
      <c r="Q547" s="31">
        <f>IF(COUNTIFS('Manutenção'!$B$7:$B$1006,$A547,'Manutenção'!$H$7:$H$1006,"EM CONSERTO")&gt;0,1,0)</f>
        <v>0</v>
      </c>
    </row>
    <row r="548" ht="15.0" hidden="1" customHeight="1">
      <c r="A548" s="15"/>
      <c r="B548" s="17"/>
      <c r="C548" s="17"/>
      <c r="D548" s="17"/>
      <c r="E548" s="17"/>
      <c r="F548" s="17"/>
      <c r="G548" s="18"/>
      <c r="H548" s="15"/>
      <c r="I548" s="15"/>
      <c r="J548" s="24" t="str">
        <f t="array" ref="J548">IF($A548="","",IFERROR(_xlfn.XLOOKUP($A548,'Movimentação'!$B$7:$B$1006,'Movimentação'!$E$7:$E$1006,"",0,-1),""))</f>
        <v/>
      </c>
      <c r="K548" s="24" t="str">
        <f t="array" ref="K548">IF($A548="","",IFERROR(_xlfn.XLOOKUP($A548,'Movimentação'!$B$7:$B$1006,'Movimentação'!$G$7:$G$1006,"",0,-1),""))</f>
        <v/>
      </c>
      <c r="L548" s="24" t="str">
        <f t="shared" si="3"/>
        <v/>
      </c>
      <c r="M548" s="17"/>
      <c r="N548" s="30" t="str">
        <f t="array" ref="N548">IF($A548="","",IFERROR(IF(OR($L548="BAIXADO",$L548="FURTADO"),0,INDEX(Listas!$J$2:$J$40,MATCH($B548,Listas!$I$2:$I$40,0))),""))</f>
        <v/>
      </c>
      <c r="P548" s="31" t="str">
        <f t="array" ref="P548">IF($A548="","",IFERROR(_xlfn.XLOOKUP($A548,'Movimentação'!$B$7:$B$1006,'Movimentação'!$F$7:$F$1006,"",0,-1),""))</f>
        <v/>
      </c>
      <c r="Q548" s="31">
        <f>IF(COUNTIFS('Manutenção'!$B$7:$B$1006,$A548,'Manutenção'!$H$7:$H$1006,"EM CONSERTO")&gt;0,1,0)</f>
        <v>0</v>
      </c>
    </row>
    <row r="549" ht="15.0" hidden="1" customHeight="1">
      <c r="A549" s="15"/>
      <c r="B549" s="17"/>
      <c r="C549" s="17"/>
      <c r="D549" s="17"/>
      <c r="E549" s="17"/>
      <c r="F549" s="17"/>
      <c r="G549" s="18"/>
      <c r="H549" s="15"/>
      <c r="I549" s="15"/>
      <c r="J549" s="24" t="str">
        <f t="array" ref="J549">IF($A549="","",IFERROR(_xlfn.XLOOKUP($A549,'Movimentação'!$B$7:$B$1006,'Movimentação'!$E$7:$E$1006,"",0,-1),""))</f>
        <v/>
      </c>
      <c r="K549" s="24" t="str">
        <f t="array" ref="K549">IF($A549="","",IFERROR(_xlfn.XLOOKUP($A549,'Movimentação'!$B$7:$B$1006,'Movimentação'!$G$7:$G$1006,"",0,-1),""))</f>
        <v/>
      </c>
      <c r="L549" s="24" t="str">
        <f t="shared" si="3"/>
        <v/>
      </c>
      <c r="M549" s="17"/>
      <c r="N549" s="30" t="str">
        <f t="array" ref="N549">IF($A549="","",IFERROR(IF(OR($L549="BAIXADO",$L549="FURTADO"),0,INDEX(Listas!$J$2:$J$40,MATCH($B549,Listas!$I$2:$I$40,0))),""))</f>
        <v/>
      </c>
      <c r="P549" s="31" t="str">
        <f t="array" ref="P549">IF($A549="","",IFERROR(_xlfn.XLOOKUP($A549,'Movimentação'!$B$7:$B$1006,'Movimentação'!$F$7:$F$1006,"",0,-1),""))</f>
        <v/>
      </c>
      <c r="Q549" s="31">
        <f>IF(COUNTIFS('Manutenção'!$B$7:$B$1006,$A549,'Manutenção'!$H$7:$H$1006,"EM CONSERTO")&gt;0,1,0)</f>
        <v>0</v>
      </c>
    </row>
    <row r="550" ht="15.0" hidden="1" customHeight="1">
      <c r="A550" s="15"/>
      <c r="B550" s="17"/>
      <c r="C550" s="17"/>
      <c r="D550" s="17"/>
      <c r="E550" s="17"/>
      <c r="F550" s="17"/>
      <c r="G550" s="18"/>
      <c r="H550" s="15"/>
      <c r="I550" s="15"/>
      <c r="J550" s="24" t="str">
        <f t="array" ref="J550">IF($A550="","",IFERROR(_xlfn.XLOOKUP($A550,'Movimentação'!$B$7:$B$1006,'Movimentação'!$E$7:$E$1006,"",0,-1),""))</f>
        <v/>
      </c>
      <c r="K550" s="24" t="str">
        <f t="array" ref="K550">IF($A550="","",IFERROR(_xlfn.XLOOKUP($A550,'Movimentação'!$B$7:$B$1006,'Movimentação'!$G$7:$G$1006,"",0,-1),""))</f>
        <v/>
      </c>
      <c r="L550" s="24" t="str">
        <f t="shared" si="3"/>
        <v/>
      </c>
      <c r="M550" s="17"/>
      <c r="N550" s="30" t="str">
        <f t="array" ref="N550">IF($A550="","",IFERROR(IF(OR($L550="BAIXADO",$L550="FURTADO"),0,INDEX(Listas!$J$2:$J$40,MATCH($B550,Listas!$I$2:$I$40,0))),""))</f>
        <v/>
      </c>
      <c r="P550" s="31" t="str">
        <f t="array" ref="P550">IF($A550="","",IFERROR(_xlfn.XLOOKUP($A550,'Movimentação'!$B$7:$B$1006,'Movimentação'!$F$7:$F$1006,"",0,-1),""))</f>
        <v/>
      </c>
      <c r="Q550" s="31">
        <f>IF(COUNTIFS('Manutenção'!$B$7:$B$1006,$A550,'Manutenção'!$H$7:$H$1006,"EM CONSERTO")&gt;0,1,0)</f>
        <v>0</v>
      </c>
    </row>
    <row r="551" ht="15.0" hidden="1" customHeight="1">
      <c r="A551" s="15"/>
      <c r="B551" s="17"/>
      <c r="C551" s="17"/>
      <c r="D551" s="17"/>
      <c r="E551" s="17"/>
      <c r="F551" s="17"/>
      <c r="G551" s="18"/>
      <c r="H551" s="15"/>
      <c r="I551" s="15"/>
      <c r="J551" s="24" t="str">
        <f t="array" ref="J551">IF($A551="","",IFERROR(_xlfn.XLOOKUP($A551,'Movimentação'!$B$7:$B$1006,'Movimentação'!$E$7:$E$1006,"",0,-1),""))</f>
        <v/>
      </c>
      <c r="K551" s="24" t="str">
        <f t="array" ref="K551">IF($A551="","",IFERROR(_xlfn.XLOOKUP($A551,'Movimentação'!$B$7:$B$1006,'Movimentação'!$G$7:$G$1006,"",0,-1),""))</f>
        <v/>
      </c>
      <c r="L551" s="24" t="str">
        <f t="shared" si="3"/>
        <v/>
      </c>
      <c r="M551" s="17"/>
      <c r="N551" s="30" t="str">
        <f t="array" ref="N551">IF($A551="","",IFERROR(IF(OR($L551="BAIXADO",$L551="FURTADO"),0,INDEX(Listas!$J$2:$J$40,MATCH($B551,Listas!$I$2:$I$40,0))),""))</f>
        <v/>
      </c>
      <c r="P551" s="31" t="str">
        <f t="array" ref="P551">IF($A551="","",IFERROR(_xlfn.XLOOKUP($A551,'Movimentação'!$B$7:$B$1006,'Movimentação'!$F$7:$F$1006,"",0,-1),""))</f>
        <v/>
      </c>
      <c r="Q551" s="31">
        <f>IF(COUNTIFS('Manutenção'!$B$7:$B$1006,$A551,'Manutenção'!$H$7:$H$1006,"EM CONSERTO")&gt;0,1,0)</f>
        <v>0</v>
      </c>
    </row>
    <row r="552" ht="15.0" hidden="1" customHeight="1">
      <c r="A552" s="15"/>
      <c r="B552" s="17"/>
      <c r="C552" s="17"/>
      <c r="D552" s="17"/>
      <c r="E552" s="17"/>
      <c r="F552" s="17"/>
      <c r="G552" s="18"/>
      <c r="H552" s="15"/>
      <c r="I552" s="15"/>
      <c r="J552" s="24" t="str">
        <f t="array" ref="J552">IF($A552="","",IFERROR(_xlfn.XLOOKUP($A552,'Movimentação'!$B$7:$B$1006,'Movimentação'!$E$7:$E$1006,"",0,-1),""))</f>
        <v/>
      </c>
      <c r="K552" s="24" t="str">
        <f t="array" ref="K552">IF($A552="","",IFERROR(_xlfn.XLOOKUP($A552,'Movimentação'!$B$7:$B$1006,'Movimentação'!$G$7:$G$1006,"",0,-1),""))</f>
        <v/>
      </c>
      <c r="L552" s="24" t="str">
        <f t="shared" si="3"/>
        <v/>
      </c>
      <c r="M552" s="17"/>
      <c r="N552" s="30" t="str">
        <f t="array" ref="N552">IF($A552="","",IFERROR(IF(OR($L552="BAIXADO",$L552="FURTADO"),0,INDEX(Listas!$J$2:$J$40,MATCH($B552,Listas!$I$2:$I$40,0))),""))</f>
        <v/>
      </c>
      <c r="P552" s="31" t="str">
        <f t="array" ref="P552">IF($A552="","",IFERROR(_xlfn.XLOOKUP($A552,'Movimentação'!$B$7:$B$1006,'Movimentação'!$F$7:$F$1006,"",0,-1),""))</f>
        <v/>
      </c>
      <c r="Q552" s="31">
        <f>IF(COUNTIFS('Manutenção'!$B$7:$B$1006,$A552,'Manutenção'!$H$7:$H$1006,"EM CONSERTO")&gt;0,1,0)</f>
        <v>0</v>
      </c>
    </row>
    <row r="553" ht="15.0" hidden="1" customHeight="1">
      <c r="A553" s="15"/>
      <c r="B553" s="17"/>
      <c r="C553" s="17"/>
      <c r="D553" s="17"/>
      <c r="E553" s="17"/>
      <c r="F553" s="17"/>
      <c r="G553" s="18"/>
      <c r="H553" s="15"/>
      <c r="I553" s="15"/>
      <c r="J553" s="24" t="str">
        <f t="array" ref="J553">IF($A553="","",IFERROR(_xlfn.XLOOKUP($A553,'Movimentação'!$B$7:$B$1006,'Movimentação'!$E$7:$E$1006,"",0,-1),""))</f>
        <v/>
      </c>
      <c r="K553" s="24" t="str">
        <f t="array" ref="K553">IF($A553="","",IFERROR(_xlfn.XLOOKUP($A553,'Movimentação'!$B$7:$B$1006,'Movimentação'!$G$7:$G$1006,"",0,-1),""))</f>
        <v/>
      </c>
      <c r="L553" s="24" t="str">
        <f t="shared" si="3"/>
        <v/>
      </c>
      <c r="M553" s="17"/>
      <c r="N553" s="30" t="str">
        <f t="array" ref="N553">IF($A553="","",IFERROR(IF(OR($L553="BAIXADO",$L553="FURTADO"),0,INDEX(Listas!$J$2:$J$40,MATCH($B553,Listas!$I$2:$I$40,0))),""))</f>
        <v/>
      </c>
      <c r="P553" s="31" t="str">
        <f t="array" ref="P553">IF($A553="","",IFERROR(_xlfn.XLOOKUP($A553,'Movimentação'!$B$7:$B$1006,'Movimentação'!$F$7:$F$1006,"",0,-1),""))</f>
        <v/>
      </c>
      <c r="Q553" s="31">
        <f>IF(COUNTIFS('Manutenção'!$B$7:$B$1006,$A553,'Manutenção'!$H$7:$H$1006,"EM CONSERTO")&gt;0,1,0)</f>
        <v>0</v>
      </c>
    </row>
    <row r="554" ht="15.0" hidden="1" customHeight="1">
      <c r="A554" s="15"/>
      <c r="B554" s="17"/>
      <c r="C554" s="17"/>
      <c r="D554" s="17"/>
      <c r="E554" s="17"/>
      <c r="F554" s="17"/>
      <c r="G554" s="18"/>
      <c r="H554" s="15"/>
      <c r="I554" s="15"/>
      <c r="J554" s="24" t="str">
        <f t="array" ref="J554">IF($A554="","",IFERROR(_xlfn.XLOOKUP($A554,'Movimentação'!$B$7:$B$1006,'Movimentação'!$E$7:$E$1006,"",0,-1),""))</f>
        <v/>
      </c>
      <c r="K554" s="24" t="str">
        <f t="array" ref="K554">IF($A554="","",IFERROR(_xlfn.XLOOKUP($A554,'Movimentação'!$B$7:$B$1006,'Movimentação'!$G$7:$G$1006,"",0,-1),""))</f>
        <v/>
      </c>
      <c r="L554" s="24" t="str">
        <f t="shared" si="3"/>
        <v/>
      </c>
      <c r="M554" s="17"/>
      <c r="N554" s="30" t="str">
        <f t="array" ref="N554">IF($A554="","",IFERROR(IF(OR($L554="BAIXADO",$L554="FURTADO"),0,INDEX(Listas!$J$2:$J$40,MATCH($B554,Listas!$I$2:$I$40,0))),""))</f>
        <v/>
      </c>
      <c r="P554" s="31" t="str">
        <f t="array" ref="P554">IF($A554="","",IFERROR(_xlfn.XLOOKUP($A554,'Movimentação'!$B$7:$B$1006,'Movimentação'!$F$7:$F$1006,"",0,-1),""))</f>
        <v/>
      </c>
      <c r="Q554" s="31">
        <f>IF(COUNTIFS('Manutenção'!$B$7:$B$1006,$A554,'Manutenção'!$H$7:$H$1006,"EM CONSERTO")&gt;0,1,0)</f>
        <v>0</v>
      </c>
    </row>
    <row r="555" ht="15.0" hidden="1" customHeight="1">
      <c r="A555" s="15"/>
      <c r="B555" s="17"/>
      <c r="C555" s="17"/>
      <c r="D555" s="17"/>
      <c r="E555" s="17"/>
      <c r="F555" s="17"/>
      <c r="G555" s="18"/>
      <c r="H555" s="15"/>
      <c r="I555" s="15"/>
      <c r="J555" s="24" t="str">
        <f t="array" ref="J555">IF($A555="","",IFERROR(_xlfn.XLOOKUP($A555,'Movimentação'!$B$7:$B$1006,'Movimentação'!$E$7:$E$1006,"",0,-1),""))</f>
        <v/>
      </c>
      <c r="K555" s="24" t="str">
        <f t="array" ref="K555">IF($A555="","",IFERROR(_xlfn.XLOOKUP($A555,'Movimentação'!$B$7:$B$1006,'Movimentação'!$G$7:$G$1006,"",0,-1),""))</f>
        <v/>
      </c>
      <c r="L555" s="24" t="str">
        <f t="shared" si="3"/>
        <v/>
      </c>
      <c r="M555" s="17"/>
      <c r="N555" s="30" t="str">
        <f t="array" ref="N555">IF($A555="","",IFERROR(IF(OR($L555="BAIXADO",$L555="FURTADO"),0,INDEX(Listas!$J$2:$J$40,MATCH($B555,Listas!$I$2:$I$40,0))),""))</f>
        <v/>
      </c>
      <c r="P555" s="31" t="str">
        <f t="array" ref="P555">IF($A555="","",IFERROR(_xlfn.XLOOKUP($A555,'Movimentação'!$B$7:$B$1006,'Movimentação'!$F$7:$F$1006,"",0,-1),""))</f>
        <v/>
      </c>
      <c r="Q555" s="31">
        <f>IF(COUNTIFS('Manutenção'!$B$7:$B$1006,$A555,'Manutenção'!$H$7:$H$1006,"EM CONSERTO")&gt;0,1,0)</f>
        <v>0</v>
      </c>
    </row>
    <row r="556" ht="15.0" hidden="1" customHeight="1">
      <c r="A556" s="15"/>
      <c r="B556" s="17"/>
      <c r="C556" s="17"/>
      <c r="D556" s="17"/>
      <c r="E556" s="17"/>
      <c r="F556" s="17"/>
      <c r="G556" s="18"/>
      <c r="H556" s="15"/>
      <c r="I556" s="15"/>
      <c r="J556" s="24" t="str">
        <f t="array" ref="J556">IF($A556="","",IFERROR(_xlfn.XLOOKUP($A556,'Movimentação'!$B$7:$B$1006,'Movimentação'!$E$7:$E$1006,"",0,-1),""))</f>
        <v/>
      </c>
      <c r="K556" s="24" t="str">
        <f t="array" ref="K556">IF($A556="","",IFERROR(_xlfn.XLOOKUP($A556,'Movimentação'!$B$7:$B$1006,'Movimentação'!$G$7:$G$1006,"",0,-1),""))</f>
        <v/>
      </c>
      <c r="L556" s="24" t="str">
        <f t="shared" si="3"/>
        <v/>
      </c>
      <c r="M556" s="17"/>
      <c r="N556" s="30" t="str">
        <f t="array" ref="N556">IF($A556="","",IFERROR(IF(OR($L556="BAIXADO",$L556="FURTADO"),0,INDEX(Listas!$J$2:$J$40,MATCH($B556,Listas!$I$2:$I$40,0))),""))</f>
        <v/>
      </c>
      <c r="P556" s="31" t="str">
        <f t="array" ref="P556">IF($A556="","",IFERROR(_xlfn.XLOOKUP($A556,'Movimentação'!$B$7:$B$1006,'Movimentação'!$F$7:$F$1006,"",0,-1),""))</f>
        <v/>
      </c>
      <c r="Q556" s="31">
        <f>IF(COUNTIFS('Manutenção'!$B$7:$B$1006,$A556,'Manutenção'!$H$7:$H$1006,"EM CONSERTO")&gt;0,1,0)</f>
        <v>0</v>
      </c>
    </row>
    <row r="557" ht="15.0" hidden="1" customHeight="1">
      <c r="A557" s="15"/>
      <c r="B557" s="17"/>
      <c r="C557" s="17"/>
      <c r="D557" s="17"/>
      <c r="E557" s="17"/>
      <c r="F557" s="17"/>
      <c r="G557" s="18"/>
      <c r="H557" s="15"/>
      <c r="I557" s="15"/>
      <c r="J557" s="24" t="str">
        <f t="array" ref="J557">IF($A557="","",IFERROR(_xlfn.XLOOKUP($A557,'Movimentação'!$B$7:$B$1006,'Movimentação'!$E$7:$E$1006,"",0,-1),""))</f>
        <v/>
      </c>
      <c r="K557" s="24" t="str">
        <f t="array" ref="K557">IF($A557="","",IFERROR(_xlfn.XLOOKUP($A557,'Movimentação'!$B$7:$B$1006,'Movimentação'!$G$7:$G$1006,"",0,-1),""))</f>
        <v/>
      </c>
      <c r="L557" s="24" t="str">
        <f t="shared" si="3"/>
        <v/>
      </c>
      <c r="M557" s="17"/>
      <c r="N557" s="30" t="str">
        <f t="array" ref="N557">IF($A557="","",IFERROR(IF(OR($L557="BAIXADO",$L557="FURTADO"),0,INDEX(Listas!$J$2:$J$40,MATCH($B557,Listas!$I$2:$I$40,0))),""))</f>
        <v/>
      </c>
      <c r="P557" s="31" t="str">
        <f t="array" ref="P557">IF($A557="","",IFERROR(_xlfn.XLOOKUP($A557,'Movimentação'!$B$7:$B$1006,'Movimentação'!$F$7:$F$1006,"",0,-1),""))</f>
        <v/>
      </c>
      <c r="Q557" s="31">
        <f>IF(COUNTIFS('Manutenção'!$B$7:$B$1006,$A557,'Manutenção'!$H$7:$H$1006,"EM CONSERTO")&gt;0,1,0)</f>
        <v>0</v>
      </c>
    </row>
    <row r="558" ht="15.0" hidden="1" customHeight="1">
      <c r="A558" s="15"/>
      <c r="B558" s="17"/>
      <c r="C558" s="17"/>
      <c r="D558" s="17"/>
      <c r="E558" s="17"/>
      <c r="F558" s="17"/>
      <c r="G558" s="18"/>
      <c r="H558" s="15"/>
      <c r="I558" s="15"/>
      <c r="J558" s="24" t="str">
        <f t="array" ref="J558">IF($A558="","",IFERROR(_xlfn.XLOOKUP($A558,'Movimentação'!$B$7:$B$1006,'Movimentação'!$E$7:$E$1006,"",0,-1),""))</f>
        <v/>
      </c>
      <c r="K558" s="24" t="str">
        <f t="array" ref="K558">IF($A558="","",IFERROR(_xlfn.XLOOKUP($A558,'Movimentação'!$B$7:$B$1006,'Movimentação'!$G$7:$G$1006,"",0,-1),""))</f>
        <v/>
      </c>
      <c r="L558" s="24" t="str">
        <f t="shared" si="3"/>
        <v/>
      </c>
      <c r="M558" s="17"/>
      <c r="N558" s="30" t="str">
        <f t="array" ref="N558">IF($A558="","",IFERROR(IF(OR($L558="BAIXADO",$L558="FURTADO"),0,INDEX(Listas!$J$2:$J$40,MATCH($B558,Listas!$I$2:$I$40,0))),""))</f>
        <v/>
      </c>
      <c r="P558" s="31" t="str">
        <f t="array" ref="P558">IF($A558="","",IFERROR(_xlfn.XLOOKUP($A558,'Movimentação'!$B$7:$B$1006,'Movimentação'!$F$7:$F$1006,"",0,-1),""))</f>
        <v/>
      </c>
      <c r="Q558" s="31">
        <f>IF(COUNTIFS('Manutenção'!$B$7:$B$1006,$A558,'Manutenção'!$H$7:$H$1006,"EM CONSERTO")&gt;0,1,0)</f>
        <v>0</v>
      </c>
    </row>
    <row r="559" ht="15.0" hidden="1" customHeight="1">
      <c r="A559" s="15"/>
      <c r="B559" s="17"/>
      <c r="C559" s="17"/>
      <c r="D559" s="17"/>
      <c r="E559" s="17"/>
      <c r="F559" s="17"/>
      <c r="G559" s="18"/>
      <c r="H559" s="15"/>
      <c r="I559" s="15"/>
      <c r="J559" s="24" t="str">
        <f t="array" ref="J559">IF($A559="","",IFERROR(_xlfn.XLOOKUP($A559,'Movimentação'!$B$7:$B$1006,'Movimentação'!$E$7:$E$1006,"",0,-1),""))</f>
        <v/>
      </c>
      <c r="K559" s="24" t="str">
        <f t="array" ref="K559">IF($A559="","",IFERROR(_xlfn.XLOOKUP($A559,'Movimentação'!$B$7:$B$1006,'Movimentação'!$G$7:$G$1006,"",0,-1),""))</f>
        <v/>
      </c>
      <c r="L559" s="24" t="str">
        <f t="shared" si="3"/>
        <v/>
      </c>
      <c r="M559" s="17"/>
      <c r="N559" s="30" t="str">
        <f t="array" ref="N559">IF($A559="","",IFERROR(IF(OR($L559="BAIXADO",$L559="FURTADO"),0,INDEX(Listas!$J$2:$J$40,MATCH($B559,Listas!$I$2:$I$40,0))),""))</f>
        <v/>
      </c>
      <c r="P559" s="31" t="str">
        <f t="array" ref="P559">IF($A559="","",IFERROR(_xlfn.XLOOKUP($A559,'Movimentação'!$B$7:$B$1006,'Movimentação'!$F$7:$F$1006,"",0,-1),""))</f>
        <v/>
      </c>
      <c r="Q559" s="31">
        <f>IF(COUNTIFS('Manutenção'!$B$7:$B$1006,$A559,'Manutenção'!$H$7:$H$1006,"EM CONSERTO")&gt;0,1,0)</f>
        <v>0</v>
      </c>
    </row>
    <row r="560" ht="15.0" hidden="1" customHeight="1">
      <c r="A560" s="15"/>
      <c r="B560" s="17"/>
      <c r="C560" s="17"/>
      <c r="D560" s="17"/>
      <c r="E560" s="17"/>
      <c r="F560" s="17"/>
      <c r="G560" s="18"/>
      <c r="H560" s="15"/>
      <c r="I560" s="15"/>
      <c r="J560" s="24" t="str">
        <f t="array" ref="J560">IF($A560="","",IFERROR(_xlfn.XLOOKUP($A560,'Movimentação'!$B$7:$B$1006,'Movimentação'!$E$7:$E$1006,"",0,-1),""))</f>
        <v/>
      </c>
      <c r="K560" s="24" t="str">
        <f t="array" ref="K560">IF($A560="","",IFERROR(_xlfn.XLOOKUP($A560,'Movimentação'!$B$7:$B$1006,'Movimentação'!$G$7:$G$1006,"",0,-1),""))</f>
        <v/>
      </c>
      <c r="L560" s="24" t="str">
        <f t="shared" si="3"/>
        <v/>
      </c>
      <c r="M560" s="17"/>
      <c r="N560" s="30" t="str">
        <f t="array" ref="N560">IF($A560="","",IFERROR(IF(OR($L560="BAIXADO",$L560="FURTADO"),0,INDEX(Listas!$J$2:$J$40,MATCH($B560,Listas!$I$2:$I$40,0))),""))</f>
        <v/>
      </c>
      <c r="P560" s="31" t="str">
        <f t="array" ref="P560">IF($A560="","",IFERROR(_xlfn.XLOOKUP($A560,'Movimentação'!$B$7:$B$1006,'Movimentação'!$F$7:$F$1006,"",0,-1),""))</f>
        <v/>
      </c>
      <c r="Q560" s="31">
        <f>IF(COUNTIFS('Manutenção'!$B$7:$B$1006,$A560,'Manutenção'!$H$7:$H$1006,"EM CONSERTO")&gt;0,1,0)</f>
        <v>0</v>
      </c>
    </row>
    <row r="561" ht="15.0" hidden="1" customHeight="1">
      <c r="A561" s="15"/>
      <c r="B561" s="17"/>
      <c r="C561" s="17"/>
      <c r="D561" s="17"/>
      <c r="E561" s="17"/>
      <c r="F561" s="17"/>
      <c r="G561" s="18"/>
      <c r="H561" s="15"/>
      <c r="I561" s="15"/>
      <c r="J561" s="24" t="str">
        <f t="array" ref="J561">IF($A561="","",IFERROR(_xlfn.XLOOKUP($A561,'Movimentação'!$B$7:$B$1006,'Movimentação'!$E$7:$E$1006,"",0,-1),""))</f>
        <v/>
      </c>
      <c r="K561" s="24" t="str">
        <f t="array" ref="K561">IF($A561="","",IFERROR(_xlfn.XLOOKUP($A561,'Movimentação'!$B$7:$B$1006,'Movimentação'!$G$7:$G$1006,"",0,-1),""))</f>
        <v/>
      </c>
      <c r="L561" s="24" t="str">
        <f t="shared" si="3"/>
        <v/>
      </c>
      <c r="M561" s="17"/>
      <c r="N561" s="30" t="str">
        <f t="array" ref="N561">IF($A561="","",IFERROR(IF(OR($L561="BAIXADO",$L561="FURTADO"),0,INDEX(Listas!$J$2:$J$40,MATCH($B561,Listas!$I$2:$I$40,0))),""))</f>
        <v/>
      </c>
      <c r="P561" s="31" t="str">
        <f t="array" ref="P561">IF($A561="","",IFERROR(_xlfn.XLOOKUP($A561,'Movimentação'!$B$7:$B$1006,'Movimentação'!$F$7:$F$1006,"",0,-1),""))</f>
        <v/>
      </c>
      <c r="Q561" s="31">
        <f>IF(COUNTIFS('Manutenção'!$B$7:$B$1006,$A561,'Manutenção'!$H$7:$H$1006,"EM CONSERTO")&gt;0,1,0)</f>
        <v>0</v>
      </c>
    </row>
    <row r="562" ht="15.0" hidden="1" customHeight="1">
      <c r="A562" s="15"/>
      <c r="B562" s="17"/>
      <c r="C562" s="17"/>
      <c r="D562" s="17"/>
      <c r="E562" s="17"/>
      <c r="F562" s="17"/>
      <c r="G562" s="18"/>
      <c r="H562" s="15"/>
      <c r="I562" s="15"/>
      <c r="J562" s="24" t="str">
        <f t="array" ref="J562">IF($A562="","",IFERROR(_xlfn.XLOOKUP($A562,'Movimentação'!$B$7:$B$1006,'Movimentação'!$E$7:$E$1006,"",0,-1),""))</f>
        <v/>
      </c>
      <c r="K562" s="24" t="str">
        <f t="array" ref="K562">IF($A562="","",IFERROR(_xlfn.XLOOKUP($A562,'Movimentação'!$B$7:$B$1006,'Movimentação'!$G$7:$G$1006,"",0,-1),""))</f>
        <v/>
      </c>
      <c r="L562" s="24" t="str">
        <f t="shared" si="3"/>
        <v/>
      </c>
      <c r="M562" s="17"/>
      <c r="N562" s="30" t="str">
        <f t="array" ref="N562">IF($A562="","",IFERROR(IF(OR($L562="BAIXADO",$L562="FURTADO"),0,INDEX(Listas!$J$2:$J$40,MATCH($B562,Listas!$I$2:$I$40,0))),""))</f>
        <v/>
      </c>
      <c r="P562" s="31" t="str">
        <f t="array" ref="P562">IF($A562="","",IFERROR(_xlfn.XLOOKUP($A562,'Movimentação'!$B$7:$B$1006,'Movimentação'!$F$7:$F$1006,"",0,-1),""))</f>
        <v/>
      </c>
      <c r="Q562" s="31">
        <f>IF(COUNTIFS('Manutenção'!$B$7:$B$1006,$A562,'Manutenção'!$H$7:$H$1006,"EM CONSERTO")&gt;0,1,0)</f>
        <v>0</v>
      </c>
    </row>
    <row r="563" ht="15.0" hidden="1" customHeight="1">
      <c r="A563" s="15"/>
      <c r="B563" s="17"/>
      <c r="C563" s="17"/>
      <c r="D563" s="17"/>
      <c r="E563" s="17"/>
      <c r="F563" s="17"/>
      <c r="G563" s="18"/>
      <c r="H563" s="15"/>
      <c r="I563" s="15"/>
      <c r="J563" s="24" t="str">
        <f t="array" ref="J563">IF($A563="","",IFERROR(_xlfn.XLOOKUP($A563,'Movimentação'!$B$7:$B$1006,'Movimentação'!$E$7:$E$1006,"",0,-1),""))</f>
        <v/>
      </c>
      <c r="K563" s="24" t="str">
        <f t="array" ref="K563">IF($A563="","",IFERROR(_xlfn.XLOOKUP($A563,'Movimentação'!$B$7:$B$1006,'Movimentação'!$G$7:$G$1006,"",0,-1),""))</f>
        <v/>
      </c>
      <c r="L563" s="24" t="str">
        <f t="shared" si="3"/>
        <v/>
      </c>
      <c r="M563" s="17"/>
      <c r="N563" s="30" t="str">
        <f t="array" ref="N563">IF($A563="","",IFERROR(IF(OR($L563="BAIXADO",$L563="FURTADO"),0,INDEX(Listas!$J$2:$J$40,MATCH($B563,Listas!$I$2:$I$40,0))),""))</f>
        <v/>
      </c>
      <c r="P563" s="31" t="str">
        <f t="array" ref="P563">IF($A563="","",IFERROR(_xlfn.XLOOKUP($A563,'Movimentação'!$B$7:$B$1006,'Movimentação'!$F$7:$F$1006,"",0,-1),""))</f>
        <v/>
      </c>
      <c r="Q563" s="31">
        <f>IF(COUNTIFS('Manutenção'!$B$7:$B$1006,$A563,'Manutenção'!$H$7:$H$1006,"EM CONSERTO")&gt;0,1,0)</f>
        <v>0</v>
      </c>
    </row>
    <row r="564" ht="15.0" hidden="1" customHeight="1">
      <c r="A564" s="15"/>
      <c r="B564" s="17"/>
      <c r="C564" s="17"/>
      <c r="D564" s="17"/>
      <c r="E564" s="17"/>
      <c r="F564" s="17"/>
      <c r="G564" s="18"/>
      <c r="H564" s="15"/>
      <c r="I564" s="15"/>
      <c r="J564" s="24" t="str">
        <f t="array" ref="J564">IF($A564="","",IFERROR(_xlfn.XLOOKUP($A564,'Movimentação'!$B$7:$B$1006,'Movimentação'!$E$7:$E$1006,"",0,-1),""))</f>
        <v/>
      </c>
      <c r="K564" s="24" t="str">
        <f t="array" ref="K564">IF($A564="","",IFERROR(_xlfn.XLOOKUP($A564,'Movimentação'!$B$7:$B$1006,'Movimentação'!$G$7:$G$1006,"",0,-1),""))</f>
        <v/>
      </c>
      <c r="L564" s="24" t="str">
        <f t="shared" si="3"/>
        <v/>
      </c>
      <c r="M564" s="17"/>
      <c r="N564" s="30" t="str">
        <f t="array" ref="N564">IF($A564="","",IFERROR(IF(OR($L564="BAIXADO",$L564="FURTADO"),0,INDEX(Listas!$J$2:$J$40,MATCH($B564,Listas!$I$2:$I$40,0))),""))</f>
        <v/>
      </c>
      <c r="P564" s="31" t="str">
        <f t="array" ref="P564">IF($A564="","",IFERROR(_xlfn.XLOOKUP($A564,'Movimentação'!$B$7:$B$1006,'Movimentação'!$F$7:$F$1006,"",0,-1),""))</f>
        <v/>
      </c>
      <c r="Q564" s="31">
        <f>IF(COUNTIFS('Manutenção'!$B$7:$B$1006,$A564,'Manutenção'!$H$7:$H$1006,"EM CONSERTO")&gt;0,1,0)</f>
        <v>0</v>
      </c>
    </row>
    <row r="565" ht="15.0" hidden="1" customHeight="1">
      <c r="A565" s="15"/>
      <c r="B565" s="17"/>
      <c r="C565" s="17"/>
      <c r="D565" s="17"/>
      <c r="E565" s="17"/>
      <c r="F565" s="17"/>
      <c r="G565" s="18"/>
      <c r="H565" s="15"/>
      <c r="I565" s="15"/>
      <c r="J565" s="24" t="str">
        <f t="array" ref="J565">IF($A565="","",IFERROR(_xlfn.XLOOKUP($A565,'Movimentação'!$B$7:$B$1006,'Movimentação'!$E$7:$E$1006,"",0,-1),""))</f>
        <v/>
      </c>
      <c r="K565" s="24" t="str">
        <f t="array" ref="K565">IF($A565="","",IFERROR(_xlfn.XLOOKUP($A565,'Movimentação'!$B$7:$B$1006,'Movimentação'!$G$7:$G$1006,"",0,-1),""))</f>
        <v/>
      </c>
      <c r="L565" s="24" t="str">
        <f t="shared" si="3"/>
        <v/>
      </c>
      <c r="M565" s="17"/>
      <c r="N565" s="30" t="str">
        <f t="array" ref="N565">IF($A565="","",IFERROR(IF(OR($L565="BAIXADO",$L565="FURTADO"),0,INDEX(Listas!$J$2:$J$40,MATCH($B565,Listas!$I$2:$I$40,0))),""))</f>
        <v/>
      </c>
      <c r="P565" s="31" t="str">
        <f t="array" ref="P565">IF($A565="","",IFERROR(_xlfn.XLOOKUP($A565,'Movimentação'!$B$7:$B$1006,'Movimentação'!$F$7:$F$1006,"",0,-1),""))</f>
        <v/>
      </c>
      <c r="Q565" s="31">
        <f>IF(COUNTIFS('Manutenção'!$B$7:$B$1006,$A565,'Manutenção'!$H$7:$H$1006,"EM CONSERTO")&gt;0,1,0)</f>
        <v>0</v>
      </c>
    </row>
    <row r="566" ht="15.0" hidden="1" customHeight="1">
      <c r="A566" s="15"/>
      <c r="B566" s="17"/>
      <c r="C566" s="17"/>
      <c r="D566" s="17"/>
      <c r="E566" s="17"/>
      <c r="F566" s="17"/>
      <c r="G566" s="18"/>
      <c r="H566" s="15"/>
      <c r="I566" s="15"/>
      <c r="J566" s="24" t="str">
        <f t="array" ref="J566">IF($A566="","",IFERROR(_xlfn.XLOOKUP($A566,'Movimentação'!$B$7:$B$1006,'Movimentação'!$E$7:$E$1006,"",0,-1),""))</f>
        <v/>
      </c>
      <c r="K566" s="24" t="str">
        <f t="array" ref="K566">IF($A566="","",IFERROR(_xlfn.XLOOKUP($A566,'Movimentação'!$B$7:$B$1006,'Movimentação'!$G$7:$G$1006,"",0,-1),""))</f>
        <v/>
      </c>
      <c r="L566" s="24" t="str">
        <f t="shared" si="3"/>
        <v/>
      </c>
      <c r="M566" s="17"/>
      <c r="N566" s="30" t="str">
        <f t="array" ref="N566">IF($A566="","",IFERROR(IF(OR($L566="BAIXADO",$L566="FURTADO"),0,INDEX(Listas!$J$2:$J$40,MATCH($B566,Listas!$I$2:$I$40,0))),""))</f>
        <v/>
      </c>
      <c r="P566" s="31" t="str">
        <f t="array" ref="P566">IF($A566="","",IFERROR(_xlfn.XLOOKUP($A566,'Movimentação'!$B$7:$B$1006,'Movimentação'!$F$7:$F$1006,"",0,-1),""))</f>
        <v/>
      </c>
      <c r="Q566" s="31">
        <f>IF(COUNTIFS('Manutenção'!$B$7:$B$1006,$A566,'Manutenção'!$H$7:$H$1006,"EM CONSERTO")&gt;0,1,0)</f>
        <v>0</v>
      </c>
    </row>
    <row r="567" ht="15.0" hidden="1" customHeight="1">
      <c r="A567" s="15"/>
      <c r="B567" s="17"/>
      <c r="C567" s="17"/>
      <c r="D567" s="17"/>
      <c r="E567" s="17"/>
      <c r="F567" s="17"/>
      <c r="G567" s="18"/>
      <c r="H567" s="15"/>
      <c r="I567" s="15"/>
      <c r="J567" s="24" t="str">
        <f t="array" ref="J567">IF($A567="","",IFERROR(_xlfn.XLOOKUP($A567,'Movimentação'!$B$7:$B$1006,'Movimentação'!$E$7:$E$1006,"",0,-1),""))</f>
        <v/>
      </c>
      <c r="K567" s="24" t="str">
        <f t="array" ref="K567">IF($A567="","",IFERROR(_xlfn.XLOOKUP($A567,'Movimentação'!$B$7:$B$1006,'Movimentação'!$G$7:$G$1006,"",0,-1),""))</f>
        <v/>
      </c>
      <c r="L567" s="24" t="str">
        <f t="shared" si="3"/>
        <v/>
      </c>
      <c r="M567" s="17"/>
      <c r="N567" s="30" t="str">
        <f t="array" ref="N567">IF($A567="","",IFERROR(IF(OR($L567="BAIXADO",$L567="FURTADO"),0,INDEX(Listas!$J$2:$J$40,MATCH($B567,Listas!$I$2:$I$40,0))),""))</f>
        <v/>
      </c>
      <c r="P567" s="31" t="str">
        <f t="array" ref="P567">IF($A567="","",IFERROR(_xlfn.XLOOKUP($A567,'Movimentação'!$B$7:$B$1006,'Movimentação'!$F$7:$F$1006,"",0,-1),""))</f>
        <v/>
      </c>
      <c r="Q567" s="31">
        <f>IF(COUNTIFS('Manutenção'!$B$7:$B$1006,$A567,'Manutenção'!$H$7:$H$1006,"EM CONSERTO")&gt;0,1,0)</f>
        <v>0</v>
      </c>
    </row>
    <row r="568" ht="15.0" hidden="1" customHeight="1">
      <c r="A568" s="15"/>
      <c r="B568" s="17"/>
      <c r="C568" s="17"/>
      <c r="D568" s="17"/>
      <c r="E568" s="17"/>
      <c r="F568" s="17"/>
      <c r="G568" s="18"/>
      <c r="H568" s="15"/>
      <c r="I568" s="15"/>
      <c r="J568" s="24" t="str">
        <f t="array" ref="J568">IF($A568="","",IFERROR(_xlfn.XLOOKUP($A568,'Movimentação'!$B$7:$B$1006,'Movimentação'!$E$7:$E$1006,"",0,-1),""))</f>
        <v/>
      </c>
      <c r="K568" s="24" t="str">
        <f t="array" ref="K568">IF($A568="","",IFERROR(_xlfn.XLOOKUP($A568,'Movimentação'!$B$7:$B$1006,'Movimentação'!$G$7:$G$1006,"",0,-1),""))</f>
        <v/>
      </c>
      <c r="L568" s="24" t="str">
        <f t="shared" si="3"/>
        <v/>
      </c>
      <c r="M568" s="17"/>
      <c r="N568" s="30" t="str">
        <f t="array" ref="N568">IF($A568="","",IFERROR(IF(OR($L568="BAIXADO",$L568="FURTADO"),0,INDEX(Listas!$J$2:$J$40,MATCH($B568,Listas!$I$2:$I$40,0))),""))</f>
        <v/>
      </c>
      <c r="P568" s="31" t="str">
        <f t="array" ref="P568">IF($A568="","",IFERROR(_xlfn.XLOOKUP($A568,'Movimentação'!$B$7:$B$1006,'Movimentação'!$F$7:$F$1006,"",0,-1),""))</f>
        <v/>
      </c>
      <c r="Q568" s="31">
        <f>IF(COUNTIFS('Manutenção'!$B$7:$B$1006,$A568,'Manutenção'!$H$7:$H$1006,"EM CONSERTO")&gt;0,1,0)</f>
        <v>0</v>
      </c>
    </row>
    <row r="569" ht="15.0" hidden="1" customHeight="1">
      <c r="A569" s="15"/>
      <c r="B569" s="17"/>
      <c r="C569" s="17"/>
      <c r="D569" s="17"/>
      <c r="E569" s="17"/>
      <c r="F569" s="17"/>
      <c r="G569" s="18"/>
      <c r="H569" s="15"/>
      <c r="I569" s="15"/>
      <c r="J569" s="24" t="str">
        <f t="array" ref="J569">IF($A569="","",IFERROR(_xlfn.XLOOKUP($A569,'Movimentação'!$B$7:$B$1006,'Movimentação'!$E$7:$E$1006,"",0,-1),""))</f>
        <v/>
      </c>
      <c r="K569" s="24" t="str">
        <f t="array" ref="K569">IF($A569="","",IFERROR(_xlfn.XLOOKUP($A569,'Movimentação'!$B$7:$B$1006,'Movimentação'!$G$7:$G$1006,"",0,-1),""))</f>
        <v/>
      </c>
      <c r="L569" s="24" t="str">
        <f t="shared" si="3"/>
        <v/>
      </c>
      <c r="M569" s="17"/>
      <c r="N569" s="30" t="str">
        <f t="array" ref="N569">IF($A569="","",IFERROR(IF(OR($L569="BAIXADO",$L569="FURTADO"),0,INDEX(Listas!$J$2:$J$40,MATCH($B569,Listas!$I$2:$I$40,0))),""))</f>
        <v/>
      </c>
      <c r="P569" s="31" t="str">
        <f t="array" ref="P569">IF($A569="","",IFERROR(_xlfn.XLOOKUP($A569,'Movimentação'!$B$7:$B$1006,'Movimentação'!$F$7:$F$1006,"",0,-1),""))</f>
        <v/>
      </c>
      <c r="Q569" s="31">
        <f>IF(COUNTIFS('Manutenção'!$B$7:$B$1006,$A569,'Manutenção'!$H$7:$H$1006,"EM CONSERTO")&gt;0,1,0)</f>
        <v>0</v>
      </c>
    </row>
    <row r="570" ht="15.0" hidden="1" customHeight="1">
      <c r="A570" s="15"/>
      <c r="B570" s="17"/>
      <c r="C570" s="17"/>
      <c r="D570" s="17"/>
      <c r="E570" s="17"/>
      <c r="F570" s="17"/>
      <c r="G570" s="18"/>
      <c r="H570" s="15"/>
      <c r="I570" s="15"/>
      <c r="J570" s="24" t="str">
        <f t="array" ref="J570">IF($A570="","",IFERROR(_xlfn.XLOOKUP($A570,'Movimentação'!$B$7:$B$1006,'Movimentação'!$E$7:$E$1006,"",0,-1),""))</f>
        <v/>
      </c>
      <c r="K570" s="24" t="str">
        <f t="array" ref="K570">IF($A570="","",IFERROR(_xlfn.XLOOKUP($A570,'Movimentação'!$B$7:$B$1006,'Movimentação'!$G$7:$G$1006,"",0,-1),""))</f>
        <v/>
      </c>
      <c r="L570" s="24" t="str">
        <f t="shared" si="3"/>
        <v/>
      </c>
      <c r="M570" s="17"/>
      <c r="N570" s="30" t="str">
        <f t="array" ref="N570">IF($A570="","",IFERROR(IF(OR($L570="BAIXADO",$L570="FURTADO"),0,INDEX(Listas!$J$2:$J$40,MATCH($B570,Listas!$I$2:$I$40,0))),""))</f>
        <v/>
      </c>
      <c r="P570" s="31" t="str">
        <f t="array" ref="P570">IF($A570="","",IFERROR(_xlfn.XLOOKUP($A570,'Movimentação'!$B$7:$B$1006,'Movimentação'!$F$7:$F$1006,"",0,-1),""))</f>
        <v/>
      </c>
      <c r="Q570" s="31">
        <f>IF(COUNTIFS('Manutenção'!$B$7:$B$1006,$A570,'Manutenção'!$H$7:$H$1006,"EM CONSERTO")&gt;0,1,0)</f>
        <v>0</v>
      </c>
    </row>
    <row r="571" ht="15.0" hidden="1" customHeight="1">
      <c r="A571" s="15"/>
      <c r="B571" s="17"/>
      <c r="C571" s="17"/>
      <c r="D571" s="17"/>
      <c r="E571" s="17"/>
      <c r="F571" s="17"/>
      <c r="G571" s="18"/>
      <c r="H571" s="15"/>
      <c r="I571" s="15"/>
      <c r="J571" s="24" t="str">
        <f t="array" ref="J571">IF($A571="","",IFERROR(_xlfn.XLOOKUP($A571,'Movimentação'!$B$7:$B$1006,'Movimentação'!$E$7:$E$1006,"",0,-1),""))</f>
        <v/>
      </c>
      <c r="K571" s="24" t="str">
        <f t="array" ref="K571">IF($A571="","",IFERROR(_xlfn.XLOOKUP($A571,'Movimentação'!$B$7:$B$1006,'Movimentação'!$G$7:$G$1006,"",0,-1),""))</f>
        <v/>
      </c>
      <c r="L571" s="24" t="str">
        <f t="shared" si="3"/>
        <v/>
      </c>
      <c r="M571" s="17"/>
      <c r="N571" s="30" t="str">
        <f t="array" ref="N571">IF($A571="","",IFERROR(IF(OR($L571="BAIXADO",$L571="FURTADO"),0,INDEX(Listas!$J$2:$J$40,MATCH($B571,Listas!$I$2:$I$40,0))),""))</f>
        <v/>
      </c>
      <c r="P571" s="31" t="str">
        <f t="array" ref="P571">IF($A571="","",IFERROR(_xlfn.XLOOKUP($A571,'Movimentação'!$B$7:$B$1006,'Movimentação'!$F$7:$F$1006,"",0,-1),""))</f>
        <v/>
      </c>
      <c r="Q571" s="31">
        <f>IF(COUNTIFS('Manutenção'!$B$7:$B$1006,$A571,'Manutenção'!$H$7:$H$1006,"EM CONSERTO")&gt;0,1,0)</f>
        <v>0</v>
      </c>
    </row>
    <row r="572" ht="15.0" hidden="1" customHeight="1">
      <c r="A572" s="15"/>
      <c r="B572" s="17"/>
      <c r="C572" s="17"/>
      <c r="D572" s="17"/>
      <c r="E572" s="17"/>
      <c r="F572" s="17"/>
      <c r="G572" s="18"/>
      <c r="H572" s="15"/>
      <c r="I572" s="15"/>
      <c r="J572" s="24" t="str">
        <f t="array" ref="J572">IF($A572="","",IFERROR(_xlfn.XLOOKUP($A572,'Movimentação'!$B$7:$B$1006,'Movimentação'!$E$7:$E$1006,"",0,-1),""))</f>
        <v/>
      </c>
      <c r="K572" s="24" t="str">
        <f t="array" ref="K572">IF($A572="","",IFERROR(_xlfn.XLOOKUP($A572,'Movimentação'!$B$7:$B$1006,'Movimentação'!$G$7:$G$1006,"",0,-1),""))</f>
        <v/>
      </c>
      <c r="L572" s="24" t="str">
        <f t="shared" si="3"/>
        <v/>
      </c>
      <c r="M572" s="17"/>
      <c r="N572" s="30" t="str">
        <f t="array" ref="N572">IF($A572="","",IFERROR(IF(OR($L572="BAIXADO",$L572="FURTADO"),0,INDEX(Listas!$J$2:$J$40,MATCH($B572,Listas!$I$2:$I$40,0))),""))</f>
        <v/>
      </c>
      <c r="P572" s="31" t="str">
        <f t="array" ref="P572">IF($A572="","",IFERROR(_xlfn.XLOOKUP($A572,'Movimentação'!$B$7:$B$1006,'Movimentação'!$F$7:$F$1006,"",0,-1),""))</f>
        <v/>
      </c>
      <c r="Q572" s="31">
        <f>IF(COUNTIFS('Manutenção'!$B$7:$B$1006,$A572,'Manutenção'!$H$7:$H$1006,"EM CONSERTO")&gt;0,1,0)</f>
        <v>0</v>
      </c>
    </row>
    <row r="573" ht="15.0" hidden="1" customHeight="1">
      <c r="A573" s="15"/>
      <c r="B573" s="17"/>
      <c r="C573" s="17"/>
      <c r="D573" s="17"/>
      <c r="E573" s="17"/>
      <c r="F573" s="17"/>
      <c r="G573" s="18"/>
      <c r="H573" s="15"/>
      <c r="I573" s="15"/>
      <c r="J573" s="24" t="str">
        <f t="array" ref="J573">IF($A573="","",IFERROR(_xlfn.XLOOKUP($A573,'Movimentação'!$B$7:$B$1006,'Movimentação'!$E$7:$E$1006,"",0,-1),""))</f>
        <v/>
      </c>
      <c r="K573" s="24" t="str">
        <f t="array" ref="K573">IF($A573="","",IFERROR(_xlfn.XLOOKUP($A573,'Movimentação'!$B$7:$B$1006,'Movimentação'!$G$7:$G$1006,"",0,-1),""))</f>
        <v/>
      </c>
      <c r="L573" s="24" t="str">
        <f t="shared" si="3"/>
        <v/>
      </c>
      <c r="M573" s="17"/>
      <c r="N573" s="30" t="str">
        <f t="array" ref="N573">IF($A573="","",IFERROR(IF(OR($L573="BAIXADO",$L573="FURTADO"),0,INDEX(Listas!$J$2:$J$40,MATCH($B573,Listas!$I$2:$I$40,0))),""))</f>
        <v/>
      </c>
      <c r="P573" s="31" t="str">
        <f t="array" ref="P573">IF($A573="","",IFERROR(_xlfn.XLOOKUP($A573,'Movimentação'!$B$7:$B$1006,'Movimentação'!$F$7:$F$1006,"",0,-1),""))</f>
        <v/>
      </c>
      <c r="Q573" s="31">
        <f>IF(COUNTIFS('Manutenção'!$B$7:$B$1006,$A573,'Manutenção'!$H$7:$H$1006,"EM CONSERTO")&gt;0,1,0)</f>
        <v>0</v>
      </c>
    </row>
    <row r="574" ht="15.0" hidden="1" customHeight="1">
      <c r="A574" s="15"/>
      <c r="B574" s="17"/>
      <c r="C574" s="17"/>
      <c r="D574" s="17"/>
      <c r="E574" s="17"/>
      <c r="F574" s="17"/>
      <c r="G574" s="18"/>
      <c r="H574" s="15"/>
      <c r="I574" s="15"/>
      <c r="J574" s="24" t="str">
        <f t="array" ref="J574">IF($A574="","",IFERROR(_xlfn.XLOOKUP($A574,'Movimentação'!$B$7:$B$1006,'Movimentação'!$E$7:$E$1006,"",0,-1),""))</f>
        <v/>
      </c>
      <c r="K574" s="24" t="str">
        <f t="array" ref="K574">IF($A574="","",IFERROR(_xlfn.XLOOKUP($A574,'Movimentação'!$B$7:$B$1006,'Movimentação'!$G$7:$G$1006,"",0,-1),""))</f>
        <v/>
      </c>
      <c r="L574" s="24" t="str">
        <f t="shared" si="3"/>
        <v/>
      </c>
      <c r="M574" s="17"/>
      <c r="N574" s="30" t="str">
        <f t="array" ref="N574">IF($A574="","",IFERROR(IF(OR($L574="BAIXADO",$L574="FURTADO"),0,INDEX(Listas!$J$2:$J$40,MATCH($B574,Listas!$I$2:$I$40,0))),""))</f>
        <v/>
      </c>
      <c r="P574" s="31" t="str">
        <f t="array" ref="P574">IF($A574="","",IFERROR(_xlfn.XLOOKUP($A574,'Movimentação'!$B$7:$B$1006,'Movimentação'!$F$7:$F$1006,"",0,-1),""))</f>
        <v/>
      </c>
      <c r="Q574" s="31">
        <f>IF(COUNTIFS('Manutenção'!$B$7:$B$1006,$A574,'Manutenção'!$H$7:$H$1006,"EM CONSERTO")&gt;0,1,0)</f>
        <v>0</v>
      </c>
    </row>
    <row r="575" ht="15.0" hidden="1" customHeight="1">
      <c r="A575" s="15"/>
      <c r="B575" s="17"/>
      <c r="C575" s="17"/>
      <c r="D575" s="17"/>
      <c r="E575" s="17"/>
      <c r="F575" s="17"/>
      <c r="G575" s="18"/>
      <c r="H575" s="15"/>
      <c r="I575" s="15"/>
      <c r="J575" s="24" t="str">
        <f t="array" ref="J575">IF($A575="","",IFERROR(_xlfn.XLOOKUP($A575,'Movimentação'!$B$7:$B$1006,'Movimentação'!$E$7:$E$1006,"",0,-1),""))</f>
        <v/>
      </c>
      <c r="K575" s="24" t="str">
        <f t="array" ref="K575">IF($A575="","",IFERROR(_xlfn.XLOOKUP($A575,'Movimentação'!$B$7:$B$1006,'Movimentação'!$G$7:$G$1006,"",0,-1),""))</f>
        <v/>
      </c>
      <c r="L575" s="24" t="str">
        <f t="shared" si="3"/>
        <v/>
      </c>
      <c r="M575" s="17"/>
      <c r="N575" s="30" t="str">
        <f t="array" ref="N575">IF($A575="","",IFERROR(IF(OR($L575="BAIXADO",$L575="FURTADO"),0,INDEX(Listas!$J$2:$J$40,MATCH($B575,Listas!$I$2:$I$40,0))),""))</f>
        <v/>
      </c>
      <c r="P575" s="31" t="str">
        <f t="array" ref="P575">IF($A575="","",IFERROR(_xlfn.XLOOKUP($A575,'Movimentação'!$B$7:$B$1006,'Movimentação'!$F$7:$F$1006,"",0,-1),""))</f>
        <v/>
      </c>
      <c r="Q575" s="31">
        <f>IF(COUNTIFS('Manutenção'!$B$7:$B$1006,$A575,'Manutenção'!$H$7:$H$1006,"EM CONSERTO")&gt;0,1,0)</f>
        <v>0</v>
      </c>
    </row>
    <row r="576" ht="15.0" hidden="1" customHeight="1">
      <c r="A576" s="15"/>
      <c r="B576" s="17"/>
      <c r="C576" s="17"/>
      <c r="D576" s="17"/>
      <c r="E576" s="17"/>
      <c r="F576" s="17"/>
      <c r="G576" s="18"/>
      <c r="H576" s="15"/>
      <c r="I576" s="15"/>
      <c r="J576" s="24" t="str">
        <f t="array" ref="J576">IF($A576="","",IFERROR(_xlfn.XLOOKUP($A576,'Movimentação'!$B$7:$B$1006,'Movimentação'!$E$7:$E$1006,"",0,-1),""))</f>
        <v/>
      </c>
      <c r="K576" s="24" t="str">
        <f t="array" ref="K576">IF($A576="","",IFERROR(_xlfn.XLOOKUP($A576,'Movimentação'!$B$7:$B$1006,'Movimentação'!$G$7:$G$1006,"",0,-1),""))</f>
        <v/>
      </c>
      <c r="L576" s="24" t="str">
        <f t="shared" si="3"/>
        <v/>
      </c>
      <c r="M576" s="17"/>
      <c r="N576" s="30" t="str">
        <f t="array" ref="N576">IF($A576="","",IFERROR(IF(OR($L576="BAIXADO",$L576="FURTADO"),0,INDEX(Listas!$J$2:$J$40,MATCH($B576,Listas!$I$2:$I$40,0))),""))</f>
        <v/>
      </c>
      <c r="P576" s="31" t="str">
        <f t="array" ref="P576">IF($A576="","",IFERROR(_xlfn.XLOOKUP($A576,'Movimentação'!$B$7:$B$1006,'Movimentação'!$F$7:$F$1006,"",0,-1),""))</f>
        <v/>
      </c>
      <c r="Q576" s="31">
        <f>IF(COUNTIFS('Manutenção'!$B$7:$B$1006,$A576,'Manutenção'!$H$7:$H$1006,"EM CONSERTO")&gt;0,1,0)</f>
        <v>0</v>
      </c>
    </row>
    <row r="577" ht="15.0" hidden="1" customHeight="1">
      <c r="A577" s="15"/>
      <c r="B577" s="17"/>
      <c r="C577" s="17"/>
      <c r="D577" s="17"/>
      <c r="E577" s="17"/>
      <c r="F577" s="17"/>
      <c r="G577" s="18"/>
      <c r="H577" s="15"/>
      <c r="I577" s="15"/>
      <c r="J577" s="24" t="str">
        <f t="array" ref="J577">IF($A577="","",IFERROR(_xlfn.XLOOKUP($A577,'Movimentação'!$B$7:$B$1006,'Movimentação'!$E$7:$E$1006,"",0,-1),""))</f>
        <v/>
      </c>
      <c r="K577" s="24" t="str">
        <f t="array" ref="K577">IF($A577="","",IFERROR(_xlfn.XLOOKUP($A577,'Movimentação'!$B$7:$B$1006,'Movimentação'!$G$7:$G$1006,"",0,-1),""))</f>
        <v/>
      </c>
      <c r="L577" s="24" t="str">
        <f t="shared" si="3"/>
        <v/>
      </c>
      <c r="M577" s="17"/>
      <c r="N577" s="30" t="str">
        <f t="array" ref="N577">IF($A577="","",IFERROR(IF(OR($L577="BAIXADO",$L577="FURTADO"),0,INDEX(Listas!$J$2:$J$40,MATCH($B577,Listas!$I$2:$I$40,0))),""))</f>
        <v/>
      </c>
      <c r="P577" s="31" t="str">
        <f t="array" ref="P577">IF($A577="","",IFERROR(_xlfn.XLOOKUP($A577,'Movimentação'!$B$7:$B$1006,'Movimentação'!$F$7:$F$1006,"",0,-1),""))</f>
        <v/>
      </c>
      <c r="Q577" s="31">
        <f>IF(COUNTIFS('Manutenção'!$B$7:$B$1006,$A577,'Manutenção'!$H$7:$H$1006,"EM CONSERTO")&gt;0,1,0)</f>
        <v>0</v>
      </c>
    </row>
    <row r="578" ht="15.0" hidden="1" customHeight="1">
      <c r="A578" s="15"/>
      <c r="B578" s="17"/>
      <c r="C578" s="17"/>
      <c r="D578" s="17"/>
      <c r="E578" s="17"/>
      <c r="F578" s="17"/>
      <c r="G578" s="18"/>
      <c r="H578" s="15"/>
      <c r="I578" s="15"/>
      <c r="J578" s="24" t="str">
        <f t="array" ref="J578">IF($A578="","",IFERROR(_xlfn.XLOOKUP($A578,'Movimentação'!$B$7:$B$1006,'Movimentação'!$E$7:$E$1006,"",0,-1),""))</f>
        <v/>
      </c>
      <c r="K578" s="24" t="str">
        <f t="array" ref="K578">IF($A578="","",IFERROR(_xlfn.XLOOKUP($A578,'Movimentação'!$B$7:$B$1006,'Movimentação'!$G$7:$G$1006,"",0,-1),""))</f>
        <v/>
      </c>
      <c r="L578" s="24" t="str">
        <f t="shared" si="3"/>
        <v/>
      </c>
      <c r="M578" s="17"/>
      <c r="N578" s="30" t="str">
        <f t="array" ref="N578">IF($A578="","",IFERROR(IF(OR($L578="BAIXADO",$L578="FURTADO"),0,INDEX(Listas!$J$2:$J$40,MATCH($B578,Listas!$I$2:$I$40,0))),""))</f>
        <v/>
      </c>
      <c r="P578" s="31" t="str">
        <f t="array" ref="P578">IF($A578="","",IFERROR(_xlfn.XLOOKUP($A578,'Movimentação'!$B$7:$B$1006,'Movimentação'!$F$7:$F$1006,"",0,-1),""))</f>
        <v/>
      </c>
      <c r="Q578" s="31">
        <f>IF(COUNTIFS('Manutenção'!$B$7:$B$1006,$A578,'Manutenção'!$H$7:$H$1006,"EM CONSERTO")&gt;0,1,0)</f>
        <v>0</v>
      </c>
    </row>
    <row r="579" ht="15.0" hidden="1" customHeight="1">
      <c r="A579" s="15"/>
      <c r="B579" s="17"/>
      <c r="C579" s="17"/>
      <c r="D579" s="17"/>
      <c r="E579" s="17"/>
      <c r="F579" s="17"/>
      <c r="G579" s="18"/>
      <c r="H579" s="15"/>
      <c r="I579" s="15"/>
      <c r="J579" s="24" t="str">
        <f t="array" ref="J579">IF($A579="","",IFERROR(_xlfn.XLOOKUP($A579,'Movimentação'!$B$7:$B$1006,'Movimentação'!$E$7:$E$1006,"",0,-1),""))</f>
        <v/>
      </c>
      <c r="K579" s="24" t="str">
        <f t="array" ref="K579">IF($A579="","",IFERROR(_xlfn.XLOOKUP($A579,'Movimentação'!$B$7:$B$1006,'Movimentação'!$G$7:$G$1006,"",0,-1),""))</f>
        <v/>
      </c>
      <c r="L579" s="24" t="str">
        <f t="shared" si="3"/>
        <v/>
      </c>
      <c r="M579" s="17"/>
      <c r="N579" s="30" t="str">
        <f t="array" ref="N579">IF($A579="","",IFERROR(IF(OR($L579="BAIXADO",$L579="FURTADO"),0,INDEX(Listas!$J$2:$J$40,MATCH($B579,Listas!$I$2:$I$40,0))),""))</f>
        <v/>
      </c>
      <c r="P579" s="31" t="str">
        <f t="array" ref="P579">IF($A579="","",IFERROR(_xlfn.XLOOKUP($A579,'Movimentação'!$B$7:$B$1006,'Movimentação'!$F$7:$F$1006,"",0,-1),""))</f>
        <v/>
      </c>
      <c r="Q579" s="31">
        <f>IF(COUNTIFS('Manutenção'!$B$7:$B$1006,$A579,'Manutenção'!$H$7:$H$1006,"EM CONSERTO")&gt;0,1,0)</f>
        <v>0</v>
      </c>
    </row>
    <row r="580" ht="15.0" hidden="1" customHeight="1">
      <c r="A580" s="15"/>
      <c r="B580" s="17"/>
      <c r="C580" s="17"/>
      <c r="D580" s="17"/>
      <c r="E580" s="17"/>
      <c r="F580" s="17"/>
      <c r="G580" s="18"/>
      <c r="H580" s="15"/>
      <c r="I580" s="15"/>
      <c r="J580" s="24" t="str">
        <f t="array" ref="J580">IF($A580="","",IFERROR(_xlfn.XLOOKUP($A580,'Movimentação'!$B$7:$B$1006,'Movimentação'!$E$7:$E$1006,"",0,-1),""))</f>
        <v/>
      </c>
      <c r="K580" s="24" t="str">
        <f t="array" ref="K580">IF($A580="","",IFERROR(_xlfn.XLOOKUP($A580,'Movimentação'!$B$7:$B$1006,'Movimentação'!$G$7:$G$1006,"",0,-1),""))</f>
        <v/>
      </c>
      <c r="L580" s="24" t="str">
        <f t="shared" si="3"/>
        <v/>
      </c>
      <c r="M580" s="17"/>
      <c r="N580" s="30" t="str">
        <f t="array" ref="N580">IF($A580="","",IFERROR(IF(OR($L580="BAIXADO",$L580="FURTADO"),0,INDEX(Listas!$J$2:$J$40,MATCH($B580,Listas!$I$2:$I$40,0))),""))</f>
        <v/>
      </c>
      <c r="P580" s="31" t="str">
        <f t="array" ref="P580">IF($A580="","",IFERROR(_xlfn.XLOOKUP($A580,'Movimentação'!$B$7:$B$1006,'Movimentação'!$F$7:$F$1006,"",0,-1),""))</f>
        <v/>
      </c>
      <c r="Q580" s="31">
        <f>IF(COUNTIFS('Manutenção'!$B$7:$B$1006,$A580,'Manutenção'!$H$7:$H$1006,"EM CONSERTO")&gt;0,1,0)</f>
        <v>0</v>
      </c>
    </row>
    <row r="581" ht="15.0" hidden="1" customHeight="1">
      <c r="A581" s="15"/>
      <c r="B581" s="17"/>
      <c r="C581" s="17"/>
      <c r="D581" s="17"/>
      <c r="E581" s="17"/>
      <c r="F581" s="17"/>
      <c r="G581" s="18"/>
      <c r="H581" s="15"/>
      <c r="I581" s="15"/>
      <c r="J581" s="24" t="str">
        <f t="array" ref="J581">IF($A581="","",IFERROR(_xlfn.XLOOKUP($A581,'Movimentação'!$B$7:$B$1006,'Movimentação'!$E$7:$E$1006,"",0,-1),""))</f>
        <v/>
      </c>
      <c r="K581" s="24" t="str">
        <f t="array" ref="K581">IF($A581="","",IFERROR(_xlfn.XLOOKUP($A581,'Movimentação'!$B$7:$B$1006,'Movimentação'!$G$7:$G$1006,"",0,-1),""))</f>
        <v/>
      </c>
      <c r="L581" s="24" t="str">
        <f t="shared" si="3"/>
        <v/>
      </c>
      <c r="M581" s="17"/>
      <c r="N581" s="30" t="str">
        <f t="array" ref="N581">IF($A581="","",IFERROR(IF(OR($L581="BAIXADO",$L581="FURTADO"),0,INDEX(Listas!$J$2:$J$40,MATCH($B581,Listas!$I$2:$I$40,0))),""))</f>
        <v/>
      </c>
      <c r="P581" s="31" t="str">
        <f t="array" ref="P581">IF($A581="","",IFERROR(_xlfn.XLOOKUP($A581,'Movimentação'!$B$7:$B$1006,'Movimentação'!$F$7:$F$1006,"",0,-1),""))</f>
        <v/>
      </c>
      <c r="Q581" s="31">
        <f>IF(COUNTIFS('Manutenção'!$B$7:$B$1006,$A581,'Manutenção'!$H$7:$H$1006,"EM CONSERTO")&gt;0,1,0)</f>
        <v>0</v>
      </c>
    </row>
    <row r="582" ht="15.0" hidden="1" customHeight="1">
      <c r="A582" s="15"/>
      <c r="B582" s="17"/>
      <c r="C582" s="17"/>
      <c r="D582" s="17"/>
      <c r="E582" s="17"/>
      <c r="F582" s="17"/>
      <c r="G582" s="18"/>
      <c r="H582" s="15"/>
      <c r="I582" s="15"/>
      <c r="J582" s="24" t="str">
        <f t="array" ref="J582">IF($A582="","",IFERROR(_xlfn.XLOOKUP($A582,'Movimentação'!$B$7:$B$1006,'Movimentação'!$E$7:$E$1006,"",0,-1),""))</f>
        <v/>
      </c>
      <c r="K582" s="24" t="str">
        <f t="array" ref="K582">IF($A582="","",IFERROR(_xlfn.XLOOKUP($A582,'Movimentação'!$B$7:$B$1006,'Movimentação'!$G$7:$G$1006,"",0,-1),""))</f>
        <v/>
      </c>
      <c r="L582" s="24" t="str">
        <f t="shared" si="3"/>
        <v/>
      </c>
      <c r="M582" s="17"/>
      <c r="N582" s="30" t="str">
        <f t="array" ref="N582">IF($A582="","",IFERROR(IF(OR($L582="BAIXADO",$L582="FURTADO"),0,INDEX(Listas!$J$2:$J$40,MATCH($B582,Listas!$I$2:$I$40,0))),""))</f>
        <v/>
      </c>
      <c r="P582" s="31" t="str">
        <f t="array" ref="P582">IF($A582="","",IFERROR(_xlfn.XLOOKUP($A582,'Movimentação'!$B$7:$B$1006,'Movimentação'!$F$7:$F$1006,"",0,-1),""))</f>
        <v/>
      </c>
      <c r="Q582" s="31">
        <f>IF(COUNTIFS('Manutenção'!$B$7:$B$1006,$A582,'Manutenção'!$H$7:$H$1006,"EM CONSERTO")&gt;0,1,0)</f>
        <v>0</v>
      </c>
    </row>
    <row r="583" ht="15.0" hidden="1" customHeight="1">
      <c r="A583" s="15"/>
      <c r="B583" s="17"/>
      <c r="C583" s="17"/>
      <c r="D583" s="17"/>
      <c r="E583" s="17"/>
      <c r="F583" s="17"/>
      <c r="G583" s="18"/>
      <c r="H583" s="15"/>
      <c r="I583" s="15"/>
      <c r="J583" s="24" t="str">
        <f t="array" ref="J583">IF($A583="","",IFERROR(_xlfn.XLOOKUP($A583,'Movimentação'!$B$7:$B$1006,'Movimentação'!$E$7:$E$1006,"",0,-1),""))</f>
        <v/>
      </c>
      <c r="K583" s="24" t="str">
        <f t="array" ref="K583">IF($A583="","",IFERROR(_xlfn.XLOOKUP($A583,'Movimentação'!$B$7:$B$1006,'Movimentação'!$G$7:$G$1006,"",0,-1),""))</f>
        <v/>
      </c>
      <c r="L583" s="24" t="str">
        <f t="shared" si="3"/>
        <v/>
      </c>
      <c r="M583" s="17"/>
      <c r="N583" s="30" t="str">
        <f t="array" ref="N583">IF($A583="","",IFERROR(IF(OR($L583="BAIXADO",$L583="FURTADO"),0,INDEX(Listas!$J$2:$J$40,MATCH($B583,Listas!$I$2:$I$40,0))),""))</f>
        <v/>
      </c>
      <c r="P583" s="31" t="str">
        <f t="array" ref="P583">IF($A583="","",IFERROR(_xlfn.XLOOKUP($A583,'Movimentação'!$B$7:$B$1006,'Movimentação'!$F$7:$F$1006,"",0,-1),""))</f>
        <v/>
      </c>
      <c r="Q583" s="31">
        <f>IF(COUNTIFS('Manutenção'!$B$7:$B$1006,$A583,'Manutenção'!$H$7:$H$1006,"EM CONSERTO")&gt;0,1,0)</f>
        <v>0</v>
      </c>
    </row>
    <row r="584" ht="15.0" hidden="1" customHeight="1">
      <c r="A584" s="15"/>
      <c r="B584" s="17"/>
      <c r="C584" s="17"/>
      <c r="D584" s="17"/>
      <c r="E584" s="17"/>
      <c r="F584" s="17"/>
      <c r="G584" s="18"/>
      <c r="H584" s="15"/>
      <c r="I584" s="15"/>
      <c r="J584" s="24" t="str">
        <f t="array" ref="J584">IF($A584="","",IFERROR(_xlfn.XLOOKUP($A584,'Movimentação'!$B$7:$B$1006,'Movimentação'!$E$7:$E$1006,"",0,-1),""))</f>
        <v/>
      </c>
      <c r="K584" s="24" t="str">
        <f t="array" ref="K584">IF($A584="","",IFERROR(_xlfn.XLOOKUP($A584,'Movimentação'!$B$7:$B$1006,'Movimentação'!$G$7:$G$1006,"",0,-1),""))</f>
        <v/>
      </c>
      <c r="L584" s="24" t="str">
        <f t="shared" si="3"/>
        <v/>
      </c>
      <c r="M584" s="17"/>
      <c r="N584" s="30" t="str">
        <f t="array" ref="N584">IF($A584="","",IFERROR(IF(OR($L584="BAIXADO",$L584="FURTADO"),0,INDEX(Listas!$J$2:$J$40,MATCH($B584,Listas!$I$2:$I$40,0))),""))</f>
        <v/>
      </c>
      <c r="P584" s="31" t="str">
        <f t="array" ref="P584">IF($A584="","",IFERROR(_xlfn.XLOOKUP($A584,'Movimentação'!$B$7:$B$1006,'Movimentação'!$F$7:$F$1006,"",0,-1),""))</f>
        <v/>
      </c>
      <c r="Q584" s="31">
        <f>IF(COUNTIFS('Manutenção'!$B$7:$B$1006,$A584,'Manutenção'!$H$7:$H$1006,"EM CONSERTO")&gt;0,1,0)</f>
        <v>0</v>
      </c>
    </row>
    <row r="585" ht="15.0" hidden="1" customHeight="1">
      <c r="A585" s="15"/>
      <c r="B585" s="17"/>
      <c r="C585" s="17"/>
      <c r="D585" s="17"/>
      <c r="E585" s="17"/>
      <c r="F585" s="17"/>
      <c r="G585" s="18"/>
      <c r="H585" s="15"/>
      <c r="I585" s="15"/>
      <c r="J585" s="24" t="str">
        <f t="array" ref="J585">IF($A585="","",IFERROR(_xlfn.XLOOKUP($A585,'Movimentação'!$B$7:$B$1006,'Movimentação'!$E$7:$E$1006,"",0,-1),""))</f>
        <v/>
      </c>
      <c r="K585" s="24" t="str">
        <f t="array" ref="K585">IF($A585="","",IFERROR(_xlfn.XLOOKUP($A585,'Movimentação'!$B$7:$B$1006,'Movimentação'!$G$7:$G$1006,"",0,-1),""))</f>
        <v/>
      </c>
      <c r="L585" s="24" t="str">
        <f t="shared" si="3"/>
        <v/>
      </c>
      <c r="M585" s="17"/>
      <c r="N585" s="30" t="str">
        <f t="array" ref="N585">IF($A585="","",IFERROR(IF(OR($L585="BAIXADO",$L585="FURTADO"),0,INDEX(Listas!$J$2:$J$40,MATCH($B585,Listas!$I$2:$I$40,0))),""))</f>
        <v/>
      </c>
      <c r="P585" s="31" t="str">
        <f t="array" ref="P585">IF($A585="","",IFERROR(_xlfn.XLOOKUP($A585,'Movimentação'!$B$7:$B$1006,'Movimentação'!$F$7:$F$1006,"",0,-1),""))</f>
        <v/>
      </c>
      <c r="Q585" s="31">
        <f>IF(COUNTIFS('Manutenção'!$B$7:$B$1006,$A585,'Manutenção'!$H$7:$H$1006,"EM CONSERTO")&gt;0,1,0)</f>
        <v>0</v>
      </c>
    </row>
    <row r="586" ht="15.0" hidden="1" customHeight="1">
      <c r="A586" s="15"/>
      <c r="B586" s="17"/>
      <c r="C586" s="17"/>
      <c r="D586" s="17"/>
      <c r="E586" s="17"/>
      <c r="F586" s="17"/>
      <c r="G586" s="18"/>
      <c r="H586" s="15"/>
      <c r="I586" s="15"/>
      <c r="J586" s="24" t="str">
        <f t="array" ref="J586">IF($A586="","",IFERROR(_xlfn.XLOOKUP($A586,'Movimentação'!$B$7:$B$1006,'Movimentação'!$E$7:$E$1006,"",0,-1),""))</f>
        <v/>
      </c>
      <c r="K586" s="24" t="str">
        <f t="array" ref="K586">IF($A586="","",IFERROR(_xlfn.XLOOKUP($A586,'Movimentação'!$B$7:$B$1006,'Movimentação'!$G$7:$G$1006,"",0,-1),""))</f>
        <v/>
      </c>
      <c r="L586" s="24" t="str">
        <f t="shared" si="3"/>
        <v/>
      </c>
      <c r="M586" s="17"/>
      <c r="N586" s="30" t="str">
        <f t="array" ref="N586">IF($A586="","",IFERROR(IF(OR($L586="BAIXADO",$L586="FURTADO"),0,INDEX(Listas!$J$2:$J$40,MATCH($B586,Listas!$I$2:$I$40,0))),""))</f>
        <v/>
      </c>
      <c r="P586" s="31" t="str">
        <f t="array" ref="P586">IF($A586="","",IFERROR(_xlfn.XLOOKUP($A586,'Movimentação'!$B$7:$B$1006,'Movimentação'!$F$7:$F$1006,"",0,-1),""))</f>
        <v/>
      </c>
      <c r="Q586" s="31">
        <f>IF(COUNTIFS('Manutenção'!$B$7:$B$1006,$A586,'Manutenção'!$H$7:$H$1006,"EM CONSERTO")&gt;0,1,0)</f>
        <v>0</v>
      </c>
    </row>
    <row r="587" ht="15.0" hidden="1" customHeight="1">
      <c r="A587" s="15"/>
      <c r="B587" s="17"/>
      <c r="C587" s="17"/>
      <c r="D587" s="17"/>
      <c r="E587" s="17"/>
      <c r="F587" s="17"/>
      <c r="G587" s="18"/>
      <c r="H587" s="15"/>
      <c r="I587" s="15"/>
      <c r="J587" s="24" t="str">
        <f t="array" ref="J587">IF($A587="","",IFERROR(_xlfn.XLOOKUP($A587,'Movimentação'!$B$7:$B$1006,'Movimentação'!$E$7:$E$1006,"",0,-1),""))</f>
        <v/>
      </c>
      <c r="K587" s="24" t="str">
        <f t="array" ref="K587">IF($A587="","",IFERROR(_xlfn.XLOOKUP($A587,'Movimentação'!$B$7:$B$1006,'Movimentação'!$G$7:$G$1006,"",0,-1),""))</f>
        <v/>
      </c>
      <c r="L587" s="24" t="str">
        <f t="shared" si="3"/>
        <v/>
      </c>
      <c r="M587" s="17"/>
      <c r="N587" s="30" t="str">
        <f t="array" ref="N587">IF($A587="","",IFERROR(IF(OR($L587="BAIXADO",$L587="FURTADO"),0,INDEX(Listas!$J$2:$J$40,MATCH($B587,Listas!$I$2:$I$40,0))),""))</f>
        <v/>
      </c>
      <c r="P587" s="31" t="str">
        <f t="array" ref="P587">IF($A587="","",IFERROR(_xlfn.XLOOKUP($A587,'Movimentação'!$B$7:$B$1006,'Movimentação'!$F$7:$F$1006,"",0,-1),""))</f>
        <v/>
      </c>
      <c r="Q587" s="31">
        <f>IF(COUNTIFS('Manutenção'!$B$7:$B$1006,$A587,'Manutenção'!$H$7:$H$1006,"EM CONSERTO")&gt;0,1,0)</f>
        <v>0</v>
      </c>
    </row>
    <row r="588" ht="15.0" hidden="1" customHeight="1">
      <c r="A588" s="15"/>
      <c r="B588" s="17"/>
      <c r="C588" s="17"/>
      <c r="D588" s="17"/>
      <c r="E588" s="17"/>
      <c r="F588" s="17"/>
      <c r="G588" s="18"/>
      <c r="H588" s="15"/>
      <c r="I588" s="15"/>
      <c r="J588" s="24" t="str">
        <f t="array" ref="J588">IF($A588="","",IFERROR(_xlfn.XLOOKUP($A588,'Movimentação'!$B$7:$B$1006,'Movimentação'!$E$7:$E$1006,"",0,-1),""))</f>
        <v/>
      </c>
      <c r="K588" s="24" t="str">
        <f t="array" ref="K588">IF($A588="","",IFERROR(_xlfn.XLOOKUP($A588,'Movimentação'!$B$7:$B$1006,'Movimentação'!$G$7:$G$1006,"",0,-1),""))</f>
        <v/>
      </c>
      <c r="L588" s="24" t="str">
        <f t="shared" si="3"/>
        <v/>
      </c>
      <c r="M588" s="17"/>
      <c r="N588" s="30" t="str">
        <f t="array" ref="N588">IF($A588="","",IFERROR(IF(OR($L588="BAIXADO",$L588="FURTADO"),0,INDEX(Listas!$J$2:$J$40,MATCH($B588,Listas!$I$2:$I$40,0))),""))</f>
        <v/>
      </c>
      <c r="P588" s="31" t="str">
        <f t="array" ref="P588">IF($A588="","",IFERROR(_xlfn.XLOOKUP($A588,'Movimentação'!$B$7:$B$1006,'Movimentação'!$F$7:$F$1006,"",0,-1),""))</f>
        <v/>
      </c>
      <c r="Q588" s="31">
        <f>IF(COUNTIFS('Manutenção'!$B$7:$B$1006,$A588,'Manutenção'!$H$7:$H$1006,"EM CONSERTO")&gt;0,1,0)</f>
        <v>0</v>
      </c>
    </row>
    <row r="589" ht="15.0" hidden="1" customHeight="1">
      <c r="A589" s="15"/>
      <c r="B589" s="17"/>
      <c r="C589" s="17"/>
      <c r="D589" s="17"/>
      <c r="E589" s="17"/>
      <c r="F589" s="17"/>
      <c r="G589" s="18"/>
      <c r="H589" s="15"/>
      <c r="I589" s="15"/>
      <c r="J589" s="24" t="str">
        <f t="array" ref="J589">IF($A589="","",IFERROR(_xlfn.XLOOKUP($A589,'Movimentação'!$B$7:$B$1006,'Movimentação'!$E$7:$E$1006,"",0,-1),""))</f>
        <v/>
      </c>
      <c r="K589" s="24" t="str">
        <f t="array" ref="K589">IF($A589="","",IFERROR(_xlfn.XLOOKUP($A589,'Movimentação'!$B$7:$B$1006,'Movimentação'!$G$7:$G$1006,"",0,-1),""))</f>
        <v/>
      </c>
      <c r="L589" s="24" t="str">
        <f t="shared" si="3"/>
        <v/>
      </c>
      <c r="M589" s="17"/>
      <c r="N589" s="30" t="str">
        <f t="array" ref="N589">IF($A589="","",IFERROR(IF(OR($L589="BAIXADO",$L589="FURTADO"),0,INDEX(Listas!$J$2:$J$40,MATCH($B589,Listas!$I$2:$I$40,0))),""))</f>
        <v/>
      </c>
      <c r="P589" s="31" t="str">
        <f t="array" ref="P589">IF($A589="","",IFERROR(_xlfn.XLOOKUP($A589,'Movimentação'!$B$7:$B$1006,'Movimentação'!$F$7:$F$1006,"",0,-1),""))</f>
        <v/>
      </c>
      <c r="Q589" s="31">
        <f>IF(COUNTIFS('Manutenção'!$B$7:$B$1006,$A589,'Manutenção'!$H$7:$H$1006,"EM CONSERTO")&gt;0,1,0)</f>
        <v>0</v>
      </c>
    </row>
    <row r="590" ht="15.0" hidden="1" customHeight="1">
      <c r="A590" s="15"/>
      <c r="B590" s="17"/>
      <c r="C590" s="17"/>
      <c r="D590" s="17"/>
      <c r="E590" s="17"/>
      <c r="F590" s="17"/>
      <c r="G590" s="18"/>
      <c r="H590" s="15"/>
      <c r="I590" s="15"/>
      <c r="J590" s="24" t="str">
        <f t="array" ref="J590">IF($A590="","",IFERROR(_xlfn.XLOOKUP($A590,'Movimentação'!$B$7:$B$1006,'Movimentação'!$E$7:$E$1006,"",0,-1),""))</f>
        <v/>
      </c>
      <c r="K590" s="24" t="str">
        <f t="array" ref="K590">IF($A590="","",IFERROR(_xlfn.XLOOKUP($A590,'Movimentação'!$B$7:$B$1006,'Movimentação'!$G$7:$G$1006,"",0,-1),""))</f>
        <v/>
      </c>
      <c r="L590" s="24" t="str">
        <f t="shared" si="3"/>
        <v/>
      </c>
      <c r="M590" s="17"/>
      <c r="N590" s="30" t="str">
        <f t="array" ref="N590">IF($A590="","",IFERROR(IF(OR($L590="BAIXADO",$L590="FURTADO"),0,INDEX(Listas!$J$2:$J$40,MATCH($B590,Listas!$I$2:$I$40,0))),""))</f>
        <v/>
      </c>
      <c r="P590" s="31" t="str">
        <f t="array" ref="P590">IF($A590="","",IFERROR(_xlfn.XLOOKUP($A590,'Movimentação'!$B$7:$B$1006,'Movimentação'!$F$7:$F$1006,"",0,-1),""))</f>
        <v/>
      </c>
      <c r="Q590" s="31">
        <f>IF(COUNTIFS('Manutenção'!$B$7:$B$1006,$A590,'Manutenção'!$H$7:$H$1006,"EM CONSERTO")&gt;0,1,0)</f>
        <v>0</v>
      </c>
    </row>
    <row r="591" ht="15.0" hidden="1" customHeight="1">
      <c r="A591" s="15"/>
      <c r="B591" s="17"/>
      <c r="C591" s="17"/>
      <c r="D591" s="17"/>
      <c r="E591" s="17"/>
      <c r="F591" s="17"/>
      <c r="G591" s="18"/>
      <c r="H591" s="15"/>
      <c r="I591" s="15"/>
      <c r="J591" s="24" t="str">
        <f t="array" ref="J591">IF($A591="","",IFERROR(_xlfn.XLOOKUP($A591,'Movimentação'!$B$7:$B$1006,'Movimentação'!$E$7:$E$1006,"",0,-1),""))</f>
        <v/>
      </c>
      <c r="K591" s="24" t="str">
        <f t="array" ref="K591">IF($A591="","",IFERROR(_xlfn.XLOOKUP($A591,'Movimentação'!$B$7:$B$1006,'Movimentação'!$G$7:$G$1006,"",0,-1),""))</f>
        <v/>
      </c>
      <c r="L591" s="24" t="str">
        <f t="shared" si="3"/>
        <v/>
      </c>
      <c r="M591" s="17"/>
      <c r="N591" s="30" t="str">
        <f t="array" ref="N591">IF($A591="","",IFERROR(IF(OR($L591="BAIXADO",$L591="FURTADO"),0,INDEX(Listas!$J$2:$J$40,MATCH($B591,Listas!$I$2:$I$40,0))),""))</f>
        <v/>
      </c>
      <c r="P591" s="31" t="str">
        <f t="array" ref="P591">IF($A591="","",IFERROR(_xlfn.XLOOKUP($A591,'Movimentação'!$B$7:$B$1006,'Movimentação'!$F$7:$F$1006,"",0,-1),""))</f>
        <v/>
      </c>
      <c r="Q591" s="31">
        <f>IF(COUNTIFS('Manutenção'!$B$7:$B$1006,$A591,'Manutenção'!$H$7:$H$1006,"EM CONSERTO")&gt;0,1,0)</f>
        <v>0</v>
      </c>
    </row>
    <row r="592" ht="15.0" hidden="1" customHeight="1">
      <c r="A592" s="15"/>
      <c r="B592" s="17"/>
      <c r="C592" s="17"/>
      <c r="D592" s="17"/>
      <c r="E592" s="17"/>
      <c r="F592" s="17"/>
      <c r="G592" s="18"/>
      <c r="H592" s="15"/>
      <c r="I592" s="15"/>
      <c r="J592" s="24" t="str">
        <f t="array" ref="J592">IF($A592="","",IFERROR(_xlfn.XLOOKUP($A592,'Movimentação'!$B$7:$B$1006,'Movimentação'!$E$7:$E$1006,"",0,-1),""))</f>
        <v/>
      </c>
      <c r="K592" s="24" t="str">
        <f t="array" ref="K592">IF($A592="","",IFERROR(_xlfn.XLOOKUP($A592,'Movimentação'!$B$7:$B$1006,'Movimentação'!$G$7:$G$1006,"",0,-1),""))</f>
        <v/>
      </c>
      <c r="L592" s="24" t="str">
        <f t="shared" si="3"/>
        <v/>
      </c>
      <c r="M592" s="17"/>
      <c r="N592" s="30" t="str">
        <f t="array" ref="N592">IF($A592="","",IFERROR(IF(OR($L592="BAIXADO",$L592="FURTADO"),0,INDEX(Listas!$J$2:$J$40,MATCH($B592,Listas!$I$2:$I$40,0))),""))</f>
        <v/>
      </c>
      <c r="P592" s="31" t="str">
        <f t="array" ref="P592">IF($A592="","",IFERROR(_xlfn.XLOOKUP($A592,'Movimentação'!$B$7:$B$1006,'Movimentação'!$F$7:$F$1006,"",0,-1),""))</f>
        <v/>
      </c>
      <c r="Q592" s="31">
        <f>IF(COUNTIFS('Manutenção'!$B$7:$B$1006,$A592,'Manutenção'!$H$7:$H$1006,"EM CONSERTO")&gt;0,1,0)</f>
        <v>0</v>
      </c>
    </row>
    <row r="593" ht="15.0" hidden="1" customHeight="1">
      <c r="A593" s="15"/>
      <c r="B593" s="17"/>
      <c r="C593" s="17"/>
      <c r="D593" s="17"/>
      <c r="E593" s="17"/>
      <c r="F593" s="17"/>
      <c r="G593" s="18"/>
      <c r="H593" s="15"/>
      <c r="I593" s="15"/>
      <c r="J593" s="24" t="str">
        <f t="array" ref="J593">IF($A593="","",IFERROR(_xlfn.XLOOKUP($A593,'Movimentação'!$B$7:$B$1006,'Movimentação'!$E$7:$E$1006,"",0,-1),""))</f>
        <v/>
      </c>
      <c r="K593" s="24" t="str">
        <f t="array" ref="K593">IF($A593="","",IFERROR(_xlfn.XLOOKUP($A593,'Movimentação'!$B$7:$B$1006,'Movimentação'!$G$7:$G$1006,"",0,-1),""))</f>
        <v/>
      </c>
      <c r="L593" s="24" t="str">
        <f t="shared" si="3"/>
        <v/>
      </c>
      <c r="M593" s="17"/>
      <c r="N593" s="30" t="str">
        <f t="array" ref="N593">IF($A593="","",IFERROR(IF(OR($L593="BAIXADO",$L593="FURTADO"),0,INDEX(Listas!$J$2:$J$40,MATCH($B593,Listas!$I$2:$I$40,0))),""))</f>
        <v/>
      </c>
      <c r="P593" s="31" t="str">
        <f t="array" ref="P593">IF($A593="","",IFERROR(_xlfn.XLOOKUP($A593,'Movimentação'!$B$7:$B$1006,'Movimentação'!$F$7:$F$1006,"",0,-1),""))</f>
        <v/>
      </c>
      <c r="Q593" s="31">
        <f>IF(COUNTIFS('Manutenção'!$B$7:$B$1006,$A593,'Manutenção'!$H$7:$H$1006,"EM CONSERTO")&gt;0,1,0)</f>
        <v>0</v>
      </c>
    </row>
    <row r="594" ht="15.0" hidden="1" customHeight="1">
      <c r="A594" s="15"/>
      <c r="B594" s="17"/>
      <c r="C594" s="17"/>
      <c r="D594" s="17"/>
      <c r="E594" s="17"/>
      <c r="F594" s="17"/>
      <c r="G594" s="18"/>
      <c r="H594" s="15"/>
      <c r="I594" s="15"/>
      <c r="J594" s="24" t="str">
        <f t="array" ref="J594">IF($A594="","",IFERROR(_xlfn.XLOOKUP($A594,'Movimentação'!$B$7:$B$1006,'Movimentação'!$E$7:$E$1006,"",0,-1),""))</f>
        <v/>
      </c>
      <c r="K594" s="24" t="str">
        <f t="array" ref="K594">IF($A594="","",IFERROR(_xlfn.XLOOKUP($A594,'Movimentação'!$B$7:$B$1006,'Movimentação'!$G$7:$G$1006,"",0,-1),""))</f>
        <v/>
      </c>
      <c r="L594" s="24" t="str">
        <f t="shared" si="3"/>
        <v/>
      </c>
      <c r="M594" s="17"/>
      <c r="N594" s="30" t="str">
        <f t="array" ref="N594">IF($A594="","",IFERROR(IF(OR($L594="BAIXADO",$L594="FURTADO"),0,INDEX(Listas!$J$2:$J$40,MATCH($B594,Listas!$I$2:$I$40,0))),""))</f>
        <v/>
      </c>
      <c r="P594" s="31" t="str">
        <f t="array" ref="P594">IF($A594="","",IFERROR(_xlfn.XLOOKUP($A594,'Movimentação'!$B$7:$B$1006,'Movimentação'!$F$7:$F$1006,"",0,-1),""))</f>
        <v/>
      </c>
      <c r="Q594" s="31">
        <f>IF(COUNTIFS('Manutenção'!$B$7:$B$1006,$A594,'Manutenção'!$H$7:$H$1006,"EM CONSERTO")&gt;0,1,0)</f>
        <v>0</v>
      </c>
    </row>
    <row r="595" ht="15.0" hidden="1" customHeight="1">
      <c r="A595" s="15"/>
      <c r="B595" s="17"/>
      <c r="C595" s="17"/>
      <c r="D595" s="17"/>
      <c r="E595" s="17"/>
      <c r="F595" s="17"/>
      <c r="G595" s="18"/>
      <c r="H595" s="15"/>
      <c r="I595" s="15"/>
      <c r="J595" s="24" t="str">
        <f t="array" ref="J595">IF($A595="","",IFERROR(_xlfn.XLOOKUP($A595,'Movimentação'!$B$7:$B$1006,'Movimentação'!$E$7:$E$1006,"",0,-1),""))</f>
        <v/>
      </c>
      <c r="K595" s="24" t="str">
        <f t="array" ref="K595">IF($A595="","",IFERROR(_xlfn.XLOOKUP($A595,'Movimentação'!$B$7:$B$1006,'Movimentação'!$G$7:$G$1006,"",0,-1),""))</f>
        <v/>
      </c>
      <c r="L595" s="24" t="str">
        <f t="shared" si="3"/>
        <v/>
      </c>
      <c r="M595" s="17"/>
      <c r="N595" s="30" t="str">
        <f t="array" ref="N595">IF($A595="","",IFERROR(IF(OR($L595="BAIXADO",$L595="FURTADO"),0,INDEX(Listas!$J$2:$J$40,MATCH($B595,Listas!$I$2:$I$40,0))),""))</f>
        <v/>
      </c>
      <c r="P595" s="31" t="str">
        <f t="array" ref="P595">IF($A595="","",IFERROR(_xlfn.XLOOKUP($A595,'Movimentação'!$B$7:$B$1006,'Movimentação'!$F$7:$F$1006,"",0,-1),""))</f>
        <v/>
      </c>
      <c r="Q595" s="31">
        <f>IF(COUNTIFS('Manutenção'!$B$7:$B$1006,$A595,'Manutenção'!$H$7:$H$1006,"EM CONSERTO")&gt;0,1,0)</f>
        <v>0</v>
      </c>
    </row>
    <row r="596" ht="15.0" hidden="1" customHeight="1">
      <c r="A596" s="15"/>
      <c r="B596" s="17"/>
      <c r="C596" s="17"/>
      <c r="D596" s="17"/>
      <c r="E596" s="17"/>
      <c r="F596" s="17"/>
      <c r="G596" s="18"/>
      <c r="H596" s="15"/>
      <c r="I596" s="15"/>
      <c r="J596" s="24" t="str">
        <f t="array" ref="J596">IF($A596="","",IFERROR(_xlfn.XLOOKUP($A596,'Movimentação'!$B$7:$B$1006,'Movimentação'!$E$7:$E$1006,"",0,-1),""))</f>
        <v/>
      </c>
      <c r="K596" s="24" t="str">
        <f t="array" ref="K596">IF($A596="","",IFERROR(_xlfn.XLOOKUP($A596,'Movimentação'!$B$7:$B$1006,'Movimentação'!$G$7:$G$1006,"",0,-1),""))</f>
        <v/>
      </c>
      <c r="L596" s="24" t="str">
        <f t="shared" si="3"/>
        <v/>
      </c>
      <c r="M596" s="17"/>
      <c r="N596" s="30" t="str">
        <f t="array" ref="N596">IF($A596="","",IFERROR(IF(OR($L596="BAIXADO",$L596="FURTADO"),0,INDEX(Listas!$J$2:$J$40,MATCH($B596,Listas!$I$2:$I$40,0))),""))</f>
        <v/>
      </c>
      <c r="P596" s="31" t="str">
        <f t="array" ref="P596">IF($A596="","",IFERROR(_xlfn.XLOOKUP($A596,'Movimentação'!$B$7:$B$1006,'Movimentação'!$F$7:$F$1006,"",0,-1),""))</f>
        <v/>
      </c>
      <c r="Q596" s="31">
        <f>IF(COUNTIFS('Manutenção'!$B$7:$B$1006,$A596,'Manutenção'!$H$7:$H$1006,"EM CONSERTO")&gt;0,1,0)</f>
        <v>0</v>
      </c>
    </row>
    <row r="597" ht="15.0" hidden="1" customHeight="1">
      <c r="A597" s="15"/>
      <c r="B597" s="17"/>
      <c r="C597" s="17"/>
      <c r="D597" s="17"/>
      <c r="E597" s="17"/>
      <c r="F597" s="17"/>
      <c r="G597" s="18"/>
      <c r="H597" s="15"/>
      <c r="I597" s="15"/>
      <c r="J597" s="24" t="str">
        <f t="array" ref="J597">IF($A597="","",IFERROR(_xlfn.XLOOKUP($A597,'Movimentação'!$B$7:$B$1006,'Movimentação'!$E$7:$E$1006,"",0,-1),""))</f>
        <v/>
      </c>
      <c r="K597" s="24" t="str">
        <f t="array" ref="K597">IF($A597="","",IFERROR(_xlfn.XLOOKUP($A597,'Movimentação'!$B$7:$B$1006,'Movimentação'!$G$7:$G$1006,"",0,-1),""))</f>
        <v/>
      </c>
      <c r="L597" s="24" t="str">
        <f t="shared" si="3"/>
        <v/>
      </c>
      <c r="M597" s="17"/>
      <c r="N597" s="30" t="str">
        <f t="array" ref="N597">IF($A597="","",IFERROR(IF(OR($L597="BAIXADO",$L597="FURTADO"),0,INDEX(Listas!$J$2:$J$40,MATCH($B597,Listas!$I$2:$I$40,0))),""))</f>
        <v/>
      </c>
      <c r="P597" s="31" t="str">
        <f t="array" ref="P597">IF($A597="","",IFERROR(_xlfn.XLOOKUP($A597,'Movimentação'!$B$7:$B$1006,'Movimentação'!$F$7:$F$1006,"",0,-1),""))</f>
        <v/>
      </c>
      <c r="Q597" s="31">
        <f>IF(COUNTIFS('Manutenção'!$B$7:$B$1006,$A597,'Manutenção'!$H$7:$H$1006,"EM CONSERTO")&gt;0,1,0)</f>
        <v>0</v>
      </c>
    </row>
    <row r="598" ht="15.0" hidden="1" customHeight="1">
      <c r="A598" s="15"/>
      <c r="B598" s="17"/>
      <c r="C598" s="17"/>
      <c r="D598" s="17"/>
      <c r="E598" s="17"/>
      <c r="F598" s="17"/>
      <c r="G598" s="18"/>
      <c r="H598" s="15"/>
      <c r="I598" s="15"/>
      <c r="J598" s="24" t="str">
        <f t="array" ref="J598">IF($A598="","",IFERROR(_xlfn.XLOOKUP($A598,'Movimentação'!$B$7:$B$1006,'Movimentação'!$E$7:$E$1006,"",0,-1),""))</f>
        <v/>
      </c>
      <c r="K598" s="24" t="str">
        <f t="array" ref="K598">IF($A598="","",IFERROR(_xlfn.XLOOKUP($A598,'Movimentação'!$B$7:$B$1006,'Movimentação'!$G$7:$G$1006,"",0,-1),""))</f>
        <v/>
      </c>
      <c r="L598" s="24" t="str">
        <f t="shared" si="3"/>
        <v/>
      </c>
      <c r="M598" s="17"/>
      <c r="N598" s="30" t="str">
        <f t="array" ref="N598">IF($A598="","",IFERROR(IF(OR($L598="BAIXADO",$L598="FURTADO"),0,INDEX(Listas!$J$2:$J$40,MATCH($B598,Listas!$I$2:$I$40,0))),""))</f>
        <v/>
      </c>
      <c r="P598" s="31" t="str">
        <f t="array" ref="P598">IF($A598="","",IFERROR(_xlfn.XLOOKUP($A598,'Movimentação'!$B$7:$B$1006,'Movimentação'!$F$7:$F$1006,"",0,-1),""))</f>
        <v/>
      </c>
      <c r="Q598" s="31">
        <f>IF(COUNTIFS('Manutenção'!$B$7:$B$1006,$A598,'Manutenção'!$H$7:$H$1006,"EM CONSERTO")&gt;0,1,0)</f>
        <v>0</v>
      </c>
    </row>
    <row r="599" ht="15.0" hidden="1" customHeight="1">
      <c r="A599" s="15"/>
      <c r="B599" s="17"/>
      <c r="C599" s="17"/>
      <c r="D599" s="17"/>
      <c r="E599" s="17"/>
      <c r="F599" s="17"/>
      <c r="G599" s="18"/>
      <c r="H599" s="15"/>
      <c r="I599" s="15"/>
      <c r="J599" s="24" t="str">
        <f t="array" ref="J599">IF($A599="","",IFERROR(_xlfn.XLOOKUP($A599,'Movimentação'!$B$7:$B$1006,'Movimentação'!$E$7:$E$1006,"",0,-1),""))</f>
        <v/>
      </c>
      <c r="K599" s="24" t="str">
        <f t="array" ref="K599">IF($A599="","",IFERROR(_xlfn.XLOOKUP($A599,'Movimentação'!$B$7:$B$1006,'Movimentação'!$G$7:$G$1006,"",0,-1),""))</f>
        <v/>
      </c>
      <c r="L599" s="24" t="str">
        <f t="shared" si="3"/>
        <v/>
      </c>
      <c r="M599" s="17"/>
      <c r="N599" s="30" t="str">
        <f t="array" ref="N599">IF($A599="","",IFERROR(IF(OR($L599="BAIXADO",$L599="FURTADO"),0,INDEX(Listas!$J$2:$J$40,MATCH($B599,Listas!$I$2:$I$40,0))),""))</f>
        <v/>
      </c>
      <c r="P599" s="31" t="str">
        <f t="array" ref="P599">IF($A599="","",IFERROR(_xlfn.XLOOKUP($A599,'Movimentação'!$B$7:$B$1006,'Movimentação'!$F$7:$F$1006,"",0,-1),""))</f>
        <v/>
      </c>
      <c r="Q599" s="31">
        <f>IF(COUNTIFS('Manutenção'!$B$7:$B$1006,$A599,'Manutenção'!$H$7:$H$1006,"EM CONSERTO")&gt;0,1,0)</f>
        <v>0</v>
      </c>
    </row>
    <row r="600" ht="15.0" hidden="1" customHeight="1">
      <c r="A600" s="15"/>
      <c r="B600" s="17"/>
      <c r="C600" s="17"/>
      <c r="D600" s="17"/>
      <c r="E600" s="17"/>
      <c r="F600" s="17"/>
      <c r="G600" s="18"/>
      <c r="H600" s="15"/>
      <c r="I600" s="15"/>
      <c r="J600" s="24" t="str">
        <f t="array" ref="J600">IF($A600="","",IFERROR(_xlfn.XLOOKUP($A600,'Movimentação'!$B$7:$B$1006,'Movimentação'!$E$7:$E$1006,"",0,-1),""))</f>
        <v/>
      </c>
      <c r="K600" s="24" t="str">
        <f t="array" ref="K600">IF($A600="","",IFERROR(_xlfn.XLOOKUP($A600,'Movimentação'!$B$7:$B$1006,'Movimentação'!$G$7:$G$1006,"",0,-1),""))</f>
        <v/>
      </c>
      <c r="L600" s="24" t="str">
        <f t="shared" si="3"/>
        <v/>
      </c>
      <c r="M600" s="17"/>
      <c r="N600" s="30" t="str">
        <f t="array" ref="N600">IF($A600="","",IFERROR(IF(OR($L600="BAIXADO",$L600="FURTADO"),0,INDEX(Listas!$J$2:$J$40,MATCH($B600,Listas!$I$2:$I$40,0))),""))</f>
        <v/>
      </c>
      <c r="P600" s="31" t="str">
        <f t="array" ref="P600">IF($A600="","",IFERROR(_xlfn.XLOOKUP($A600,'Movimentação'!$B$7:$B$1006,'Movimentação'!$F$7:$F$1006,"",0,-1),""))</f>
        <v/>
      </c>
      <c r="Q600" s="31">
        <f>IF(COUNTIFS('Manutenção'!$B$7:$B$1006,$A600,'Manutenção'!$H$7:$H$1006,"EM CONSERTO")&gt;0,1,0)</f>
        <v>0</v>
      </c>
    </row>
    <row r="601" ht="15.0" hidden="1" customHeight="1">
      <c r="A601" s="15"/>
      <c r="B601" s="17"/>
      <c r="C601" s="17"/>
      <c r="D601" s="17"/>
      <c r="E601" s="17"/>
      <c r="F601" s="17"/>
      <c r="G601" s="18"/>
      <c r="H601" s="15"/>
      <c r="I601" s="15"/>
      <c r="J601" s="24" t="str">
        <f t="array" ref="J601">IF($A601="","",IFERROR(_xlfn.XLOOKUP($A601,'Movimentação'!$B$7:$B$1006,'Movimentação'!$E$7:$E$1006,"",0,-1),""))</f>
        <v/>
      </c>
      <c r="K601" s="24" t="str">
        <f t="array" ref="K601">IF($A601="","",IFERROR(_xlfn.XLOOKUP($A601,'Movimentação'!$B$7:$B$1006,'Movimentação'!$G$7:$G$1006,"",0,-1),""))</f>
        <v/>
      </c>
      <c r="L601" s="24" t="str">
        <f t="shared" si="3"/>
        <v/>
      </c>
      <c r="M601" s="17"/>
      <c r="N601" s="30" t="str">
        <f t="array" ref="N601">IF($A601="","",IFERROR(IF(OR($L601="BAIXADO",$L601="FURTADO"),0,INDEX(Listas!$J$2:$J$40,MATCH($B601,Listas!$I$2:$I$40,0))),""))</f>
        <v/>
      </c>
      <c r="P601" s="31" t="str">
        <f t="array" ref="P601">IF($A601="","",IFERROR(_xlfn.XLOOKUP($A601,'Movimentação'!$B$7:$B$1006,'Movimentação'!$F$7:$F$1006,"",0,-1),""))</f>
        <v/>
      </c>
      <c r="Q601" s="31">
        <f>IF(COUNTIFS('Manutenção'!$B$7:$B$1006,$A601,'Manutenção'!$H$7:$H$1006,"EM CONSERTO")&gt;0,1,0)</f>
        <v>0</v>
      </c>
    </row>
    <row r="602" ht="15.0" hidden="1" customHeight="1">
      <c r="A602" s="15"/>
      <c r="B602" s="17"/>
      <c r="C602" s="17"/>
      <c r="D602" s="17"/>
      <c r="E602" s="17"/>
      <c r="F602" s="17"/>
      <c r="G602" s="18"/>
      <c r="H602" s="15"/>
      <c r="I602" s="15"/>
      <c r="J602" s="24" t="str">
        <f t="array" ref="J602">IF($A602="","",IFERROR(_xlfn.XLOOKUP($A602,'Movimentação'!$B$7:$B$1006,'Movimentação'!$E$7:$E$1006,"",0,-1),""))</f>
        <v/>
      </c>
      <c r="K602" s="24" t="str">
        <f t="array" ref="K602">IF($A602="","",IFERROR(_xlfn.XLOOKUP($A602,'Movimentação'!$B$7:$B$1006,'Movimentação'!$G$7:$G$1006,"",0,-1),""))</f>
        <v/>
      </c>
      <c r="L602" s="24" t="str">
        <f t="shared" si="3"/>
        <v/>
      </c>
      <c r="M602" s="17"/>
      <c r="N602" s="30" t="str">
        <f t="array" ref="N602">IF($A602="","",IFERROR(IF(OR($L602="BAIXADO",$L602="FURTADO"),0,INDEX(Listas!$J$2:$J$40,MATCH($B602,Listas!$I$2:$I$40,0))),""))</f>
        <v/>
      </c>
      <c r="P602" s="31" t="str">
        <f t="array" ref="P602">IF($A602="","",IFERROR(_xlfn.XLOOKUP($A602,'Movimentação'!$B$7:$B$1006,'Movimentação'!$F$7:$F$1006,"",0,-1),""))</f>
        <v/>
      </c>
      <c r="Q602" s="31">
        <f>IF(COUNTIFS('Manutenção'!$B$7:$B$1006,$A602,'Manutenção'!$H$7:$H$1006,"EM CONSERTO")&gt;0,1,0)</f>
        <v>0</v>
      </c>
    </row>
    <row r="603" ht="15.0" hidden="1" customHeight="1">
      <c r="A603" s="15"/>
      <c r="B603" s="17"/>
      <c r="C603" s="17"/>
      <c r="D603" s="17"/>
      <c r="E603" s="17"/>
      <c r="F603" s="17"/>
      <c r="G603" s="18"/>
      <c r="H603" s="15"/>
      <c r="I603" s="15"/>
      <c r="J603" s="24" t="str">
        <f t="array" ref="J603">IF($A603="","",IFERROR(_xlfn.XLOOKUP($A603,'Movimentação'!$B$7:$B$1006,'Movimentação'!$E$7:$E$1006,"",0,-1),""))</f>
        <v/>
      </c>
      <c r="K603" s="24" t="str">
        <f t="array" ref="K603">IF($A603="","",IFERROR(_xlfn.XLOOKUP($A603,'Movimentação'!$B$7:$B$1006,'Movimentação'!$G$7:$G$1006,"",0,-1),""))</f>
        <v/>
      </c>
      <c r="L603" s="24" t="str">
        <f t="shared" si="3"/>
        <v/>
      </c>
      <c r="M603" s="17"/>
      <c r="N603" s="30" t="str">
        <f t="array" ref="N603">IF($A603="","",IFERROR(IF(OR($L603="BAIXADO",$L603="FURTADO"),0,INDEX(Listas!$J$2:$J$40,MATCH($B603,Listas!$I$2:$I$40,0))),""))</f>
        <v/>
      </c>
      <c r="P603" s="31" t="str">
        <f t="array" ref="P603">IF($A603="","",IFERROR(_xlfn.XLOOKUP($A603,'Movimentação'!$B$7:$B$1006,'Movimentação'!$F$7:$F$1006,"",0,-1),""))</f>
        <v/>
      </c>
      <c r="Q603" s="31">
        <f>IF(COUNTIFS('Manutenção'!$B$7:$B$1006,$A603,'Manutenção'!$H$7:$H$1006,"EM CONSERTO")&gt;0,1,0)</f>
        <v>0</v>
      </c>
    </row>
    <row r="604" ht="15.0" hidden="1" customHeight="1">
      <c r="A604" s="15"/>
      <c r="B604" s="17"/>
      <c r="C604" s="17"/>
      <c r="D604" s="17"/>
      <c r="E604" s="17"/>
      <c r="F604" s="17"/>
      <c r="G604" s="18"/>
      <c r="H604" s="15"/>
      <c r="I604" s="15"/>
      <c r="J604" s="24" t="str">
        <f t="array" ref="J604">IF($A604="","",IFERROR(_xlfn.XLOOKUP($A604,'Movimentação'!$B$7:$B$1006,'Movimentação'!$E$7:$E$1006,"",0,-1),""))</f>
        <v/>
      </c>
      <c r="K604" s="24" t="str">
        <f t="array" ref="K604">IF($A604="","",IFERROR(_xlfn.XLOOKUP($A604,'Movimentação'!$B$7:$B$1006,'Movimentação'!$G$7:$G$1006,"",0,-1),""))</f>
        <v/>
      </c>
      <c r="L604" s="24" t="str">
        <f t="shared" si="3"/>
        <v/>
      </c>
      <c r="M604" s="17"/>
      <c r="N604" s="30" t="str">
        <f t="array" ref="N604">IF($A604="","",IFERROR(IF(OR($L604="BAIXADO",$L604="FURTADO"),0,INDEX(Listas!$J$2:$J$40,MATCH($B604,Listas!$I$2:$I$40,0))),""))</f>
        <v/>
      </c>
      <c r="P604" s="31" t="str">
        <f t="array" ref="P604">IF($A604="","",IFERROR(_xlfn.XLOOKUP($A604,'Movimentação'!$B$7:$B$1006,'Movimentação'!$F$7:$F$1006,"",0,-1),""))</f>
        <v/>
      </c>
      <c r="Q604" s="31">
        <f>IF(COUNTIFS('Manutenção'!$B$7:$B$1006,$A604,'Manutenção'!$H$7:$H$1006,"EM CONSERTO")&gt;0,1,0)</f>
        <v>0</v>
      </c>
    </row>
    <row r="605" ht="15.0" hidden="1" customHeight="1">
      <c r="A605" s="15"/>
      <c r="B605" s="17"/>
      <c r="C605" s="17"/>
      <c r="D605" s="17"/>
      <c r="E605" s="17"/>
      <c r="F605" s="17"/>
      <c r="G605" s="18"/>
      <c r="H605" s="15"/>
      <c r="I605" s="15"/>
      <c r="J605" s="24" t="str">
        <f t="array" ref="J605">IF($A605="","",IFERROR(_xlfn.XLOOKUP($A605,'Movimentação'!$B$7:$B$1006,'Movimentação'!$E$7:$E$1006,"",0,-1),""))</f>
        <v/>
      </c>
      <c r="K605" s="24" t="str">
        <f t="array" ref="K605">IF($A605="","",IFERROR(_xlfn.XLOOKUP($A605,'Movimentação'!$B$7:$B$1006,'Movimentação'!$G$7:$G$1006,"",0,-1),""))</f>
        <v/>
      </c>
      <c r="L605" s="24" t="str">
        <f t="shared" si="3"/>
        <v/>
      </c>
      <c r="M605" s="17"/>
      <c r="N605" s="30" t="str">
        <f t="array" ref="N605">IF($A605="","",IFERROR(IF(OR($L605="BAIXADO",$L605="FURTADO"),0,INDEX(Listas!$J$2:$J$40,MATCH($B605,Listas!$I$2:$I$40,0))),""))</f>
        <v/>
      </c>
      <c r="P605" s="31" t="str">
        <f t="array" ref="P605">IF($A605="","",IFERROR(_xlfn.XLOOKUP($A605,'Movimentação'!$B$7:$B$1006,'Movimentação'!$F$7:$F$1006,"",0,-1),""))</f>
        <v/>
      </c>
      <c r="Q605" s="31">
        <f>IF(COUNTIFS('Manutenção'!$B$7:$B$1006,$A605,'Manutenção'!$H$7:$H$1006,"EM CONSERTO")&gt;0,1,0)</f>
        <v>0</v>
      </c>
    </row>
    <row r="606" ht="15.0" hidden="1" customHeight="1">
      <c r="A606" s="15"/>
      <c r="B606" s="17"/>
      <c r="C606" s="17"/>
      <c r="D606" s="17"/>
      <c r="E606" s="17"/>
      <c r="F606" s="17"/>
      <c r="G606" s="18"/>
      <c r="H606" s="15"/>
      <c r="I606" s="15"/>
      <c r="J606" s="24" t="str">
        <f t="array" ref="J606">IF($A606="","",IFERROR(_xlfn.XLOOKUP($A606,'Movimentação'!$B$7:$B$1006,'Movimentação'!$E$7:$E$1006,"",0,-1),""))</f>
        <v/>
      </c>
      <c r="K606" s="24" t="str">
        <f t="array" ref="K606">IF($A606="","",IFERROR(_xlfn.XLOOKUP($A606,'Movimentação'!$B$7:$B$1006,'Movimentação'!$G$7:$G$1006,"",0,-1),""))</f>
        <v/>
      </c>
      <c r="L606" s="24" t="str">
        <f t="shared" si="3"/>
        <v/>
      </c>
      <c r="M606" s="17"/>
      <c r="N606" s="30" t="str">
        <f t="array" ref="N606">IF($A606="","",IFERROR(IF(OR($L606="BAIXADO",$L606="FURTADO"),0,INDEX(Listas!$J$2:$J$40,MATCH($B606,Listas!$I$2:$I$40,0))),""))</f>
        <v/>
      </c>
      <c r="P606" s="31" t="str">
        <f t="array" ref="P606">IF($A606="","",IFERROR(_xlfn.XLOOKUP($A606,'Movimentação'!$B$7:$B$1006,'Movimentação'!$F$7:$F$1006,"",0,-1),""))</f>
        <v/>
      </c>
      <c r="Q606" s="31">
        <f>IF(COUNTIFS('Manutenção'!$B$7:$B$1006,$A606,'Manutenção'!$H$7:$H$1006,"EM CONSERTO")&gt;0,1,0)</f>
        <v>0</v>
      </c>
    </row>
    <row r="607" ht="15.0" hidden="1" customHeight="1">
      <c r="A607" s="15"/>
      <c r="B607" s="17"/>
      <c r="C607" s="17"/>
      <c r="D607" s="17"/>
      <c r="E607" s="17"/>
      <c r="F607" s="17"/>
      <c r="G607" s="18"/>
      <c r="H607" s="15"/>
      <c r="I607" s="15"/>
      <c r="J607" s="24" t="str">
        <f t="array" ref="J607">IF($A607="","",IFERROR(_xlfn.XLOOKUP($A607,'Movimentação'!$B$7:$B$1006,'Movimentação'!$E$7:$E$1006,"",0,-1),""))</f>
        <v/>
      </c>
      <c r="K607" s="24" t="str">
        <f t="array" ref="K607">IF($A607="","",IFERROR(_xlfn.XLOOKUP($A607,'Movimentação'!$B$7:$B$1006,'Movimentação'!$G$7:$G$1006,"",0,-1),""))</f>
        <v/>
      </c>
      <c r="L607" s="24" t="str">
        <f t="shared" si="3"/>
        <v/>
      </c>
      <c r="M607" s="17"/>
      <c r="N607" s="30" t="str">
        <f t="array" ref="N607">IF($A607="","",IFERROR(IF(OR($L607="BAIXADO",$L607="FURTADO"),0,INDEX(Listas!$J$2:$J$40,MATCH($B607,Listas!$I$2:$I$40,0))),""))</f>
        <v/>
      </c>
      <c r="P607" s="31" t="str">
        <f t="array" ref="P607">IF($A607="","",IFERROR(_xlfn.XLOOKUP($A607,'Movimentação'!$B$7:$B$1006,'Movimentação'!$F$7:$F$1006,"",0,-1),""))</f>
        <v/>
      </c>
      <c r="Q607" s="31">
        <f>IF(COUNTIFS('Manutenção'!$B$7:$B$1006,$A607,'Manutenção'!$H$7:$H$1006,"EM CONSERTO")&gt;0,1,0)</f>
        <v>0</v>
      </c>
    </row>
    <row r="608" ht="15.0" hidden="1" customHeight="1">
      <c r="A608" s="15"/>
      <c r="B608" s="17"/>
      <c r="C608" s="17"/>
      <c r="D608" s="17"/>
      <c r="E608" s="17"/>
      <c r="F608" s="17"/>
      <c r="G608" s="18"/>
      <c r="H608" s="15"/>
      <c r="I608" s="15"/>
      <c r="J608" s="24" t="str">
        <f t="array" ref="J608">IF($A608="","",IFERROR(_xlfn.XLOOKUP($A608,'Movimentação'!$B$7:$B$1006,'Movimentação'!$E$7:$E$1006,"",0,-1),""))</f>
        <v/>
      </c>
      <c r="K608" s="24" t="str">
        <f t="array" ref="K608">IF($A608="","",IFERROR(_xlfn.XLOOKUP($A608,'Movimentação'!$B$7:$B$1006,'Movimentação'!$G$7:$G$1006,"",0,-1),""))</f>
        <v/>
      </c>
      <c r="L608" s="24" t="str">
        <f t="shared" si="3"/>
        <v/>
      </c>
      <c r="M608" s="17"/>
      <c r="N608" s="30" t="str">
        <f t="array" ref="N608">IF($A608="","",IFERROR(IF(OR($L608="BAIXADO",$L608="FURTADO"),0,INDEX(Listas!$J$2:$J$40,MATCH($B608,Listas!$I$2:$I$40,0))),""))</f>
        <v/>
      </c>
      <c r="P608" s="31" t="str">
        <f t="array" ref="P608">IF($A608="","",IFERROR(_xlfn.XLOOKUP($A608,'Movimentação'!$B$7:$B$1006,'Movimentação'!$F$7:$F$1006,"",0,-1),""))</f>
        <v/>
      </c>
      <c r="Q608" s="31">
        <f>IF(COUNTIFS('Manutenção'!$B$7:$B$1006,$A608,'Manutenção'!$H$7:$H$1006,"EM CONSERTO")&gt;0,1,0)</f>
        <v>0</v>
      </c>
    </row>
    <row r="609" ht="15.0" hidden="1" customHeight="1">
      <c r="A609" s="15"/>
      <c r="B609" s="17"/>
      <c r="C609" s="17"/>
      <c r="D609" s="17"/>
      <c r="E609" s="17"/>
      <c r="F609" s="17"/>
      <c r="G609" s="18"/>
      <c r="H609" s="15"/>
      <c r="I609" s="15"/>
      <c r="J609" s="24" t="str">
        <f t="array" ref="J609">IF($A609="","",IFERROR(_xlfn.XLOOKUP($A609,'Movimentação'!$B$7:$B$1006,'Movimentação'!$E$7:$E$1006,"",0,-1),""))</f>
        <v/>
      </c>
      <c r="K609" s="24" t="str">
        <f t="array" ref="K609">IF($A609="","",IFERROR(_xlfn.XLOOKUP($A609,'Movimentação'!$B$7:$B$1006,'Movimentação'!$G$7:$G$1006,"",0,-1),""))</f>
        <v/>
      </c>
      <c r="L609" s="24" t="str">
        <f t="shared" si="3"/>
        <v/>
      </c>
      <c r="M609" s="17"/>
      <c r="N609" s="30" t="str">
        <f t="array" ref="N609">IF($A609="","",IFERROR(IF(OR($L609="BAIXADO",$L609="FURTADO"),0,INDEX(Listas!$J$2:$J$40,MATCH($B609,Listas!$I$2:$I$40,0))),""))</f>
        <v/>
      </c>
      <c r="P609" s="31" t="str">
        <f t="array" ref="P609">IF($A609="","",IFERROR(_xlfn.XLOOKUP($A609,'Movimentação'!$B$7:$B$1006,'Movimentação'!$F$7:$F$1006,"",0,-1),""))</f>
        <v/>
      </c>
      <c r="Q609" s="31">
        <f>IF(COUNTIFS('Manutenção'!$B$7:$B$1006,$A609,'Manutenção'!$H$7:$H$1006,"EM CONSERTO")&gt;0,1,0)</f>
        <v>0</v>
      </c>
    </row>
    <row r="610" ht="15.0" hidden="1" customHeight="1">
      <c r="A610" s="15"/>
      <c r="B610" s="17"/>
      <c r="C610" s="17"/>
      <c r="D610" s="17"/>
      <c r="E610" s="17"/>
      <c r="F610" s="17"/>
      <c r="G610" s="18"/>
      <c r="H610" s="15"/>
      <c r="I610" s="15"/>
      <c r="J610" s="24" t="str">
        <f t="array" ref="J610">IF($A610="","",IFERROR(_xlfn.XLOOKUP($A610,'Movimentação'!$B$7:$B$1006,'Movimentação'!$E$7:$E$1006,"",0,-1),""))</f>
        <v/>
      </c>
      <c r="K610" s="24" t="str">
        <f t="array" ref="K610">IF($A610="","",IFERROR(_xlfn.XLOOKUP($A610,'Movimentação'!$B$7:$B$1006,'Movimentação'!$G$7:$G$1006,"",0,-1),""))</f>
        <v/>
      </c>
      <c r="L610" s="24" t="str">
        <f t="shared" si="3"/>
        <v/>
      </c>
      <c r="M610" s="17"/>
      <c r="N610" s="30" t="str">
        <f t="array" ref="N610">IF($A610="","",IFERROR(IF(OR($L610="BAIXADO",$L610="FURTADO"),0,INDEX(Listas!$J$2:$J$40,MATCH($B610,Listas!$I$2:$I$40,0))),""))</f>
        <v/>
      </c>
      <c r="P610" s="31" t="str">
        <f t="array" ref="P610">IF($A610="","",IFERROR(_xlfn.XLOOKUP($A610,'Movimentação'!$B$7:$B$1006,'Movimentação'!$F$7:$F$1006,"",0,-1),""))</f>
        <v/>
      </c>
      <c r="Q610" s="31">
        <f>IF(COUNTIFS('Manutenção'!$B$7:$B$1006,$A610,'Manutenção'!$H$7:$H$1006,"EM CONSERTO")&gt;0,1,0)</f>
        <v>0</v>
      </c>
    </row>
    <row r="611" ht="15.0" hidden="1" customHeight="1">
      <c r="A611" s="15"/>
      <c r="B611" s="17"/>
      <c r="C611" s="17"/>
      <c r="D611" s="17"/>
      <c r="E611" s="17"/>
      <c r="F611" s="17"/>
      <c r="G611" s="18"/>
      <c r="H611" s="15"/>
      <c r="I611" s="15"/>
      <c r="J611" s="24" t="str">
        <f t="array" ref="J611">IF($A611="","",IFERROR(_xlfn.XLOOKUP($A611,'Movimentação'!$B$7:$B$1006,'Movimentação'!$E$7:$E$1006,"",0,-1),""))</f>
        <v/>
      </c>
      <c r="K611" s="24" t="str">
        <f t="array" ref="K611">IF($A611="","",IFERROR(_xlfn.XLOOKUP($A611,'Movimentação'!$B$7:$B$1006,'Movimentação'!$G$7:$G$1006,"",0,-1),""))</f>
        <v/>
      </c>
      <c r="L611" s="24" t="str">
        <f t="shared" si="3"/>
        <v/>
      </c>
      <c r="M611" s="17"/>
      <c r="N611" s="30" t="str">
        <f t="array" ref="N611">IF($A611="","",IFERROR(IF(OR($L611="BAIXADO",$L611="FURTADO"),0,INDEX(Listas!$J$2:$J$40,MATCH($B611,Listas!$I$2:$I$40,0))),""))</f>
        <v/>
      </c>
      <c r="P611" s="31" t="str">
        <f t="array" ref="P611">IF($A611="","",IFERROR(_xlfn.XLOOKUP($A611,'Movimentação'!$B$7:$B$1006,'Movimentação'!$F$7:$F$1006,"",0,-1),""))</f>
        <v/>
      </c>
      <c r="Q611" s="31">
        <f>IF(COUNTIFS('Manutenção'!$B$7:$B$1006,$A611,'Manutenção'!$H$7:$H$1006,"EM CONSERTO")&gt;0,1,0)</f>
        <v>0</v>
      </c>
    </row>
    <row r="612" ht="15.0" hidden="1" customHeight="1">
      <c r="A612" s="15"/>
      <c r="B612" s="17"/>
      <c r="C612" s="17"/>
      <c r="D612" s="17"/>
      <c r="E612" s="17"/>
      <c r="F612" s="17"/>
      <c r="G612" s="18"/>
      <c r="H612" s="15"/>
      <c r="I612" s="15"/>
      <c r="J612" s="24" t="str">
        <f t="array" ref="J612">IF($A612="","",IFERROR(_xlfn.XLOOKUP($A612,'Movimentação'!$B$7:$B$1006,'Movimentação'!$E$7:$E$1006,"",0,-1),""))</f>
        <v/>
      </c>
      <c r="K612" s="24" t="str">
        <f t="array" ref="K612">IF($A612="","",IFERROR(_xlfn.XLOOKUP($A612,'Movimentação'!$B$7:$B$1006,'Movimentação'!$G$7:$G$1006,"",0,-1),""))</f>
        <v/>
      </c>
      <c r="L612" s="24" t="str">
        <f t="shared" si="3"/>
        <v/>
      </c>
      <c r="M612" s="17"/>
      <c r="N612" s="30" t="str">
        <f t="array" ref="N612">IF($A612="","",IFERROR(IF(OR($L612="BAIXADO",$L612="FURTADO"),0,INDEX(Listas!$J$2:$J$40,MATCH($B612,Listas!$I$2:$I$40,0))),""))</f>
        <v/>
      </c>
      <c r="P612" s="31" t="str">
        <f t="array" ref="P612">IF($A612="","",IFERROR(_xlfn.XLOOKUP($A612,'Movimentação'!$B$7:$B$1006,'Movimentação'!$F$7:$F$1006,"",0,-1),""))</f>
        <v/>
      </c>
      <c r="Q612" s="31">
        <f>IF(COUNTIFS('Manutenção'!$B$7:$B$1006,$A612,'Manutenção'!$H$7:$H$1006,"EM CONSERTO")&gt;0,1,0)</f>
        <v>0</v>
      </c>
    </row>
    <row r="613" ht="15.0" hidden="1" customHeight="1">
      <c r="A613" s="15"/>
      <c r="B613" s="17"/>
      <c r="C613" s="17"/>
      <c r="D613" s="17"/>
      <c r="E613" s="17"/>
      <c r="F613" s="17"/>
      <c r="G613" s="18"/>
      <c r="H613" s="15"/>
      <c r="I613" s="15"/>
      <c r="J613" s="24" t="str">
        <f t="array" ref="J613">IF($A613="","",IFERROR(_xlfn.XLOOKUP($A613,'Movimentação'!$B$7:$B$1006,'Movimentação'!$E$7:$E$1006,"",0,-1),""))</f>
        <v/>
      </c>
      <c r="K613" s="24" t="str">
        <f t="array" ref="K613">IF($A613="","",IFERROR(_xlfn.XLOOKUP($A613,'Movimentação'!$B$7:$B$1006,'Movimentação'!$G$7:$G$1006,"",0,-1),""))</f>
        <v/>
      </c>
      <c r="L613" s="24" t="str">
        <f t="shared" si="3"/>
        <v/>
      </c>
      <c r="M613" s="17"/>
      <c r="N613" s="30" t="str">
        <f t="array" ref="N613">IF($A613="","",IFERROR(IF(OR($L613="BAIXADO",$L613="FURTADO"),0,INDEX(Listas!$J$2:$J$40,MATCH($B613,Listas!$I$2:$I$40,0))),""))</f>
        <v/>
      </c>
      <c r="P613" s="31" t="str">
        <f t="array" ref="P613">IF($A613="","",IFERROR(_xlfn.XLOOKUP($A613,'Movimentação'!$B$7:$B$1006,'Movimentação'!$F$7:$F$1006,"",0,-1),""))</f>
        <v/>
      </c>
      <c r="Q613" s="31">
        <f>IF(COUNTIFS('Manutenção'!$B$7:$B$1006,$A613,'Manutenção'!$H$7:$H$1006,"EM CONSERTO")&gt;0,1,0)</f>
        <v>0</v>
      </c>
    </row>
    <row r="614" ht="15.0" hidden="1" customHeight="1">
      <c r="A614" s="15"/>
      <c r="B614" s="17"/>
      <c r="C614" s="17"/>
      <c r="D614" s="17"/>
      <c r="E614" s="17"/>
      <c r="F614" s="17"/>
      <c r="G614" s="18"/>
      <c r="H614" s="15"/>
      <c r="I614" s="15"/>
      <c r="J614" s="24" t="str">
        <f t="array" ref="J614">IF($A614="","",IFERROR(_xlfn.XLOOKUP($A614,'Movimentação'!$B$7:$B$1006,'Movimentação'!$E$7:$E$1006,"",0,-1),""))</f>
        <v/>
      </c>
      <c r="K614" s="24" t="str">
        <f t="array" ref="K614">IF($A614="","",IFERROR(_xlfn.XLOOKUP($A614,'Movimentação'!$B$7:$B$1006,'Movimentação'!$G$7:$G$1006,"",0,-1),""))</f>
        <v/>
      </c>
      <c r="L614" s="24" t="str">
        <f t="shared" si="3"/>
        <v/>
      </c>
      <c r="M614" s="17"/>
      <c r="N614" s="30" t="str">
        <f t="array" ref="N614">IF($A614="","",IFERROR(IF(OR($L614="BAIXADO",$L614="FURTADO"),0,INDEX(Listas!$J$2:$J$40,MATCH($B614,Listas!$I$2:$I$40,0))),""))</f>
        <v/>
      </c>
      <c r="P614" s="31" t="str">
        <f t="array" ref="P614">IF($A614="","",IFERROR(_xlfn.XLOOKUP($A614,'Movimentação'!$B$7:$B$1006,'Movimentação'!$F$7:$F$1006,"",0,-1),""))</f>
        <v/>
      </c>
      <c r="Q614" s="31">
        <f>IF(COUNTIFS('Manutenção'!$B$7:$B$1006,$A614,'Manutenção'!$H$7:$H$1006,"EM CONSERTO")&gt;0,1,0)</f>
        <v>0</v>
      </c>
    </row>
    <row r="615" ht="15.0" hidden="1" customHeight="1">
      <c r="A615" s="15"/>
      <c r="B615" s="17"/>
      <c r="C615" s="17"/>
      <c r="D615" s="17"/>
      <c r="E615" s="17"/>
      <c r="F615" s="17"/>
      <c r="G615" s="18"/>
      <c r="H615" s="15"/>
      <c r="I615" s="15"/>
      <c r="J615" s="24" t="str">
        <f t="array" ref="J615">IF($A615="","",IFERROR(_xlfn.XLOOKUP($A615,'Movimentação'!$B$7:$B$1006,'Movimentação'!$E$7:$E$1006,"",0,-1),""))</f>
        <v/>
      </c>
      <c r="K615" s="24" t="str">
        <f t="array" ref="K615">IF($A615="","",IFERROR(_xlfn.XLOOKUP($A615,'Movimentação'!$B$7:$B$1006,'Movimentação'!$G$7:$G$1006,"",0,-1),""))</f>
        <v/>
      </c>
      <c r="L615" s="24" t="str">
        <f t="shared" si="3"/>
        <v/>
      </c>
      <c r="M615" s="17"/>
      <c r="N615" s="30" t="str">
        <f t="array" ref="N615">IF($A615="","",IFERROR(IF(OR($L615="BAIXADO",$L615="FURTADO"),0,INDEX(Listas!$J$2:$J$40,MATCH($B615,Listas!$I$2:$I$40,0))),""))</f>
        <v/>
      </c>
      <c r="P615" s="31" t="str">
        <f t="array" ref="P615">IF($A615="","",IFERROR(_xlfn.XLOOKUP($A615,'Movimentação'!$B$7:$B$1006,'Movimentação'!$F$7:$F$1006,"",0,-1),""))</f>
        <v/>
      </c>
      <c r="Q615" s="31">
        <f>IF(COUNTIFS('Manutenção'!$B$7:$B$1006,$A615,'Manutenção'!$H$7:$H$1006,"EM CONSERTO")&gt;0,1,0)</f>
        <v>0</v>
      </c>
    </row>
    <row r="616" ht="15.0" hidden="1" customHeight="1">
      <c r="A616" s="15"/>
      <c r="B616" s="17"/>
      <c r="C616" s="17"/>
      <c r="D616" s="17"/>
      <c r="E616" s="17"/>
      <c r="F616" s="17"/>
      <c r="G616" s="18"/>
      <c r="H616" s="15"/>
      <c r="I616" s="15"/>
      <c r="J616" s="24" t="str">
        <f t="array" ref="J616">IF($A616="","",IFERROR(_xlfn.XLOOKUP($A616,'Movimentação'!$B$7:$B$1006,'Movimentação'!$E$7:$E$1006,"",0,-1),""))</f>
        <v/>
      </c>
      <c r="K616" s="24" t="str">
        <f t="array" ref="K616">IF($A616="","",IFERROR(_xlfn.XLOOKUP($A616,'Movimentação'!$B$7:$B$1006,'Movimentação'!$G$7:$G$1006,"",0,-1),""))</f>
        <v/>
      </c>
      <c r="L616" s="24" t="str">
        <f t="shared" si="3"/>
        <v/>
      </c>
      <c r="M616" s="17"/>
      <c r="N616" s="30" t="str">
        <f t="array" ref="N616">IF($A616="","",IFERROR(IF(OR($L616="BAIXADO",$L616="FURTADO"),0,INDEX(Listas!$J$2:$J$40,MATCH($B616,Listas!$I$2:$I$40,0))),""))</f>
        <v/>
      </c>
      <c r="P616" s="31" t="str">
        <f t="array" ref="P616">IF($A616="","",IFERROR(_xlfn.XLOOKUP($A616,'Movimentação'!$B$7:$B$1006,'Movimentação'!$F$7:$F$1006,"",0,-1),""))</f>
        <v/>
      </c>
      <c r="Q616" s="31">
        <f>IF(COUNTIFS('Manutenção'!$B$7:$B$1006,$A616,'Manutenção'!$H$7:$H$1006,"EM CONSERTO")&gt;0,1,0)</f>
        <v>0</v>
      </c>
    </row>
    <row r="617" ht="15.0" hidden="1" customHeight="1">
      <c r="A617" s="15"/>
      <c r="B617" s="17"/>
      <c r="C617" s="17"/>
      <c r="D617" s="17"/>
      <c r="E617" s="17"/>
      <c r="F617" s="17"/>
      <c r="G617" s="18"/>
      <c r="H617" s="15"/>
      <c r="I617" s="15"/>
      <c r="J617" s="24" t="str">
        <f t="array" ref="J617">IF($A617="","",IFERROR(_xlfn.XLOOKUP($A617,'Movimentação'!$B$7:$B$1006,'Movimentação'!$E$7:$E$1006,"",0,-1),""))</f>
        <v/>
      </c>
      <c r="K617" s="24" t="str">
        <f t="array" ref="K617">IF($A617="","",IFERROR(_xlfn.XLOOKUP($A617,'Movimentação'!$B$7:$B$1006,'Movimentação'!$G$7:$G$1006,"",0,-1),""))</f>
        <v/>
      </c>
      <c r="L617" s="24" t="str">
        <f t="shared" si="3"/>
        <v/>
      </c>
      <c r="M617" s="17"/>
      <c r="N617" s="30" t="str">
        <f t="array" ref="N617">IF($A617="","",IFERROR(IF(OR($L617="BAIXADO",$L617="FURTADO"),0,INDEX(Listas!$J$2:$J$40,MATCH($B617,Listas!$I$2:$I$40,0))),""))</f>
        <v/>
      </c>
      <c r="P617" s="31" t="str">
        <f t="array" ref="P617">IF($A617="","",IFERROR(_xlfn.XLOOKUP($A617,'Movimentação'!$B$7:$B$1006,'Movimentação'!$F$7:$F$1006,"",0,-1),""))</f>
        <v/>
      </c>
      <c r="Q617" s="31">
        <f>IF(COUNTIFS('Manutenção'!$B$7:$B$1006,$A617,'Manutenção'!$H$7:$H$1006,"EM CONSERTO")&gt;0,1,0)</f>
        <v>0</v>
      </c>
    </row>
    <row r="618" ht="15.0" hidden="1" customHeight="1">
      <c r="A618" s="15"/>
      <c r="B618" s="17"/>
      <c r="C618" s="17"/>
      <c r="D618" s="17"/>
      <c r="E618" s="17"/>
      <c r="F618" s="17"/>
      <c r="G618" s="18"/>
      <c r="H618" s="15"/>
      <c r="I618" s="15"/>
      <c r="J618" s="24" t="str">
        <f t="array" ref="J618">IF($A618="","",IFERROR(_xlfn.XLOOKUP($A618,'Movimentação'!$B$7:$B$1006,'Movimentação'!$E$7:$E$1006,"",0,-1),""))</f>
        <v/>
      </c>
      <c r="K618" s="24" t="str">
        <f t="array" ref="K618">IF($A618="","",IFERROR(_xlfn.XLOOKUP($A618,'Movimentação'!$B$7:$B$1006,'Movimentação'!$G$7:$G$1006,"",0,-1),""))</f>
        <v/>
      </c>
      <c r="L618" s="24" t="str">
        <f t="shared" si="3"/>
        <v/>
      </c>
      <c r="M618" s="17"/>
      <c r="N618" s="30" t="str">
        <f t="array" ref="N618">IF($A618="","",IFERROR(IF(OR($L618="BAIXADO",$L618="FURTADO"),0,INDEX(Listas!$J$2:$J$40,MATCH($B618,Listas!$I$2:$I$40,0))),""))</f>
        <v/>
      </c>
      <c r="P618" s="31" t="str">
        <f t="array" ref="P618">IF($A618="","",IFERROR(_xlfn.XLOOKUP($A618,'Movimentação'!$B$7:$B$1006,'Movimentação'!$F$7:$F$1006,"",0,-1),""))</f>
        <v/>
      </c>
      <c r="Q618" s="31">
        <f>IF(COUNTIFS('Manutenção'!$B$7:$B$1006,$A618,'Manutenção'!$H$7:$H$1006,"EM CONSERTO")&gt;0,1,0)</f>
        <v>0</v>
      </c>
    </row>
    <row r="619" ht="15.0" hidden="1" customHeight="1">
      <c r="A619" s="15"/>
      <c r="B619" s="17"/>
      <c r="C619" s="17"/>
      <c r="D619" s="17"/>
      <c r="E619" s="17"/>
      <c r="F619" s="17"/>
      <c r="G619" s="18"/>
      <c r="H619" s="15"/>
      <c r="I619" s="15"/>
      <c r="J619" s="24" t="str">
        <f t="array" ref="J619">IF($A619="","",IFERROR(_xlfn.XLOOKUP($A619,'Movimentação'!$B$7:$B$1006,'Movimentação'!$E$7:$E$1006,"",0,-1),""))</f>
        <v/>
      </c>
      <c r="K619" s="24" t="str">
        <f t="array" ref="K619">IF($A619="","",IFERROR(_xlfn.XLOOKUP($A619,'Movimentação'!$B$7:$B$1006,'Movimentação'!$G$7:$G$1006,"",0,-1),""))</f>
        <v/>
      </c>
      <c r="L619" s="24" t="str">
        <f t="shared" si="3"/>
        <v/>
      </c>
      <c r="M619" s="17"/>
      <c r="N619" s="30" t="str">
        <f t="array" ref="N619">IF($A619="","",IFERROR(IF(OR($L619="BAIXADO",$L619="FURTADO"),0,INDEX(Listas!$J$2:$J$40,MATCH($B619,Listas!$I$2:$I$40,0))),""))</f>
        <v/>
      </c>
      <c r="P619" s="31" t="str">
        <f t="array" ref="P619">IF($A619="","",IFERROR(_xlfn.XLOOKUP($A619,'Movimentação'!$B$7:$B$1006,'Movimentação'!$F$7:$F$1006,"",0,-1),""))</f>
        <v/>
      </c>
      <c r="Q619" s="31">
        <f>IF(COUNTIFS('Manutenção'!$B$7:$B$1006,$A619,'Manutenção'!$H$7:$H$1006,"EM CONSERTO")&gt;0,1,0)</f>
        <v>0</v>
      </c>
    </row>
    <row r="620" ht="15.0" hidden="1" customHeight="1">
      <c r="A620" s="15"/>
      <c r="B620" s="17"/>
      <c r="C620" s="17"/>
      <c r="D620" s="17"/>
      <c r="E620" s="17"/>
      <c r="F620" s="17"/>
      <c r="G620" s="18"/>
      <c r="H620" s="15"/>
      <c r="I620" s="15"/>
      <c r="J620" s="24" t="str">
        <f t="array" ref="J620">IF($A620="","",IFERROR(_xlfn.XLOOKUP($A620,'Movimentação'!$B$7:$B$1006,'Movimentação'!$E$7:$E$1006,"",0,-1),""))</f>
        <v/>
      </c>
      <c r="K620" s="24" t="str">
        <f t="array" ref="K620">IF($A620="","",IFERROR(_xlfn.XLOOKUP($A620,'Movimentação'!$B$7:$B$1006,'Movimentação'!$G$7:$G$1006,"",0,-1),""))</f>
        <v/>
      </c>
      <c r="L620" s="24" t="str">
        <f t="shared" si="3"/>
        <v/>
      </c>
      <c r="M620" s="17"/>
      <c r="N620" s="30" t="str">
        <f t="array" ref="N620">IF($A620="","",IFERROR(IF(OR($L620="BAIXADO",$L620="FURTADO"),0,INDEX(Listas!$J$2:$J$40,MATCH($B620,Listas!$I$2:$I$40,0))),""))</f>
        <v/>
      </c>
      <c r="P620" s="31" t="str">
        <f t="array" ref="P620">IF($A620="","",IFERROR(_xlfn.XLOOKUP($A620,'Movimentação'!$B$7:$B$1006,'Movimentação'!$F$7:$F$1006,"",0,-1),""))</f>
        <v/>
      </c>
      <c r="Q620" s="31">
        <f>IF(COUNTIFS('Manutenção'!$B$7:$B$1006,$A620,'Manutenção'!$H$7:$H$1006,"EM CONSERTO")&gt;0,1,0)</f>
        <v>0</v>
      </c>
    </row>
    <row r="621" ht="15.0" hidden="1" customHeight="1">
      <c r="A621" s="15"/>
      <c r="B621" s="17"/>
      <c r="C621" s="17"/>
      <c r="D621" s="17"/>
      <c r="E621" s="17"/>
      <c r="F621" s="17"/>
      <c r="G621" s="18"/>
      <c r="H621" s="15"/>
      <c r="I621" s="15"/>
      <c r="J621" s="24" t="str">
        <f t="array" ref="J621">IF($A621="","",IFERROR(_xlfn.XLOOKUP($A621,'Movimentação'!$B$7:$B$1006,'Movimentação'!$E$7:$E$1006,"",0,-1),""))</f>
        <v/>
      </c>
      <c r="K621" s="24" t="str">
        <f t="array" ref="K621">IF($A621="","",IFERROR(_xlfn.XLOOKUP($A621,'Movimentação'!$B$7:$B$1006,'Movimentação'!$G$7:$G$1006,"",0,-1),""))</f>
        <v/>
      </c>
      <c r="L621" s="24" t="str">
        <f t="shared" si="3"/>
        <v/>
      </c>
      <c r="M621" s="17"/>
      <c r="N621" s="30" t="str">
        <f t="array" ref="N621">IF($A621="","",IFERROR(IF(OR($L621="BAIXADO",$L621="FURTADO"),0,INDEX(Listas!$J$2:$J$40,MATCH($B621,Listas!$I$2:$I$40,0))),""))</f>
        <v/>
      </c>
      <c r="P621" s="31" t="str">
        <f t="array" ref="P621">IF($A621="","",IFERROR(_xlfn.XLOOKUP($A621,'Movimentação'!$B$7:$B$1006,'Movimentação'!$F$7:$F$1006,"",0,-1),""))</f>
        <v/>
      </c>
      <c r="Q621" s="31">
        <f>IF(COUNTIFS('Manutenção'!$B$7:$B$1006,$A621,'Manutenção'!$H$7:$H$1006,"EM CONSERTO")&gt;0,1,0)</f>
        <v>0</v>
      </c>
    </row>
    <row r="622" ht="15.0" hidden="1" customHeight="1">
      <c r="A622" s="15"/>
      <c r="B622" s="17"/>
      <c r="C622" s="17"/>
      <c r="D622" s="17"/>
      <c r="E622" s="17"/>
      <c r="F622" s="17"/>
      <c r="G622" s="18"/>
      <c r="H622" s="15"/>
      <c r="I622" s="15"/>
      <c r="J622" s="24" t="str">
        <f t="array" ref="J622">IF($A622="","",IFERROR(_xlfn.XLOOKUP($A622,'Movimentação'!$B$7:$B$1006,'Movimentação'!$E$7:$E$1006,"",0,-1),""))</f>
        <v/>
      </c>
      <c r="K622" s="24" t="str">
        <f t="array" ref="K622">IF($A622="","",IFERROR(_xlfn.XLOOKUP($A622,'Movimentação'!$B$7:$B$1006,'Movimentação'!$G$7:$G$1006,"",0,-1),""))</f>
        <v/>
      </c>
      <c r="L622" s="24" t="str">
        <f t="shared" si="3"/>
        <v/>
      </c>
      <c r="M622" s="17"/>
      <c r="N622" s="30" t="str">
        <f t="array" ref="N622">IF($A622="","",IFERROR(IF(OR($L622="BAIXADO",$L622="FURTADO"),0,INDEX(Listas!$J$2:$J$40,MATCH($B622,Listas!$I$2:$I$40,0))),""))</f>
        <v/>
      </c>
      <c r="P622" s="31" t="str">
        <f t="array" ref="P622">IF($A622="","",IFERROR(_xlfn.XLOOKUP($A622,'Movimentação'!$B$7:$B$1006,'Movimentação'!$F$7:$F$1006,"",0,-1),""))</f>
        <v/>
      </c>
      <c r="Q622" s="31">
        <f>IF(COUNTIFS('Manutenção'!$B$7:$B$1006,$A622,'Manutenção'!$H$7:$H$1006,"EM CONSERTO")&gt;0,1,0)</f>
        <v>0</v>
      </c>
    </row>
    <row r="623" ht="15.0" hidden="1" customHeight="1">
      <c r="A623" s="15"/>
      <c r="B623" s="17"/>
      <c r="C623" s="17"/>
      <c r="D623" s="17"/>
      <c r="E623" s="17"/>
      <c r="F623" s="17"/>
      <c r="G623" s="18"/>
      <c r="H623" s="15"/>
      <c r="I623" s="15"/>
      <c r="J623" s="24" t="str">
        <f t="array" ref="J623">IF($A623="","",IFERROR(_xlfn.XLOOKUP($A623,'Movimentação'!$B$7:$B$1006,'Movimentação'!$E$7:$E$1006,"",0,-1),""))</f>
        <v/>
      </c>
      <c r="K623" s="24" t="str">
        <f t="array" ref="K623">IF($A623="","",IFERROR(_xlfn.XLOOKUP($A623,'Movimentação'!$B$7:$B$1006,'Movimentação'!$G$7:$G$1006,"",0,-1),""))</f>
        <v/>
      </c>
      <c r="L623" s="24" t="str">
        <f t="shared" si="3"/>
        <v/>
      </c>
      <c r="M623" s="17"/>
      <c r="N623" s="30" t="str">
        <f t="array" ref="N623">IF($A623="","",IFERROR(IF(OR($L623="BAIXADO",$L623="FURTADO"),0,INDEX(Listas!$J$2:$J$40,MATCH($B623,Listas!$I$2:$I$40,0))),""))</f>
        <v/>
      </c>
      <c r="P623" s="31" t="str">
        <f t="array" ref="P623">IF($A623="","",IFERROR(_xlfn.XLOOKUP($A623,'Movimentação'!$B$7:$B$1006,'Movimentação'!$F$7:$F$1006,"",0,-1),""))</f>
        <v/>
      </c>
      <c r="Q623" s="31">
        <f>IF(COUNTIFS('Manutenção'!$B$7:$B$1006,$A623,'Manutenção'!$H$7:$H$1006,"EM CONSERTO")&gt;0,1,0)</f>
        <v>0</v>
      </c>
    </row>
    <row r="624" ht="15.0" hidden="1" customHeight="1">
      <c r="A624" s="15"/>
      <c r="B624" s="17"/>
      <c r="C624" s="17"/>
      <c r="D624" s="17"/>
      <c r="E624" s="17"/>
      <c r="F624" s="17"/>
      <c r="G624" s="18"/>
      <c r="H624" s="15"/>
      <c r="I624" s="15"/>
      <c r="J624" s="24" t="str">
        <f t="array" ref="J624">IF($A624="","",IFERROR(_xlfn.XLOOKUP($A624,'Movimentação'!$B$7:$B$1006,'Movimentação'!$E$7:$E$1006,"",0,-1),""))</f>
        <v/>
      </c>
      <c r="K624" s="24" t="str">
        <f t="array" ref="K624">IF($A624="","",IFERROR(_xlfn.XLOOKUP($A624,'Movimentação'!$B$7:$B$1006,'Movimentação'!$G$7:$G$1006,"",0,-1),""))</f>
        <v/>
      </c>
      <c r="L624" s="24" t="str">
        <f t="shared" si="3"/>
        <v/>
      </c>
      <c r="M624" s="17"/>
      <c r="N624" s="30" t="str">
        <f t="array" ref="N624">IF($A624="","",IFERROR(IF(OR($L624="BAIXADO",$L624="FURTADO"),0,INDEX(Listas!$J$2:$J$40,MATCH($B624,Listas!$I$2:$I$40,0))),""))</f>
        <v/>
      </c>
      <c r="P624" s="31" t="str">
        <f t="array" ref="P624">IF($A624="","",IFERROR(_xlfn.XLOOKUP($A624,'Movimentação'!$B$7:$B$1006,'Movimentação'!$F$7:$F$1006,"",0,-1),""))</f>
        <v/>
      </c>
      <c r="Q624" s="31">
        <f>IF(COUNTIFS('Manutenção'!$B$7:$B$1006,$A624,'Manutenção'!$H$7:$H$1006,"EM CONSERTO")&gt;0,1,0)</f>
        <v>0</v>
      </c>
    </row>
    <row r="625" ht="15.0" hidden="1" customHeight="1">
      <c r="A625" s="15"/>
      <c r="B625" s="17"/>
      <c r="C625" s="17"/>
      <c r="D625" s="17"/>
      <c r="E625" s="17"/>
      <c r="F625" s="17"/>
      <c r="G625" s="18"/>
      <c r="H625" s="15"/>
      <c r="I625" s="15"/>
      <c r="J625" s="24" t="str">
        <f t="array" ref="J625">IF($A625="","",IFERROR(_xlfn.XLOOKUP($A625,'Movimentação'!$B$7:$B$1006,'Movimentação'!$E$7:$E$1006,"",0,-1),""))</f>
        <v/>
      </c>
      <c r="K625" s="24" t="str">
        <f t="array" ref="K625">IF($A625="","",IFERROR(_xlfn.XLOOKUP($A625,'Movimentação'!$B$7:$B$1006,'Movimentação'!$G$7:$G$1006,"",0,-1),""))</f>
        <v/>
      </c>
      <c r="L625" s="24" t="str">
        <f t="shared" si="3"/>
        <v/>
      </c>
      <c r="M625" s="17"/>
      <c r="N625" s="30" t="str">
        <f t="array" ref="N625">IF($A625="","",IFERROR(IF(OR($L625="BAIXADO",$L625="FURTADO"),0,INDEX(Listas!$J$2:$J$40,MATCH($B625,Listas!$I$2:$I$40,0))),""))</f>
        <v/>
      </c>
      <c r="P625" s="31" t="str">
        <f t="array" ref="P625">IF($A625="","",IFERROR(_xlfn.XLOOKUP($A625,'Movimentação'!$B$7:$B$1006,'Movimentação'!$F$7:$F$1006,"",0,-1),""))</f>
        <v/>
      </c>
      <c r="Q625" s="31">
        <f>IF(COUNTIFS('Manutenção'!$B$7:$B$1006,$A625,'Manutenção'!$H$7:$H$1006,"EM CONSERTO")&gt;0,1,0)</f>
        <v>0</v>
      </c>
    </row>
    <row r="626" ht="15.0" hidden="1" customHeight="1">
      <c r="A626" s="15"/>
      <c r="B626" s="17"/>
      <c r="C626" s="17"/>
      <c r="D626" s="17"/>
      <c r="E626" s="17"/>
      <c r="F626" s="17"/>
      <c r="G626" s="18"/>
      <c r="H626" s="15"/>
      <c r="I626" s="15"/>
      <c r="J626" s="24" t="str">
        <f t="array" ref="J626">IF($A626="","",IFERROR(_xlfn.XLOOKUP($A626,'Movimentação'!$B$7:$B$1006,'Movimentação'!$E$7:$E$1006,"",0,-1),""))</f>
        <v/>
      </c>
      <c r="K626" s="24" t="str">
        <f t="array" ref="K626">IF($A626="","",IFERROR(_xlfn.XLOOKUP($A626,'Movimentação'!$B$7:$B$1006,'Movimentação'!$G$7:$G$1006,"",0,-1),""))</f>
        <v/>
      </c>
      <c r="L626" s="24" t="str">
        <f t="shared" si="3"/>
        <v/>
      </c>
      <c r="M626" s="17"/>
      <c r="N626" s="30" t="str">
        <f t="array" ref="N626">IF($A626="","",IFERROR(IF(OR($L626="BAIXADO",$L626="FURTADO"),0,INDEX(Listas!$J$2:$J$40,MATCH($B626,Listas!$I$2:$I$40,0))),""))</f>
        <v/>
      </c>
      <c r="P626" s="31" t="str">
        <f t="array" ref="P626">IF($A626="","",IFERROR(_xlfn.XLOOKUP($A626,'Movimentação'!$B$7:$B$1006,'Movimentação'!$F$7:$F$1006,"",0,-1),""))</f>
        <v/>
      </c>
      <c r="Q626" s="31">
        <f>IF(COUNTIFS('Manutenção'!$B$7:$B$1006,$A626,'Manutenção'!$H$7:$H$1006,"EM CONSERTO")&gt;0,1,0)</f>
        <v>0</v>
      </c>
    </row>
    <row r="627" ht="15.0" hidden="1" customHeight="1">
      <c r="A627" s="15"/>
      <c r="B627" s="17"/>
      <c r="C627" s="17"/>
      <c r="D627" s="17"/>
      <c r="E627" s="17"/>
      <c r="F627" s="17"/>
      <c r="G627" s="18"/>
      <c r="H627" s="15"/>
      <c r="I627" s="15"/>
      <c r="J627" s="24" t="str">
        <f t="array" ref="J627">IF($A627="","",IFERROR(_xlfn.XLOOKUP($A627,'Movimentação'!$B$7:$B$1006,'Movimentação'!$E$7:$E$1006,"",0,-1),""))</f>
        <v/>
      </c>
      <c r="K627" s="24" t="str">
        <f t="array" ref="K627">IF($A627="","",IFERROR(_xlfn.XLOOKUP($A627,'Movimentação'!$B$7:$B$1006,'Movimentação'!$G$7:$G$1006,"",0,-1),""))</f>
        <v/>
      </c>
      <c r="L627" s="24" t="str">
        <f t="shared" si="3"/>
        <v/>
      </c>
      <c r="M627" s="17"/>
      <c r="N627" s="30" t="str">
        <f t="array" ref="N627">IF($A627="","",IFERROR(IF(OR($L627="BAIXADO",$L627="FURTADO"),0,INDEX(Listas!$J$2:$J$40,MATCH($B627,Listas!$I$2:$I$40,0))),""))</f>
        <v/>
      </c>
      <c r="P627" s="31" t="str">
        <f t="array" ref="P627">IF($A627="","",IFERROR(_xlfn.XLOOKUP($A627,'Movimentação'!$B$7:$B$1006,'Movimentação'!$F$7:$F$1006,"",0,-1),""))</f>
        <v/>
      </c>
      <c r="Q627" s="31">
        <f>IF(COUNTIFS('Manutenção'!$B$7:$B$1006,$A627,'Manutenção'!$H$7:$H$1006,"EM CONSERTO")&gt;0,1,0)</f>
        <v>0</v>
      </c>
    </row>
    <row r="628" ht="15.0" hidden="1" customHeight="1">
      <c r="A628" s="15"/>
      <c r="B628" s="17"/>
      <c r="C628" s="17"/>
      <c r="D628" s="17"/>
      <c r="E628" s="17"/>
      <c r="F628" s="17"/>
      <c r="G628" s="18"/>
      <c r="H628" s="15"/>
      <c r="I628" s="15"/>
      <c r="J628" s="24" t="str">
        <f t="array" ref="J628">IF($A628="","",IFERROR(_xlfn.XLOOKUP($A628,'Movimentação'!$B$7:$B$1006,'Movimentação'!$E$7:$E$1006,"",0,-1),""))</f>
        <v/>
      </c>
      <c r="K628" s="24" t="str">
        <f t="array" ref="K628">IF($A628="","",IFERROR(_xlfn.XLOOKUP($A628,'Movimentação'!$B$7:$B$1006,'Movimentação'!$G$7:$G$1006,"",0,-1),""))</f>
        <v/>
      </c>
      <c r="L628" s="24" t="str">
        <f t="shared" si="3"/>
        <v/>
      </c>
      <c r="M628" s="17"/>
      <c r="N628" s="30" t="str">
        <f t="array" ref="N628">IF($A628="","",IFERROR(IF(OR($L628="BAIXADO",$L628="FURTADO"),0,INDEX(Listas!$J$2:$J$40,MATCH($B628,Listas!$I$2:$I$40,0))),""))</f>
        <v/>
      </c>
      <c r="P628" s="31" t="str">
        <f t="array" ref="P628">IF($A628="","",IFERROR(_xlfn.XLOOKUP($A628,'Movimentação'!$B$7:$B$1006,'Movimentação'!$F$7:$F$1006,"",0,-1),""))</f>
        <v/>
      </c>
      <c r="Q628" s="31">
        <f>IF(COUNTIFS('Manutenção'!$B$7:$B$1006,$A628,'Manutenção'!$H$7:$H$1006,"EM CONSERTO")&gt;0,1,0)</f>
        <v>0</v>
      </c>
    </row>
    <row r="629" ht="15.0" hidden="1" customHeight="1">
      <c r="A629" s="15"/>
      <c r="B629" s="17"/>
      <c r="C629" s="17"/>
      <c r="D629" s="17"/>
      <c r="E629" s="17"/>
      <c r="F629" s="17"/>
      <c r="G629" s="18"/>
      <c r="H629" s="15"/>
      <c r="I629" s="15"/>
      <c r="J629" s="24" t="str">
        <f t="array" ref="J629">IF($A629="","",IFERROR(_xlfn.XLOOKUP($A629,'Movimentação'!$B$7:$B$1006,'Movimentação'!$E$7:$E$1006,"",0,-1),""))</f>
        <v/>
      </c>
      <c r="K629" s="24" t="str">
        <f t="array" ref="K629">IF($A629="","",IFERROR(_xlfn.XLOOKUP($A629,'Movimentação'!$B$7:$B$1006,'Movimentação'!$G$7:$G$1006,"",0,-1),""))</f>
        <v/>
      </c>
      <c r="L629" s="24" t="str">
        <f t="shared" si="3"/>
        <v/>
      </c>
      <c r="M629" s="17"/>
      <c r="N629" s="30" t="str">
        <f t="array" ref="N629">IF($A629="","",IFERROR(IF(OR($L629="BAIXADO",$L629="FURTADO"),0,INDEX(Listas!$J$2:$J$40,MATCH($B629,Listas!$I$2:$I$40,0))),""))</f>
        <v/>
      </c>
      <c r="P629" s="31" t="str">
        <f t="array" ref="P629">IF($A629="","",IFERROR(_xlfn.XLOOKUP($A629,'Movimentação'!$B$7:$B$1006,'Movimentação'!$F$7:$F$1006,"",0,-1),""))</f>
        <v/>
      </c>
      <c r="Q629" s="31">
        <f>IF(COUNTIFS('Manutenção'!$B$7:$B$1006,$A629,'Manutenção'!$H$7:$H$1006,"EM CONSERTO")&gt;0,1,0)</f>
        <v>0</v>
      </c>
    </row>
    <row r="630" ht="15.0" hidden="1" customHeight="1">
      <c r="A630" s="15"/>
      <c r="B630" s="17"/>
      <c r="C630" s="17"/>
      <c r="D630" s="17"/>
      <c r="E630" s="17"/>
      <c r="F630" s="17"/>
      <c r="G630" s="18"/>
      <c r="H630" s="15"/>
      <c r="I630" s="15"/>
      <c r="J630" s="24" t="str">
        <f t="array" ref="J630">IF($A630="","",IFERROR(_xlfn.XLOOKUP($A630,'Movimentação'!$B$7:$B$1006,'Movimentação'!$E$7:$E$1006,"",0,-1),""))</f>
        <v/>
      </c>
      <c r="K630" s="24" t="str">
        <f t="array" ref="K630">IF($A630="","",IFERROR(_xlfn.XLOOKUP($A630,'Movimentação'!$B$7:$B$1006,'Movimentação'!$G$7:$G$1006,"",0,-1),""))</f>
        <v/>
      </c>
      <c r="L630" s="24" t="str">
        <f t="shared" si="3"/>
        <v/>
      </c>
      <c r="M630" s="17"/>
      <c r="N630" s="30" t="str">
        <f t="array" ref="N630">IF($A630="","",IFERROR(IF(OR($L630="BAIXADO",$L630="FURTADO"),0,INDEX(Listas!$J$2:$J$40,MATCH($B630,Listas!$I$2:$I$40,0))),""))</f>
        <v/>
      </c>
      <c r="P630" s="31" t="str">
        <f t="array" ref="P630">IF($A630="","",IFERROR(_xlfn.XLOOKUP($A630,'Movimentação'!$B$7:$B$1006,'Movimentação'!$F$7:$F$1006,"",0,-1),""))</f>
        <v/>
      </c>
      <c r="Q630" s="31">
        <f>IF(COUNTIFS('Manutenção'!$B$7:$B$1006,$A630,'Manutenção'!$H$7:$H$1006,"EM CONSERTO")&gt;0,1,0)</f>
        <v>0</v>
      </c>
    </row>
    <row r="631" ht="15.0" hidden="1" customHeight="1">
      <c r="A631" s="15"/>
      <c r="B631" s="17"/>
      <c r="C631" s="17"/>
      <c r="D631" s="17"/>
      <c r="E631" s="17"/>
      <c r="F631" s="17"/>
      <c r="G631" s="18"/>
      <c r="H631" s="15"/>
      <c r="I631" s="15"/>
      <c r="J631" s="24" t="str">
        <f t="array" ref="J631">IF($A631="","",IFERROR(_xlfn.XLOOKUP($A631,'Movimentação'!$B$7:$B$1006,'Movimentação'!$E$7:$E$1006,"",0,-1),""))</f>
        <v/>
      </c>
      <c r="K631" s="24" t="str">
        <f t="array" ref="K631">IF($A631="","",IFERROR(_xlfn.XLOOKUP($A631,'Movimentação'!$B$7:$B$1006,'Movimentação'!$G$7:$G$1006,"",0,-1),""))</f>
        <v/>
      </c>
      <c r="L631" s="24" t="str">
        <f t="shared" si="3"/>
        <v/>
      </c>
      <c r="M631" s="17"/>
      <c r="N631" s="30" t="str">
        <f t="array" ref="N631">IF($A631="","",IFERROR(IF(OR($L631="BAIXADO",$L631="FURTADO"),0,INDEX(Listas!$J$2:$J$40,MATCH($B631,Listas!$I$2:$I$40,0))),""))</f>
        <v/>
      </c>
      <c r="P631" s="31" t="str">
        <f t="array" ref="P631">IF($A631="","",IFERROR(_xlfn.XLOOKUP($A631,'Movimentação'!$B$7:$B$1006,'Movimentação'!$F$7:$F$1006,"",0,-1),""))</f>
        <v/>
      </c>
      <c r="Q631" s="31">
        <f>IF(COUNTIFS('Manutenção'!$B$7:$B$1006,$A631,'Manutenção'!$H$7:$H$1006,"EM CONSERTO")&gt;0,1,0)</f>
        <v>0</v>
      </c>
    </row>
    <row r="632" ht="15.0" hidden="1" customHeight="1">
      <c r="A632" s="15"/>
      <c r="B632" s="17"/>
      <c r="C632" s="17"/>
      <c r="D632" s="17"/>
      <c r="E632" s="17"/>
      <c r="F632" s="17"/>
      <c r="G632" s="18"/>
      <c r="H632" s="15"/>
      <c r="I632" s="15"/>
      <c r="J632" s="24" t="str">
        <f t="array" ref="J632">IF($A632="","",IFERROR(_xlfn.XLOOKUP($A632,'Movimentação'!$B$7:$B$1006,'Movimentação'!$E$7:$E$1006,"",0,-1),""))</f>
        <v/>
      </c>
      <c r="K632" s="24" t="str">
        <f t="array" ref="K632">IF($A632="","",IFERROR(_xlfn.XLOOKUP($A632,'Movimentação'!$B$7:$B$1006,'Movimentação'!$G$7:$G$1006,"",0,-1),""))</f>
        <v/>
      </c>
      <c r="L632" s="24" t="str">
        <f t="shared" si="3"/>
        <v/>
      </c>
      <c r="M632" s="17"/>
      <c r="N632" s="30" t="str">
        <f t="array" ref="N632">IF($A632="","",IFERROR(IF(OR($L632="BAIXADO",$L632="FURTADO"),0,INDEX(Listas!$J$2:$J$40,MATCH($B632,Listas!$I$2:$I$40,0))),""))</f>
        <v/>
      </c>
      <c r="P632" s="31" t="str">
        <f t="array" ref="P632">IF($A632="","",IFERROR(_xlfn.XLOOKUP($A632,'Movimentação'!$B$7:$B$1006,'Movimentação'!$F$7:$F$1006,"",0,-1),""))</f>
        <v/>
      </c>
      <c r="Q632" s="31">
        <f>IF(COUNTIFS('Manutenção'!$B$7:$B$1006,$A632,'Manutenção'!$H$7:$H$1006,"EM CONSERTO")&gt;0,1,0)</f>
        <v>0</v>
      </c>
    </row>
    <row r="633" ht="15.0" hidden="1" customHeight="1">
      <c r="A633" s="15"/>
      <c r="B633" s="17"/>
      <c r="C633" s="17"/>
      <c r="D633" s="17"/>
      <c r="E633" s="17"/>
      <c r="F633" s="17"/>
      <c r="G633" s="18"/>
      <c r="H633" s="15"/>
      <c r="I633" s="15"/>
      <c r="J633" s="24" t="str">
        <f t="array" ref="J633">IF($A633="","",IFERROR(_xlfn.XLOOKUP($A633,'Movimentação'!$B$7:$B$1006,'Movimentação'!$E$7:$E$1006,"",0,-1),""))</f>
        <v/>
      </c>
      <c r="K633" s="24" t="str">
        <f t="array" ref="K633">IF($A633="","",IFERROR(_xlfn.XLOOKUP($A633,'Movimentação'!$B$7:$B$1006,'Movimentação'!$G$7:$G$1006,"",0,-1),""))</f>
        <v/>
      </c>
      <c r="L633" s="24" t="str">
        <f t="shared" si="3"/>
        <v/>
      </c>
      <c r="M633" s="17"/>
      <c r="N633" s="30" t="str">
        <f t="array" ref="N633">IF($A633="","",IFERROR(IF(OR($L633="BAIXADO",$L633="FURTADO"),0,INDEX(Listas!$J$2:$J$40,MATCH($B633,Listas!$I$2:$I$40,0))),""))</f>
        <v/>
      </c>
      <c r="P633" s="31" t="str">
        <f t="array" ref="P633">IF($A633="","",IFERROR(_xlfn.XLOOKUP($A633,'Movimentação'!$B$7:$B$1006,'Movimentação'!$F$7:$F$1006,"",0,-1),""))</f>
        <v/>
      </c>
      <c r="Q633" s="31">
        <f>IF(COUNTIFS('Manutenção'!$B$7:$B$1006,$A633,'Manutenção'!$H$7:$H$1006,"EM CONSERTO")&gt;0,1,0)</f>
        <v>0</v>
      </c>
    </row>
    <row r="634" ht="15.0" hidden="1" customHeight="1">
      <c r="A634" s="15"/>
      <c r="B634" s="17"/>
      <c r="C634" s="17"/>
      <c r="D634" s="17"/>
      <c r="E634" s="17"/>
      <c r="F634" s="17"/>
      <c r="G634" s="18"/>
      <c r="H634" s="15"/>
      <c r="I634" s="15"/>
      <c r="J634" s="24" t="str">
        <f t="array" ref="J634">IF($A634="","",IFERROR(_xlfn.XLOOKUP($A634,'Movimentação'!$B$7:$B$1006,'Movimentação'!$E$7:$E$1006,"",0,-1),""))</f>
        <v/>
      </c>
      <c r="K634" s="24" t="str">
        <f t="array" ref="K634">IF($A634="","",IFERROR(_xlfn.XLOOKUP($A634,'Movimentação'!$B$7:$B$1006,'Movimentação'!$G$7:$G$1006,"",0,-1),""))</f>
        <v/>
      </c>
      <c r="L634" s="24" t="str">
        <f t="shared" si="3"/>
        <v/>
      </c>
      <c r="M634" s="17"/>
      <c r="N634" s="30" t="str">
        <f t="array" ref="N634">IF($A634="","",IFERROR(IF(OR($L634="BAIXADO",$L634="FURTADO"),0,INDEX(Listas!$J$2:$J$40,MATCH($B634,Listas!$I$2:$I$40,0))),""))</f>
        <v/>
      </c>
      <c r="P634" s="31" t="str">
        <f t="array" ref="P634">IF($A634="","",IFERROR(_xlfn.XLOOKUP($A634,'Movimentação'!$B$7:$B$1006,'Movimentação'!$F$7:$F$1006,"",0,-1),""))</f>
        <v/>
      </c>
      <c r="Q634" s="31">
        <f>IF(COUNTIFS('Manutenção'!$B$7:$B$1006,$A634,'Manutenção'!$H$7:$H$1006,"EM CONSERTO")&gt;0,1,0)</f>
        <v>0</v>
      </c>
    </row>
    <row r="635" ht="15.0" hidden="1" customHeight="1">
      <c r="A635" s="15"/>
      <c r="B635" s="17"/>
      <c r="C635" s="17"/>
      <c r="D635" s="17"/>
      <c r="E635" s="17"/>
      <c r="F635" s="17"/>
      <c r="G635" s="18"/>
      <c r="H635" s="15"/>
      <c r="I635" s="15"/>
      <c r="J635" s="24" t="str">
        <f t="array" ref="J635">IF($A635="","",IFERROR(_xlfn.XLOOKUP($A635,'Movimentação'!$B$7:$B$1006,'Movimentação'!$E$7:$E$1006,"",0,-1),""))</f>
        <v/>
      </c>
      <c r="K635" s="24" t="str">
        <f t="array" ref="K635">IF($A635="","",IFERROR(_xlfn.XLOOKUP($A635,'Movimentação'!$B$7:$B$1006,'Movimentação'!$G$7:$G$1006,"",0,-1),""))</f>
        <v/>
      </c>
      <c r="L635" s="24" t="str">
        <f t="shared" si="3"/>
        <v/>
      </c>
      <c r="M635" s="17"/>
      <c r="N635" s="30" t="str">
        <f t="array" ref="N635">IF($A635="","",IFERROR(IF(OR($L635="BAIXADO",$L635="FURTADO"),0,INDEX(Listas!$J$2:$J$40,MATCH($B635,Listas!$I$2:$I$40,0))),""))</f>
        <v/>
      </c>
      <c r="P635" s="31" t="str">
        <f t="array" ref="P635">IF($A635="","",IFERROR(_xlfn.XLOOKUP($A635,'Movimentação'!$B$7:$B$1006,'Movimentação'!$F$7:$F$1006,"",0,-1),""))</f>
        <v/>
      </c>
      <c r="Q635" s="31">
        <f>IF(COUNTIFS('Manutenção'!$B$7:$B$1006,$A635,'Manutenção'!$H$7:$H$1006,"EM CONSERTO")&gt;0,1,0)</f>
        <v>0</v>
      </c>
    </row>
    <row r="636" ht="15.0" hidden="1" customHeight="1">
      <c r="A636" s="15"/>
      <c r="B636" s="17"/>
      <c r="C636" s="17"/>
      <c r="D636" s="17"/>
      <c r="E636" s="17"/>
      <c r="F636" s="17"/>
      <c r="G636" s="18"/>
      <c r="H636" s="15"/>
      <c r="I636" s="15"/>
      <c r="J636" s="24" t="str">
        <f t="array" ref="J636">IF($A636="","",IFERROR(_xlfn.XLOOKUP($A636,'Movimentação'!$B$7:$B$1006,'Movimentação'!$E$7:$E$1006,"",0,-1),""))</f>
        <v/>
      </c>
      <c r="K636" s="24" t="str">
        <f t="array" ref="K636">IF($A636="","",IFERROR(_xlfn.XLOOKUP($A636,'Movimentação'!$B$7:$B$1006,'Movimentação'!$G$7:$G$1006,"",0,-1),""))</f>
        <v/>
      </c>
      <c r="L636" s="24" t="str">
        <f t="shared" si="3"/>
        <v/>
      </c>
      <c r="M636" s="17"/>
      <c r="N636" s="30" t="str">
        <f t="array" ref="N636">IF($A636="","",IFERROR(IF(OR($L636="BAIXADO",$L636="FURTADO"),0,INDEX(Listas!$J$2:$J$40,MATCH($B636,Listas!$I$2:$I$40,0))),""))</f>
        <v/>
      </c>
      <c r="P636" s="31" t="str">
        <f t="array" ref="P636">IF($A636="","",IFERROR(_xlfn.XLOOKUP($A636,'Movimentação'!$B$7:$B$1006,'Movimentação'!$F$7:$F$1006,"",0,-1),""))</f>
        <v/>
      </c>
      <c r="Q636" s="31">
        <f>IF(COUNTIFS('Manutenção'!$B$7:$B$1006,$A636,'Manutenção'!$H$7:$H$1006,"EM CONSERTO")&gt;0,1,0)</f>
        <v>0</v>
      </c>
    </row>
    <row r="637" ht="15.0" hidden="1" customHeight="1">
      <c r="A637" s="15"/>
      <c r="B637" s="17"/>
      <c r="C637" s="17"/>
      <c r="D637" s="17"/>
      <c r="E637" s="17"/>
      <c r="F637" s="17"/>
      <c r="G637" s="18"/>
      <c r="H637" s="15"/>
      <c r="I637" s="15"/>
      <c r="J637" s="24" t="str">
        <f t="array" ref="J637">IF($A637="","",IFERROR(_xlfn.XLOOKUP($A637,'Movimentação'!$B$7:$B$1006,'Movimentação'!$E$7:$E$1006,"",0,-1),""))</f>
        <v/>
      </c>
      <c r="K637" s="24" t="str">
        <f t="array" ref="K637">IF($A637="","",IFERROR(_xlfn.XLOOKUP($A637,'Movimentação'!$B$7:$B$1006,'Movimentação'!$G$7:$G$1006,"",0,-1),""))</f>
        <v/>
      </c>
      <c r="L637" s="24" t="str">
        <f t="shared" si="3"/>
        <v/>
      </c>
      <c r="M637" s="17"/>
      <c r="N637" s="30" t="str">
        <f t="array" ref="N637">IF($A637="","",IFERROR(IF(OR($L637="BAIXADO",$L637="FURTADO"),0,INDEX(Listas!$J$2:$J$40,MATCH($B637,Listas!$I$2:$I$40,0))),""))</f>
        <v/>
      </c>
      <c r="P637" s="31" t="str">
        <f t="array" ref="P637">IF($A637="","",IFERROR(_xlfn.XLOOKUP($A637,'Movimentação'!$B$7:$B$1006,'Movimentação'!$F$7:$F$1006,"",0,-1),""))</f>
        <v/>
      </c>
      <c r="Q637" s="31">
        <f>IF(COUNTIFS('Manutenção'!$B$7:$B$1006,$A637,'Manutenção'!$H$7:$H$1006,"EM CONSERTO")&gt;0,1,0)</f>
        <v>0</v>
      </c>
    </row>
    <row r="638" ht="15.0" hidden="1" customHeight="1">
      <c r="A638" s="15"/>
      <c r="B638" s="17"/>
      <c r="C638" s="17"/>
      <c r="D638" s="17"/>
      <c r="E638" s="17"/>
      <c r="F638" s="17"/>
      <c r="G638" s="18"/>
      <c r="H638" s="15"/>
      <c r="I638" s="15"/>
      <c r="J638" s="24" t="str">
        <f t="array" ref="J638">IF($A638="","",IFERROR(_xlfn.XLOOKUP($A638,'Movimentação'!$B$7:$B$1006,'Movimentação'!$E$7:$E$1006,"",0,-1),""))</f>
        <v/>
      </c>
      <c r="K638" s="24" t="str">
        <f t="array" ref="K638">IF($A638="","",IFERROR(_xlfn.XLOOKUP($A638,'Movimentação'!$B$7:$B$1006,'Movimentação'!$G$7:$G$1006,"",0,-1),""))</f>
        <v/>
      </c>
      <c r="L638" s="24" t="str">
        <f t="shared" si="3"/>
        <v/>
      </c>
      <c r="M638" s="17"/>
      <c r="N638" s="30" t="str">
        <f t="array" ref="N638">IF($A638="","",IFERROR(IF(OR($L638="BAIXADO",$L638="FURTADO"),0,INDEX(Listas!$J$2:$J$40,MATCH($B638,Listas!$I$2:$I$40,0))),""))</f>
        <v/>
      </c>
      <c r="P638" s="31" t="str">
        <f t="array" ref="P638">IF($A638="","",IFERROR(_xlfn.XLOOKUP($A638,'Movimentação'!$B$7:$B$1006,'Movimentação'!$F$7:$F$1006,"",0,-1),""))</f>
        <v/>
      </c>
      <c r="Q638" s="31">
        <f>IF(COUNTIFS('Manutenção'!$B$7:$B$1006,$A638,'Manutenção'!$H$7:$H$1006,"EM CONSERTO")&gt;0,1,0)</f>
        <v>0</v>
      </c>
    </row>
    <row r="639" ht="15.0" hidden="1" customHeight="1">
      <c r="A639" s="15"/>
      <c r="B639" s="17"/>
      <c r="C639" s="17"/>
      <c r="D639" s="17"/>
      <c r="E639" s="17"/>
      <c r="F639" s="17"/>
      <c r="G639" s="18"/>
      <c r="H639" s="15"/>
      <c r="I639" s="15"/>
      <c r="J639" s="24" t="str">
        <f t="array" ref="J639">IF($A639="","",IFERROR(_xlfn.XLOOKUP($A639,'Movimentação'!$B$7:$B$1006,'Movimentação'!$E$7:$E$1006,"",0,-1),""))</f>
        <v/>
      </c>
      <c r="K639" s="24" t="str">
        <f t="array" ref="K639">IF($A639="","",IFERROR(_xlfn.XLOOKUP($A639,'Movimentação'!$B$7:$B$1006,'Movimentação'!$G$7:$G$1006,"",0,-1),""))</f>
        <v/>
      </c>
      <c r="L639" s="24" t="str">
        <f t="shared" si="3"/>
        <v/>
      </c>
      <c r="M639" s="17"/>
      <c r="N639" s="30" t="str">
        <f t="array" ref="N639">IF($A639="","",IFERROR(IF(OR($L639="BAIXADO",$L639="FURTADO"),0,INDEX(Listas!$J$2:$J$40,MATCH($B639,Listas!$I$2:$I$40,0))),""))</f>
        <v/>
      </c>
      <c r="P639" s="31" t="str">
        <f t="array" ref="P639">IF($A639="","",IFERROR(_xlfn.XLOOKUP($A639,'Movimentação'!$B$7:$B$1006,'Movimentação'!$F$7:$F$1006,"",0,-1),""))</f>
        <v/>
      </c>
      <c r="Q639" s="31">
        <f>IF(COUNTIFS('Manutenção'!$B$7:$B$1006,$A639,'Manutenção'!$H$7:$H$1006,"EM CONSERTO")&gt;0,1,0)</f>
        <v>0</v>
      </c>
    </row>
    <row r="640" ht="15.0" hidden="1" customHeight="1">
      <c r="A640" s="15"/>
      <c r="B640" s="17"/>
      <c r="C640" s="17"/>
      <c r="D640" s="17"/>
      <c r="E640" s="17"/>
      <c r="F640" s="17"/>
      <c r="G640" s="18"/>
      <c r="H640" s="15"/>
      <c r="I640" s="15"/>
      <c r="J640" s="24" t="str">
        <f t="array" ref="J640">IF($A640="","",IFERROR(_xlfn.XLOOKUP($A640,'Movimentação'!$B$7:$B$1006,'Movimentação'!$E$7:$E$1006,"",0,-1),""))</f>
        <v/>
      </c>
      <c r="K640" s="24" t="str">
        <f t="array" ref="K640">IF($A640="","",IFERROR(_xlfn.XLOOKUP($A640,'Movimentação'!$B$7:$B$1006,'Movimentação'!$G$7:$G$1006,"",0,-1),""))</f>
        <v/>
      </c>
      <c r="L640" s="24" t="str">
        <f t="shared" si="3"/>
        <v/>
      </c>
      <c r="M640" s="17"/>
      <c r="N640" s="30" t="str">
        <f t="array" ref="N640">IF($A640="","",IFERROR(IF(OR($L640="BAIXADO",$L640="FURTADO"),0,INDEX(Listas!$J$2:$J$40,MATCH($B640,Listas!$I$2:$I$40,0))),""))</f>
        <v/>
      </c>
      <c r="P640" s="31" t="str">
        <f t="array" ref="P640">IF($A640="","",IFERROR(_xlfn.XLOOKUP($A640,'Movimentação'!$B$7:$B$1006,'Movimentação'!$F$7:$F$1006,"",0,-1),""))</f>
        <v/>
      </c>
      <c r="Q640" s="31">
        <f>IF(COUNTIFS('Manutenção'!$B$7:$B$1006,$A640,'Manutenção'!$H$7:$H$1006,"EM CONSERTO")&gt;0,1,0)</f>
        <v>0</v>
      </c>
    </row>
    <row r="641" ht="15.0" hidden="1" customHeight="1">
      <c r="A641" s="15"/>
      <c r="B641" s="17"/>
      <c r="C641" s="17"/>
      <c r="D641" s="17"/>
      <c r="E641" s="17"/>
      <c r="F641" s="17"/>
      <c r="G641" s="18"/>
      <c r="H641" s="15"/>
      <c r="I641" s="15"/>
      <c r="J641" s="24" t="str">
        <f t="array" ref="J641">IF($A641="","",IFERROR(_xlfn.XLOOKUP($A641,'Movimentação'!$B$7:$B$1006,'Movimentação'!$E$7:$E$1006,"",0,-1),""))</f>
        <v/>
      </c>
      <c r="K641" s="24" t="str">
        <f t="array" ref="K641">IF($A641="","",IFERROR(_xlfn.XLOOKUP($A641,'Movimentação'!$B$7:$B$1006,'Movimentação'!$G$7:$G$1006,"",0,-1),""))</f>
        <v/>
      </c>
      <c r="L641" s="24" t="str">
        <f t="shared" si="3"/>
        <v/>
      </c>
      <c r="M641" s="17"/>
      <c r="N641" s="30" t="str">
        <f t="array" ref="N641">IF($A641="","",IFERROR(IF(OR($L641="BAIXADO",$L641="FURTADO"),0,INDEX(Listas!$J$2:$J$40,MATCH($B641,Listas!$I$2:$I$40,0))),""))</f>
        <v/>
      </c>
      <c r="P641" s="31" t="str">
        <f t="array" ref="P641">IF($A641="","",IFERROR(_xlfn.XLOOKUP($A641,'Movimentação'!$B$7:$B$1006,'Movimentação'!$F$7:$F$1006,"",0,-1),""))</f>
        <v/>
      </c>
      <c r="Q641" s="31">
        <f>IF(COUNTIFS('Manutenção'!$B$7:$B$1006,$A641,'Manutenção'!$H$7:$H$1006,"EM CONSERTO")&gt;0,1,0)</f>
        <v>0</v>
      </c>
    </row>
    <row r="642" ht="15.0" hidden="1" customHeight="1">
      <c r="A642" s="15"/>
      <c r="B642" s="17"/>
      <c r="C642" s="17"/>
      <c r="D642" s="17"/>
      <c r="E642" s="17"/>
      <c r="F642" s="17"/>
      <c r="G642" s="18"/>
      <c r="H642" s="15"/>
      <c r="I642" s="15"/>
      <c r="J642" s="24" t="str">
        <f t="array" ref="J642">IF($A642="","",IFERROR(_xlfn.XLOOKUP($A642,'Movimentação'!$B$7:$B$1006,'Movimentação'!$E$7:$E$1006,"",0,-1),""))</f>
        <v/>
      </c>
      <c r="K642" s="24" t="str">
        <f t="array" ref="K642">IF($A642="","",IFERROR(_xlfn.XLOOKUP($A642,'Movimentação'!$B$7:$B$1006,'Movimentação'!$G$7:$G$1006,"",0,-1),""))</f>
        <v/>
      </c>
      <c r="L642" s="24" t="str">
        <f t="shared" si="3"/>
        <v/>
      </c>
      <c r="M642" s="17"/>
      <c r="N642" s="30" t="str">
        <f t="array" ref="N642">IF($A642="","",IFERROR(IF(OR($L642="BAIXADO",$L642="FURTADO"),0,INDEX(Listas!$J$2:$J$40,MATCH($B642,Listas!$I$2:$I$40,0))),""))</f>
        <v/>
      </c>
      <c r="P642" s="31" t="str">
        <f t="array" ref="P642">IF($A642="","",IFERROR(_xlfn.XLOOKUP($A642,'Movimentação'!$B$7:$B$1006,'Movimentação'!$F$7:$F$1006,"",0,-1),""))</f>
        <v/>
      </c>
      <c r="Q642" s="31">
        <f>IF(COUNTIFS('Manutenção'!$B$7:$B$1006,$A642,'Manutenção'!$H$7:$H$1006,"EM CONSERTO")&gt;0,1,0)</f>
        <v>0</v>
      </c>
    </row>
    <row r="643" ht="15.0" hidden="1" customHeight="1">
      <c r="A643" s="15"/>
      <c r="B643" s="17"/>
      <c r="C643" s="17"/>
      <c r="D643" s="17"/>
      <c r="E643" s="17"/>
      <c r="F643" s="17"/>
      <c r="G643" s="18"/>
      <c r="H643" s="15"/>
      <c r="I643" s="15"/>
      <c r="J643" s="24" t="str">
        <f t="array" ref="J643">IF($A643="","",IFERROR(_xlfn.XLOOKUP($A643,'Movimentação'!$B$7:$B$1006,'Movimentação'!$E$7:$E$1006,"",0,-1),""))</f>
        <v/>
      </c>
      <c r="K643" s="24" t="str">
        <f t="array" ref="K643">IF($A643="","",IFERROR(_xlfn.XLOOKUP($A643,'Movimentação'!$B$7:$B$1006,'Movimentação'!$G$7:$G$1006,"",0,-1),""))</f>
        <v/>
      </c>
      <c r="L643" s="24" t="str">
        <f t="shared" si="3"/>
        <v/>
      </c>
      <c r="M643" s="17"/>
      <c r="N643" s="30" t="str">
        <f t="array" ref="N643">IF($A643="","",IFERROR(IF(OR($L643="BAIXADO",$L643="FURTADO"),0,INDEX(Listas!$J$2:$J$40,MATCH($B643,Listas!$I$2:$I$40,0))),""))</f>
        <v/>
      </c>
      <c r="P643" s="31" t="str">
        <f t="array" ref="P643">IF($A643="","",IFERROR(_xlfn.XLOOKUP($A643,'Movimentação'!$B$7:$B$1006,'Movimentação'!$F$7:$F$1006,"",0,-1),""))</f>
        <v/>
      </c>
      <c r="Q643" s="31">
        <f>IF(COUNTIFS('Manutenção'!$B$7:$B$1006,$A643,'Manutenção'!$H$7:$H$1006,"EM CONSERTO")&gt;0,1,0)</f>
        <v>0</v>
      </c>
    </row>
    <row r="644" ht="15.0" hidden="1" customHeight="1">
      <c r="A644" s="15"/>
      <c r="B644" s="17"/>
      <c r="C644" s="17"/>
      <c r="D644" s="17"/>
      <c r="E644" s="17"/>
      <c r="F644" s="17"/>
      <c r="G644" s="18"/>
      <c r="H644" s="15"/>
      <c r="I644" s="15"/>
      <c r="J644" s="24" t="str">
        <f t="array" ref="J644">IF($A644="","",IFERROR(_xlfn.XLOOKUP($A644,'Movimentação'!$B$7:$B$1006,'Movimentação'!$E$7:$E$1006,"",0,-1),""))</f>
        <v/>
      </c>
      <c r="K644" s="24" t="str">
        <f t="array" ref="K644">IF($A644="","",IFERROR(_xlfn.XLOOKUP($A644,'Movimentação'!$B$7:$B$1006,'Movimentação'!$G$7:$G$1006,"",0,-1),""))</f>
        <v/>
      </c>
      <c r="L644" s="24" t="str">
        <f t="shared" si="3"/>
        <v/>
      </c>
      <c r="M644" s="17"/>
      <c r="N644" s="30" t="str">
        <f t="array" ref="N644">IF($A644="","",IFERROR(IF(OR($L644="BAIXADO",$L644="FURTADO"),0,INDEX(Listas!$J$2:$J$40,MATCH($B644,Listas!$I$2:$I$40,0))),""))</f>
        <v/>
      </c>
      <c r="P644" s="31" t="str">
        <f t="array" ref="P644">IF($A644="","",IFERROR(_xlfn.XLOOKUP($A644,'Movimentação'!$B$7:$B$1006,'Movimentação'!$F$7:$F$1006,"",0,-1),""))</f>
        <v/>
      </c>
      <c r="Q644" s="31">
        <f>IF(COUNTIFS('Manutenção'!$B$7:$B$1006,$A644,'Manutenção'!$H$7:$H$1006,"EM CONSERTO")&gt;0,1,0)</f>
        <v>0</v>
      </c>
    </row>
    <row r="645" ht="15.0" hidden="1" customHeight="1">
      <c r="A645" s="15"/>
      <c r="B645" s="17"/>
      <c r="C645" s="17"/>
      <c r="D645" s="17"/>
      <c r="E645" s="17"/>
      <c r="F645" s="17"/>
      <c r="G645" s="18"/>
      <c r="H645" s="15"/>
      <c r="I645" s="15"/>
      <c r="J645" s="24" t="str">
        <f t="array" ref="J645">IF($A645="","",IFERROR(_xlfn.XLOOKUP($A645,'Movimentação'!$B$7:$B$1006,'Movimentação'!$E$7:$E$1006,"",0,-1),""))</f>
        <v/>
      </c>
      <c r="K645" s="24" t="str">
        <f t="array" ref="K645">IF($A645="","",IFERROR(_xlfn.XLOOKUP($A645,'Movimentação'!$B$7:$B$1006,'Movimentação'!$G$7:$G$1006,"",0,-1),""))</f>
        <v/>
      </c>
      <c r="L645" s="24" t="str">
        <f t="shared" si="3"/>
        <v/>
      </c>
      <c r="M645" s="17"/>
      <c r="N645" s="30" t="str">
        <f t="array" ref="N645">IF($A645="","",IFERROR(IF(OR($L645="BAIXADO",$L645="FURTADO"),0,INDEX(Listas!$J$2:$J$40,MATCH($B645,Listas!$I$2:$I$40,0))),""))</f>
        <v/>
      </c>
      <c r="P645" s="31" t="str">
        <f t="array" ref="P645">IF($A645="","",IFERROR(_xlfn.XLOOKUP($A645,'Movimentação'!$B$7:$B$1006,'Movimentação'!$F$7:$F$1006,"",0,-1),""))</f>
        <v/>
      </c>
      <c r="Q645" s="31">
        <f>IF(COUNTIFS('Manutenção'!$B$7:$B$1006,$A645,'Manutenção'!$H$7:$H$1006,"EM CONSERTO")&gt;0,1,0)</f>
        <v>0</v>
      </c>
    </row>
    <row r="646" ht="15.0" hidden="1" customHeight="1">
      <c r="A646" s="15"/>
      <c r="B646" s="17"/>
      <c r="C646" s="17"/>
      <c r="D646" s="17"/>
      <c r="E646" s="17"/>
      <c r="F646" s="17"/>
      <c r="G646" s="18"/>
      <c r="H646" s="15"/>
      <c r="I646" s="15"/>
      <c r="J646" s="24" t="str">
        <f t="array" ref="J646">IF($A646="","",IFERROR(_xlfn.XLOOKUP($A646,'Movimentação'!$B$7:$B$1006,'Movimentação'!$E$7:$E$1006,"",0,-1),""))</f>
        <v/>
      </c>
      <c r="K646" s="24" t="str">
        <f t="array" ref="K646">IF($A646="","",IFERROR(_xlfn.XLOOKUP($A646,'Movimentação'!$B$7:$B$1006,'Movimentação'!$G$7:$G$1006,"",0,-1),""))</f>
        <v/>
      </c>
      <c r="L646" s="24" t="str">
        <f t="shared" si="3"/>
        <v/>
      </c>
      <c r="M646" s="17"/>
      <c r="N646" s="30" t="str">
        <f t="array" ref="N646">IF($A646="","",IFERROR(IF(OR($L646="BAIXADO",$L646="FURTADO"),0,INDEX(Listas!$J$2:$J$40,MATCH($B646,Listas!$I$2:$I$40,0))),""))</f>
        <v/>
      </c>
      <c r="P646" s="31" t="str">
        <f t="array" ref="P646">IF($A646="","",IFERROR(_xlfn.XLOOKUP($A646,'Movimentação'!$B$7:$B$1006,'Movimentação'!$F$7:$F$1006,"",0,-1),""))</f>
        <v/>
      </c>
      <c r="Q646" s="31">
        <f>IF(COUNTIFS('Manutenção'!$B$7:$B$1006,$A646,'Manutenção'!$H$7:$H$1006,"EM CONSERTO")&gt;0,1,0)</f>
        <v>0</v>
      </c>
    </row>
    <row r="647" ht="15.0" hidden="1" customHeight="1">
      <c r="A647" s="15"/>
      <c r="B647" s="17"/>
      <c r="C647" s="17"/>
      <c r="D647" s="17"/>
      <c r="E647" s="17"/>
      <c r="F647" s="17"/>
      <c r="G647" s="18"/>
      <c r="H647" s="15"/>
      <c r="I647" s="15"/>
      <c r="J647" s="24" t="str">
        <f t="array" ref="J647">IF($A647="","",IFERROR(_xlfn.XLOOKUP($A647,'Movimentação'!$B$7:$B$1006,'Movimentação'!$E$7:$E$1006,"",0,-1),""))</f>
        <v/>
      </c>
      <c r="K647" s="24" t="str">
        <f t="array" ref="K647">IF($A647="","",IFERROR(_xlfn.XLOOKUP($A647,'Movimentação'!$B$7:$B$1006,'Movimentação'!$G$7:$G$1006,"",0,-1),""))</f>
        <v/>
      </c>
      <c r="L647" s="24" t="str">
        <f t="shared" si="3"/>
        <v/>
      </c>
      <c r="M647" s="17"/>
      <c r="N647" s="30" t="str">
        <f t="array" ref="N647">IF($A647="","",IFERROR(IF(OR($L647="BAIXADO",$L647="FURTADO"),0,INDEX(Listas!$J$2:$J$40,MATCH($B647,Listas!$I$2:$I$40,0))),""))</f>
        <v/>
      </c>
      <c r="P647" s="31" t="str">
        <f t="array" ref="P647">IF($A647="","",IFERROR(_xlfn.XLOOKUP($A647,'Movimentação'!$B$7:$B$1006,'Movimentação'!$F$7:$F$1006,"",0,-1),""))</f>
        <v/>
      </c>
      <c r="Q647" s="31">
        <f>IF(COUNTIFS('Manutenção'!$B$7:$B$1006,$A647,'Manutenção'!$H$7:$H$1006,"EM CONSERTO")&gt;0,1,0)</f>
        <v>0</v>
      </c>
    </row>
    <row r="648" ht="15.0" hidden="1" customHeight="1">
      <c r="A648" s="15"/>
      <c r="B648" s="17"/>
      <c r="C648" s="17"/>
      <c r="D648" s="17"/>
      <c r="E648" s="17"/>
      <c r="F648" s="17"/>
      <c r="G648" s="18"/>
      <c r="H648" s="15"/>
      <c r="I648" s="15"/>
      <c r="J648" s="24" t="str">
        <f t="array" ref="J648">IF($A648="","",IFERROR(_xlfn.XLOOKUP($A648,'Movimentação'!$B$7:$B$1006,'Movimentação'!$E$7:$E$1006,"",0,-1),""))</f>
        <v/>
      </c>
      <c r="K648" s="24" t="str">
        <f t="array" ref="K648">IF($A648="","",IFERROR(_xlfn.XLOOKUP($A648,'Movimentação'!$B$7:$B$1006,'Movimentação'!$G$7:$G$1006,"",0,-1),""))</f>
        <v/>
      </c>
      <c r="L648" s="24" t="str">
        <f t="shared" si="3"/>
        <v/>
      </c>
      <c r="M648" s="17"/>
      <c r="N648" s="30" t="str">
        <f t="array" ref="N648">IF($A648="","",IFERROR(IF(OR($L648="BAIXADO",$L648="FURTADO"),0,INDEX(Listas!$J$2:$J$40,MATCH($B648,Listas!$I$2:$I$40,0))),""))</f>
        <v/>
      </c>
      <c r="P648" s="31" t="str">
        <f t="array" ref="P648">IF($A648="","",IFERROR(_xlfn.XLOOKUP($A648,'Movimentação'!$B$7:$B$1006,'Movimentação'!$F$7:$F$1006,"",0,-1),""))</f>
        <v/>
      </c>
      <c r="Q648" s="31">
        <f>IF(COUNTIFS('Manutenção'!$B$7:$B$1006,$A648,'Manutenção'!$H$7:$H$1006,"EM CONSERTO")&gt;0,1,0)</f>
        <v>0</v>
      </c>
    </row>
    <row r="649" ht="15.0" hidden="1" customHeight="1">
      <c r="A649" s="15"/>
      <c r="B649" s="17"/>
      <c r="C649" s="17"/>
      <c r="D649" s="17"/>
      <c r="E649" s="17"/>
      <c r="F649" s="17"/>
      <c r="G649" s="18"/>
      <c r="H649" s="15"/>
      <c r="I649" s="15"/>
      <c r="J649" s="24" t="str">
        <f t="array" ref="J649">IF($A649="","",IFERROR(_xlfn.XLOOKUP($A649,'Movimentação'!$B$7:$B$1006,'Movimentação'!$E$7:$E$1006,"",0,-1),""))</f>
        <v/>
      </c>
      <c r="K649" s="24" t="str">
        <f t="array" ref="K649">IF($A649="","",IFERROR(_xlfn.XLOOKUP($A649,'Movimentação'!$B$7:$B$1006,'Movimentação'!$G$7:$G$1006,"",0,-1),""))</f>
        <v/>
      </c>
      <c r="L649" s="24" t="str">
        <f t="shared" si="3"/>
        <v/>
      </c>
      <c r="M649" s="17"/>
      <c r="N649" s="30" t="str">
        <f t="array" ref="N649">IF($A649="","",IFERROR(IF(OR($L649="BAIXADO",$L649="FURTADO"),0,INDEX(Listas!$J$2:$J$40,MATCH($B649,Listas!$I$2:$I$40,0))),""))</f>
        <v/>
      </c>
      <c r="P649" s="31" t="str">
        <f t="array" ref="P649">IF($A649="","",IFERROR(_xlfn.XLOOKUP($A649,'Movimentação'!$B$7:$B$1006,'Movimentação'!$F$7:$F$1006,"",0,-1),""))</f>
        <v/>
      </c>
      <c r="Q649" s="31">
        <f>IF(COUNTIFS('Manutenção'!$B$7:$B$1006,$A649,'Manutenção'!$H$7:$H$1006,"EM CONSERTO")&gt;0,1,0)</f>
        <v>0</v>
      </c>
    </row>
    <row r="650" ht="15.0" hidden="1" customHeight="1">
      <c r="A650" s="15"/>
      <c r="B650" s="17"/>
      <c r="C650" s="17"/>
      <c r="D650" s="17"/>
      <c r="E650" s="17"/>
      <c r="F650" s="17"/>
      <c r="G650" s="18"/>
      <c r="H650" s="15"/>
      <c r="I650" s="15"/>
      <c r="J650" s="24" t="str">
        <f t="array" ref="J650">IF($A650="","",IFERROR(_xlfn.XLOOKUP($A650,'Movimentação'!$B$7:$B$1006,'Movimentação'!$E$7:$E$1006,"",0,-1),""))</f>
        <v/>
      </c>
      <c r="K650" s="24" t="str">
        <f t="array" ref="K650">IF($A650="","",IFERROR(_xlfn.XLOOKUP($A650,'Movimentação'!$B$7:$B$1006,'Movimentação'!$G$7:$G$1006,"",0,-1),""))</f>
        <v/>
      </c>
      <c r="L650" s="24" t="str">
        <f t="shared" si="3"/>
        <v/>
      </c>
      <c r="M650" s="17"/>
      <c r="N650" s="30" t="str">
        <f t="array" ref="N650">IF($A650="","",IFERROR(IF(OR($L650="BAIXADO",$L650="FURTADO"),0,INDEX(Listas!$J$2:$J$40,MATCH($B650,Listas!$I$2:$I$40,0))),""))</f>
        <v/>
      </c>
      <c r="P650" s="31" t="str">
        <f t="array" ref="P650">IF($A650="","",IFERROR(_xlfn.XLOOKUP($A650,'Movimentação'!$B$7:$B$1006,'Movimentação'!$F$7:$F$1006,"",0,-1),""))</f>
        <v/>
      </c>
      <c r="Q650" s="31">
        <f>IF(COUNTIFS('Manutenção'!$B$7:$B$1006,$A650,'Manutenção'!$H$7:$H$1006,"EM CONSERTO")&gt;0,1,0)</f>
        <v>0</v>
      </c>
    </row>
    <row r="651" ht="15.0" hidden="1" customHeight="1">
      <c r="A651" s="15"/>
      <c r="B651" s="17"/>
      <c r="C651" s="17"/>
      <c r="D651" s="17"/>
      <c r="E651" s="17"/>
      <c r="F651" s="17"/>
      <c r="G651" s="18"/>
      <c r="H651" s="15"/>
      <c r="I651" s="15"/>
      <c r="J651" s="24" t="str">
        <f t="array" ref="J651">IF($A651="","",IFERROR(_xlfn.XLOOKUP($A651,'Movimentação'!$B$7:$B$1006,'Movimentação'!$E$7:$E$1006,"",0,-1),""))</f>
        <v/>
      </c>
      <c r="K651" s="24" t="str">
        <f t="array" ref="K651">IF($A651="","",IFERROR(_xlfn.XLOOKUP($A651,'Movimentação'!$B$7:$B$1006,'Movimentação'!$G$7:$G$1006,"",0,-1),""))</f>
        <v/>
      </c>
      <c r="L651" s="24" t="str">
        <f t="shared" si="3"/>
        <v/>
      </c>
      <c r="M651" s="17"/>
      <c r="N651" s="30" t="str">
        <f t="array" ref="N651">IF($A651="","",IFERROR(IF(OR($L651="BAIXADO",$L651="FURTADO"),0,INDEX(Listas!$J$2:$J$40,MATCH($B651,Listas!$I$2:$I$40,0))),""))</f>
        <v/>
      </c>
      <c r="P651" s="31" t="str">
        <f t="array" ref="P651">IF($A651="","",IFERROR(_xlfn.XLOOKUP($A651,'Movimentação'!$B$7:$B$1006,'Movimentação'!$F$7:$F$1006,"",0,-1),""))</f>
        <v/>
      </c>
      <c r="Q651" s="31">
        <f>IF(COUNTIFS('Manutenção'!$B$7:$B$1006,$A651,'Manutenção'!$H$7:$H$1006,"EM CONSERTO")&gt;0,1,0)</f>
        <v>0</v>
      </c>
    </row>
    <row r="652" ht="15.0" hidden="1" customHeight="1">
      <c r="A652" s="15"/>
      <c r="B652" s="17"/>
      <c r="C652" s="17"/>
      <c r="D652" s="17"/>
      <c r="E652" s="17"/>
      <c r="F652" s="17"/>
      <c r="G652" s="18"/>
      <c r="H652" s="15"/>
      <c r="I652" s="15"/>
      <c r="J652" s="24" t="str">
        <f t="array" ref="J652">IF($A652="","",IFERROR(_xlfn.XLOOKUP($A652,'Movimentação'!$B$7:$B$1006,'Movimentação'!$E$7:$E$1006,"",0,-1),""))</f>
        <v/>
      </c>
      <c r="K652" s="24" t="str">
        <f t="array" ref="K652">IF($A652="","",IFERROR(_xlfn.XLOOKUP($A652,'Movimentação'!$B$7:$B$1006,'Movimentação'!$G$7:$G$1006,"",0,-1),""))</f>
        <v/>
      </c>
      <c r="L652" s="24" t="str">
        <f t="shared" si="3"/>
        <v/>
      </c>
      <c r="M652" s="17"/>
      <c r="N652" s="30" t="str">
        <f t="array" ref="N652">IF($A652="","",IFERROR(IF(OR($L652="BAIXADO",$L652="FURTADO"),0,INDEX(Listas!$J$2:$J$40,MATCH($B652,Listas!$I$2:$I$40,0))),""))</f>
        <v/>
      </c>
      <c r="P652" s="31" t="str">
        <f t="array" ref="P652">IF($A652="","",IFERROR(_xlfn.XLOOKUP($A652,'Movimentação'!$B$7:$B$1006,'Movimentação'!$F$7:$F$1006,"",0,-1),""))</f>
        <v/>
      </c>
      <c r="Q652" s="31">
        <f>IF(COUNTIFS('Manutenção'!$B$7:$B$1006,$A652,'Manutenção'!$H$7:$H$1006,"EM CONSERTO")&gt;0,1,0)</f>
        <v>0</v>
      </c>
    </row>
    <row r="653" ht="15.0" hidden="1" customHeight="1">
      <c r="A653" s="15"/>
      <c r="B653" s="17"/>
      <c r="C653" s="17"/>
      <c r="D653" s="17"/>
      <c r="E653" s="17"/>
      <c r="F653" s="17"/>
      <c r="G653" s="18"/>
      <c r="H653" s="15"/>
      <c r="I653" s="15"/>
      <c r="J653" s="24" t="str">
        <f t="array" ref="J653">IF($A653="","",IFERROR(_xlfn.XLOOKUP($A653,'Movimentação'!$B$7:$B$1006,'Movimentação'!$E$7:$E$1006,"",0,-1),""))</f>
        <v/>
      </c>
      <c r="K653" s="24" t="str">
        <f t="array" ref="K653">IF($A653="","",IFERROR(_xlfn.XLOOKUP($A653,'Movimentação'!$B$7:$B$1006,'Movimentação'!$G$7:$G$1006,"",0,-1),""))</f>
        <v/>
      </c>
      <c r="L653" s="24" t="str">
        <f t="shared" si="3"/>
        <v/>
      </c>
      <c r="M653" s="17"/>
      <c r="N653" s="30" t="str">
        <f t="array" ref="N653">IF($A653="","",IFERROR(IF(OR($L653="BAIXADO",$L653="FURTADO"),0,INDEX(Listas!$J$2:$J$40,MATCH($B653,Listas!$I$2:$I$40,0))),""))</f>
        <v/>
      </c>
      <c r="P653" s="31" t="str">
        <f t="array" ref="P653">IF($A653="","",IFERROR(_xlfn.XLOOKUP($A653,'Movimentação'!$B$7:$B$1006,'Movimentação'!$F$7:$F$1006,"",0,-1),""))</f>
        <v/>
      </c>
      <c r="Q653" s="31">
        <f>IF(COUNTIFS('Manutenção'!$B$7:$B$1006,$A653,'Manutenção'!$H$7:$H$1006,"EM CONSERTO")&gt;0,1,0)</f>
        <v>0</v>
      </c>
    </row>
    <row r="654" ht="15.0" hidden="1" customHeight="1">
      <c r="A654" s="15"/>
      <c r="B654" s="17"/>
      <c r="C654" s="17"/>
      <c r="D654" s="17"/>
      <c r="E654" s="17"/>
      <c r="F654" s="17"/>
      <c r="G654" s="18"/>
      <c r="H654" s="15"/>
      <c r="I654" s="15"/>
      <c r="J654" s="24" t="str">
        <f t="array" ref="J654">IF($A654="","",IFERROR(_xlfn.XLOOKUP($A654,'Movimentação'!$B$7:$B$1006,'Movimentação'!$E$7:$E$1006,"",0,-1),""))</f>
        <v/>
      </c>
      <c r="K654" s="24" t="str">
        <f t="array" ref="K654">IF($A654="","",IFERROR(_xlfn.XLOOKUP($A654,'Movimentação'!$B$7:$B$1006,'Movimentação'!$G$7:$G$1006,"",0,-1),""))</f>
        <v/>
      </c>
      <c r="L654" s="24" t="str">
        <f t="shared" si="3"/>
        <v/>
      </c>
      <c r="M654" s="17"/>
      <c r="N654" s="30" t="str">
        <f t="array" ref="N654">IF($A654="","",IFERROR(IF(OR($L654="BAIXADO",$L654="FURTADO"),0,INDEX(Listas!$J$2:$J$40,MATCH($B654,Listas!$I$2:$I$40,0))),""))</f>
        <v/>
      </c>
      <c r="P654" s="31" t="str">
        <f t="array" ref="P654">IF($A654="","",IFERROR(_xlfn.XLOOKUP($A654,'Movimentação'!$B$7:$B$1006,'Movimentação'!$F$7:$F$1006,"",0,-1),""))</f>
        <v/>
      </c>
      <c r="Q654" s="31">
        <f>IF(COUNTIFS('Manutenção'!$B$7:$B$1006,$A654,'Manutenção'!$H$7:$H$1006,"EM CONSERTO")&gt;0,1,0)</f>
        <v>0</v>
      </c>
    </row>
    <row r="655" ht="15.0" hidden="1" customHeight="1">
      <c r="A655" s="15"/>
      <c r="B655" s="17"/>
      <c r="C655" s="17"/>
      <c r="D655" s="17"/>
      <c r="E655" s="17"/>
      <c r="F655" s="17"/>
      <c r="G655" s="18"/>
      <c r="H655" s="15"/>
      <c r="I655" s="15"/>
      <c r="J655" s="24" t="str">
        <f t="array" ref="J655">IF($A655="","",IFERROR(_xlfn.XLOOKUP($A655,'Movimentação'!$B$7:$B$1006,'Movimentação'!$E$7:$E$1006,"",0,-1),""))</f>
        <v/>
      </c>
      <c r="K655" s="24" t="str">
        <f t="array" ref="K655">IF($A655="","",IFERROR(_xlfn.XLOOKUP($A655,'Movimentação'!$B$7:$B$1006,'Movimentação'!$G$7:$G$1006,"",0,-1),""))</f>
        <v/>
      </c>
      <c r="L655" s="24" t="str">
        <f t="shared" si="3"/>
        <v/>
      </c>
      <c r="M655" s="17"/>
      <c r="N655" s="30" t="str">
        <f t="array" ref="N655">IF($A655="","",IFERROR(IF(OR($L655="BAIXADO",$L655="FURTADO"),0,INDEX(Listas!$J$2:$J$40,MATCH($B655,Listas!$I$2:$I$40,0))),""))</f>
        <v/>
      </c>
      <c r="P655" s="31" t="str">
        <f t="array" ref="P655">IF($A655="","",IFERROR(_xlfn.XLOOKUP($A655,'Movimentação'!$B$7:$B$1006,'Movimentação'!$F$7:$F$1006,"",0,-1),""))</f>
        <v/>
      </c>
      <c r="Q655" s="31">
        <f>IF(COUNTIFS('Manutenção'!$B$7:$B$1006,$A655,'Manutenção'!$H$7:$H$1006,"EM CONSERTO")&gt;0,1,0)</f>
        <v>0</v>
      </c>
    </row>
    <row r="656" ht="15.0" hidden="1" customHeight="1">
      <c r="A656" s="15"/>
      <c r="B656" s="17"/>
      <c r="C656" s="17"/>
      <c r="D656" s="17"/>
      <c r="E656" s="17"/>
      <c r="F656" s="17"/>
      <c r="G656" s="18"/>
      <c r="H656" s="15"/>
      <c r="I656" s="15"/>
      <c r="J656" s="24" t="str">
        <f t="array" ref="J656">IF($A656="","",IFERROR(_xlfn.XLOOKUP($A656,'Movimentação'!$B$7:$B$1006,'Movimentação'!$E$7:$E$1006,"",0,-1),""))</f>
        <v/>
      </c>
      <c r="K656" s="24" t="str">
        <f t="array" ref="K656">IF($A656="","",IFERROR(_xlfn.XLOOKUP($A656,'Movimentação'!$B$7:$B$1006,'Movimentação'!$G$7:$G$1006,"",0,-1),""))</f>
        <v/>
      </c>
      <c r="L656" s="24" t="str">
        <f t="shared" si="3"/>
        <v/>
      </c>
      <c r="M656" s="17"/>
      <c r="N656" s="30" t="str">
        <f t="array" ref="N656">IF($A656="","",IFERROR(IF(OR($L656="BAIXADO",$L656="FURTADO"),0,INDEX(Listas!$J$2:$J$40,MATCH($B656,Listas!$I$2:$I$40,0))),""))</f>
        <v/>
      </c>
      <c r="P656" s="31" t="str">
        <f t="array" ref="P656">IF($A656="","",IFERROR(_xlfn.XLOOKUP($A656,'Movimentação'!$B$7:$B$1006,'Movimentação'!$F$7:$F$1006,"",0,-1),""))</f>
        <v/>
      </c>
      <c r="Q656" s="31">
        <f>IF(COUNTIFS('Manutenção'!$B$7:$B$1006,$A656,'Manutenção'!$H$7:$H$1006,"EM CONSERTO")&gt;0,1,0)</f>
        <v>0</v>
      </c>
    </row>
    <row r="657" ht="15.0" hidden="1" customHeight="1">
      <c r="A657" s="15"/>
      <c r="B657" s="17"/>
      <c r="C657" s="17"/>
      <c r="D657" s="17"/>
      <c r="E657" s="17"/>
      <c r="F657" s="17"/>
      <c r="G657" s="18"/>
      <c r="H657" s="15"/>
      <c r="I657" s="15"/>
      <c r="J657" s="24" t="str">
        <f t="array" ref="J657">IF($A657="","",IFERROR(_xlfn.XLOOKUP($A657,'Movimentação'!$B$7:$B$1006,'Movimentação'!$E$7:$E$1006,"",0,-1),""))</f>
        <v/>
      </c>
      <c r="K657" s="24" t="str">
        <f t="array" ref="K657">IF($A657="","",IFERROR(_xlfn.XLOOKUP($A657,'Movimentação'!$B$7:$B$1006,'Movimentação'!$G$7:$G$1006,"",0,-1),""))</f>
        <v/>
      </c>
      <c r="L657" s="24" t="str">
        <f t="shared" si="3"/>
        <v/>
      </c>
      <c r="M657" s="17"/>
      <c r="N657" s="30" t="str">
        <f t="array" ref="N657">IF($A657="","",IFERROR(IF(OR($L657="BAIXADO",$L657="FURTADO"),0,INDEX(Listas!$J$2:$J$40,MATCH($B657,Listas!$I$2:$I$40,0))),""))</f>
        <v/>
      </c>
      <c r="P657" s="31" t="str">
        <f t="array" ref="P657">IF($A657="","",IFERROR(_xlfn.XLOOKUP($A657,'Movimentação'!$B$7:$B$1006,'Movimentação'!$F$7:$F$1006,"",0,-1),""))</f>
        <v/>
      </c>
      <c r="Q657" s="31">
        <f>IF(COUNTIFS('Manutenção'!$B$7:$B$1006,$A657,'Manutenção'!$H$7:$H$1006,"EM CONSERTO")&gt;0,1,0)</f>
        <v>0</v>
      </c>
    </row>
    <row r="658" ht="15.0" hidden="1" customHeight="1">
      <c r="A658" s="15"/>
      <c r="B658" s="17"/>
      <c r="C658" s="17"/>
      <c r="D658" s="17"/>
      <c r="E658" s="17"/>
      <c r="F658" s="17"/>
      <c r="G658" s="18"/>
      <c r="H658" s="15"/>
      <c r="I658" s="15"/>
      <c r="J658" s="24" t="str">
        <f t="array" ref="J658">IF($A658="","",IFERROR(_xlfn.XLOOKUP($A658,'Movimentação'!$B$7:$B$1006,'Movimentação'!$E$7:$E$1006,"",0,-1),""))</f>
        <v/>
      </c>
      <c r="K658" s="24" t="str">
        <f t="array" ref="K658">IF($A658="","",IFERROR(_xlfn.XLOOKUP($A658,'Movimentação'!$B$7:$B$1006,'Movimentação'!$G$7:$G$1006,"",0,-1),""))</f>
        <v/>
      </c>
      <c r="L658" s="24" t="str">
        <f t="shared" si="3"/>
        <v/>
      </c>
      <c r="M658" s="17"/>
      <c r="N658" s="30" t="str">
        <f t="array" ref="N658">IF($A658="","",IFERROR(IF(OR($L658="BAIXADO",$L658="FURTADO"),0,INDEX(Listas!$J$2:$J$40,MATCH($B658,Listas!$I$2:$I$40,0))),""))</f>
        <v/>
      </c>
      <c r="P658" s="31" t="str">
        <f t="array" ref="P658">IF($A658="","",IFERROR(_xlfn.XLOOKUP($A658,'Movimentação'!$B$7:$B$1006,'Movimentação'!$F$7:$F$1006,"",0,-1),""))</f>
        <v/>
      </c>
      <c r="Q658" s="31">
        <f>IF(COUNTIFS('Manutenção'!$B$7:$B$1006,$A658,'Manutenção'!$H$7:$H$1006,"EM CONSERTO")&gt;0,1,0)</f>
        <v>0</v>
      </c>
    </row>
    <row r="659" ht="15.0" hidden="1" customHeight="1">
      <c r="A659" s="15"/>
      <c r="B659" s="17"/>
      <c r="C659" s="17"/>
      <c r="D659" s="17"/>
      <c r="E659" s="17"/>
      <c r="F659" s="17"/>
      <c r="G659" s="18"/>
      <c r="H659" s="15"/>
      <c r="I659" s="15"/>
      <c r="J659" s="24" t="str">
        <f t="array" ref="J659">IF($A659="","",IFERROR(_xlfn.XLOOKUP($A659,'Movimentação'!$B$7:$B$1006,'Movimentação'!$E$7:$E$1006,"",0,-1),""))</f>
        <v/>
      </c>
      <c r="K659" s="24" t="str">
        <f t="array" ref="K659">IF($A659="","",IFERROR(_xlfn.XLOOKUP($A659,'Movimentação'!$B$7:$B$1006,'Movimentação'!$G$7:$G$1006,"",0,-1),""))</f>
        <v/>
      </c>
      <c r="L659" s="24" t="str">
        <f t="shared" si="3"/>
        <v/>
      </c>
      <c r="M659" s="17"/>
      <c r="N659" s="30" t="str">
        <f t="array" ref="N659">IF($A659="","",IFERROR(IF(OR($L659="BAIXADO",$L659="FURTADO"),0,INDEX(Listas!$J$2:$J$40,MATCH($B659,Listas!$I$2:$I$40,0))),""))</f>
        <v/>
      </c>
      <c r="P659" s="31" t="str">
        <f t="array" ref="P659">IF($A659="","",IFERROR(_xlfn.XLOOKUP($A659,'Movimentação'!$B$7:$B$1006,'Movimentação'!$F$7:$F$1006,"",0,-1),""))</f>
        <v/>
      </c>
      <c r="Q659" s="31">
        <f>IF(COUNTIFS('Manutenção'!$B$7:$B$1006,$A659,'Manutenção'!$H$7:$H$1006,"EM CONSERTO")&gt;0,1,0)</f>
        <v>0</v>
      </c>
    </row>
    <row r="660" ht="15.0" hidden="1" customHeight="1">
      <c r="A660" s="15"/>
      <c r="B660" s="17"/>
      <c r="C660" s="17"/>
      <c r="D660" s="17"/>
      <c r="E660" s="17"/>
      <c r="F660" s="17"/>
      <c r="G660" s="18"/>
      <c r="H660" s="15"/>
      <c r="I660" s="15"/>
      <c r="J660" s="24" t="str">
        <f t="array" ref="J660">IF($A660="","",IFERROR(_xlfn.XLOOKUP($A660,'Movimentação'!$B$7:$B$1006,'Movimentação'!$E$7:$E$1006,"",0,-1),""))</f>
        <v/>
      </c>
      <c r="K660" s="24" t="str">
        <f t="array" ref="K660">IF($A660="","",IFERROR(_xlfn.XLOOKUP($A660,'Movimentação'!$B$7:$B$1006,'Movimentação'!$G$7:$G$1006,"",0,-1),""))</f>
        <v/>
      </c>
      <c r="L660" s="24" t="str">
        <f t="shared" si="3"/>
        <v/>
      </c>
      <c r="M660" s="17"/>
      <c r="N660" s="30" t="str">
        <f t="array" ref="N660">IF($A660="","",IFERROR(IF(OR($L660="BAIXADO",$L660="FURTADO"),0,INDEX(Listas!$J$2:$J$40,MATCH($B660,Listas!$I$2:$I$40,0))),""))</f>
        <v/>
      </c>
      <c r="P660" s="31" t="str">
        <f t="array" ref="P660">IF($A660="","",IFERROR(_xlfn.XLOOKUP($A660,'Movimentação'!$B$7:$B$1006,'Movimentação'!$F$7:$F$1006,"",0,-1),""))</f>
        <v/>
      </c>
      <c r="Q660" s="31">
        <f>IF(COUNTIFS('Manutenção'!$B$7:$B$1006,$A660,'Manutenção'!$H$7:$H$1006,"EM CONSERTO")&gt;0,1,0)</f>
        <v>0</v>
      </c>
    </row>
    <row r="661" ht="15.0" hidden="1" customHeight="1">
      <c r="A661" s="15"/>
      <c r="B661" s="17"/>
      <c r="C661" s="17"/>
      <c r="D661" s="17"/>
      <c r="E661" s="17"/>
      <c r="F661" s="17"/>
      <c r="G661" s="18"/>
      <c r="H661" s="15"/>
      <c r="I661" s="15"/>
      <c r="J661" s="24" t="str">
        <f t="array" ref="J661">IF($A661="","",IFERROR(_xlfn.XLOOKUP($A661,'Movimentação'!$B$7:$B$1006,'Movimentação'!$E$7:$E$1006,"",0,-1),""))</f>
        <v/>
      </c>
      <c r="K661" s="24" t="str">
        <f t="array" ref="K661">IF($A661="","",IFERROR(_xlfn.XLOOKUP($A661,'Movimentação'!$B$7:$B$1006,'Movimentação'!$G$7:$G$1006,"",0,-1),""))</f>
        <v/>
      </c>
      <c r="L661" s="24" t="str">
        <f t="shared" si="3"/>
        <v/>
      </c>
      <c r="M661" s="17"/>
      <c r="N661" s="30" t="str">
        <f t="array" ref="N661">IF($A661="","",IFERROR(IF(OR($L661="BAIXADO",$L661="FURTADO"),0,INDEX(Listas!$J$2:$J$40,MATCH($B661,Listas!$I$2:$I$40,0))),""))</f>
        <v/>
      </c>
      <c r="P661" s="31" t="str">
        <f t="array" ref="P661">IF($A661="","",IFERROR(_xlfn.XLOOKUP($A661,'Movimentação'!$B$7:$B$1006,'Movimentação'!$F$7:$F$1006,"",0,-1),""))</f>
        <v/>
      </c>
      <c r="Q661" s="31">
        <f>IF(COUNTIFS('Manutenção'!$B$7:$B$1006,$A661,'Manutenção'!$H$7:$H$1006,"EM CONSERTO")&gt;0,1,0)</f>
        <v>0</v>
      </c>
    </row>
    <row r="662" ht="15.0" hidden="1" customHeight="1">
      <c r="A662" s="15"/>
      <c r="B662" s="17"/>
      <c r="C662" s="17"/>
      <c r="D662" s="17"/>
      <c r="E662" s="17"/>
      <c r="F662" s="17"/>
      <c r="G662" s="18"/>
      <c r="H662" s="15"/>
      <c r="I662" s="15"/>
      <c r="J662" s="24" t="str">
        <f t="array" ref="J662">IF($A662="","",IFERROR(_xlfn.XLOOKUP($A662,'Movimentação'!$B$7:$B$1006,'Movimentação'!$E$7:$E$1006,"",0,-1),""))</f>
        <v/>
      </c>
      <c r="K662" s="24" t="str">
        <f t="array" ref="K662">IF($A662="","",IFERROR(_xlfn.XLOOKUP($A662,'Movimentação'!$B$7:$B$1006,'Movimentação'!$G$7:$G$1006,"",0,-1),""))</f>
        <v/>
      </c>
      <c r="L662" s="24" t="str">
        <f t="shared" si="3"/>
        <v/>
      </c>
      <c r="M662" s="17"/>
      <c r="N662" s="30" t="str">
        <f t="array" ref="N662">IF($A662="","",IFERROR(IF(OR($L662="BAIXADO",$L662="FURTADO"),0,INDEX(Listas!$J$2:$J$40,MATCH($B662,Listas!$I$2:$I$40,0))),""))</f>
        <v/>
      </c>
      <c r="P662" s="31" t="str">
        <f t="array" ref="P662">IF($A662="","",IFERROR(_xlfn.XLOOKUP($A662,'Movimentação'!$B$7:$B$1006,'Movimentação'!$F$7:$F$1006,"",0,-1),""))</f>
        <v/>
      </c>
      <c r="Q662" s="31">
        <f>IF(COUNTIFS('Manutenção'!$B$7:$B$1006,$A662,'Manutenção'!$H$7:$H$1006,"EM CONSERTO")&gt;0,1,0)</f>
        <v>0</v>
      </c>
    </row>
    <row r="663" ht="15.0" hidden="1" customHeight="1">
      <c r="A663" s="15"/>
      <c r="B663" s="17"/>
      <c r="C663" s="17"/>
      <c r="D663" s="17"/>
      <c r="E663" s="17"/>
      <c r="F663" s="17"/>
      <c r="G663" s="18"/>
      <c r="H663" s="15"/>
      <c r="I663" s="15"/>
      <c r="J663" s="24" t="str">
        <f t="array" ref="J663">IF($A663="","",IFERROR(_xlfn.XLOOKUP($A663,'Movimentação'!$B$7:$B$1006,'Movimentação'!$E$7:$E$1006,"",0,-1),""))</f>
        <v/>
      </c>
      <c r="K663" s="24" t="str">
        <f t="array" ref="K663">IF($A663="","",IFERROR(_xlfn.XLOOKUP($A663,'Movimentação'!$B$7:$B$1006,'Movimentação'!$G$7:$G$1006,"",0,-1),""))</f>
        <v/>
      </c>
      <c r="L663" s="24" t="str">
        <f t="shared" si="3"/>
        <v/>
      </c>
      <c r="M663" s="17"/>
      <c r="N663" s="30" t="str">
        <f t="array" ref="N663">IF($A663="","",IFERROR(IF(OR($L663="BAIXADO",$L663="FURTADO"),0,INDEX(Listas!$J$2:$J$40,MATCH($B663,Listas!$I$2:$I$40,0))),""))</f>
        <v/>
      </c>
      <c r="P663" s="31" t="str">
        <f t="array" ref="P663">IF($A663="","",IFERROR(_xlfn.XLOOKUP($A663,'Movimentação'!$B$7:$B$1006,'Movimentação'!$F$7:$F$1006,"",0,-1),""))</f>
        <v/>
      </c>
      <c r="Q663" s="31">
        <f>IF(COUNTIFS('Manutenção'!$B$7:$B$1006,$A663,'Manutenção'!$H$7:$H$1006,"EM CONSERTO")&gt;0,1,0)</f>
        <v>0</v>
      </c>
    </row>
    <row r="664" ht="15.0" hidden="1" customHeight="1">
      <c r="A664" s="15"/>
      <c r="B664" s="17"/>
      <c r="C664" s="17"/>
      <c r="D664" s="17"/>
      <c r="E664" s="17"/>
      <c r="F664" s="17"/>
      <c r="G664" s="18"/>
      <c r="H664" s="15"/>
      <c r="I664" s="15"/>
      <c r="J664" s="24" t="str">
        <f t="array" ref="J664">IF($A664="","",IFERROR(_xlfn.XLOOKUP($A664,'Movimentação'!$B$7:$B$1006,'Movimentação'!$E$7:$E$1006,"",0,-1),""))</f>
        <v/>
      </c>
      <c r="K664" s="24" t="str">
        <f t="array" ref="K664">IF($A664="","",IFERROR(_xlfn.XLOOKUP($A664,'Movimentação'!$B$7:$B$1006,'Movimentação'!$G$7:$G$1006,"",0,-1),""))</f>
        <v/>
      </c>
      <c r="L664" s="24" t="str">
        <f t="shared" si="3"/>
        <v/>
      </c>
      <c r="M664" s="17"/>
      <c r="N664" s="30" t="str">
        <f t="array" ref="N664">IF($A664="","",IFERROR(IF(OR($L664="BAIXADO",$L664="FURTADO"),0,INDEX(Listas!$J$2:$J$40,MATCH($B664,Listas!$I$2:$I$40,0))),""))</f>
        <v/>
      </c>
      <c r="P664" s="31" t="str">
        <f t="array" ref="P664">IF($A664="","",IFERROR(_xlfn.XLOOKUP($A664,'Movimentação'!$B$7:$B$1006,'Movimentação'!$F$7:$F$1006,"",0,-1),""))</f>
        <v/>
      </c>
      <c r="Q664" s="31">
        <f>IF(COUNTIFS('Manutenção'!$B$7:$B$1006,$A664,'Manutenção'!$H$7:$H$1006,"EM CONSERTO")&gt;0,1,0)</f>
        <v>0</v>
      </c>
    </row>
    <row r="665" ht="15.0" hidden="1" customHeight="1">
      <c r="A665" s="15"/>
      <c r="B665" s="17"/>
      <c r="C665" s="17"/>
      <c r="D665" s="17"/>
      <c r="E665" s="17"/>
      <c r="F665" s="17"/>
      <c r="G665" s="18"/>
      <c r="H665" s="15"/>
      <c r="I665" s="15"/>
      <c r="J665" s="24" t="str">
        <f t="array" ref="J665">IF($A665="","",IFERROR(_xlfn.XLOOKUP($A665,'Movimentação'!$B$7:$B$1006,'Movimentação'!$E$7:$E$1006,"",0,-1),""))</f>
        <v/>
      </c>
      <c r="K665" s="24" t="str">
        <f t="array" ref="K665">IF($A665="","",IFERROR(_xlfn.XLOOKUP($A665,'Movimentação'!$B$7:$B$1006,'Movimentação'!$G$7:$G$1006,"",0,-1),""))</f>
        <v/>
      </c>
      <c r="L665" s="24" t="str">
        <f t="shared" si="3"/>
        <v/>
      </c>
      <c r="M665" s="17"/>
      <c r="N665" s="30" t="str">
        <f t="array" ref="N665">IF($A665="","",IFERROR(IF(OR($L665="BAIXADO",$L665="FURTADO"),0,INDEX(Listas!$J$2:$J$40,MATCH($B665,Listas!$I$2:$I$40,0))),""))</f>
        <v/>
      </c>
      <c r="P665" s="31" t="str">
        <f t="array" ref="P665">IF($A665="","",IFERROR(_xlfn.XLOOKUP($A665,'Movimentação'!$B$7:$B$1006,'Movimentação'!$F$7:$F$1006,"",0,-1),""))</f>
        <v/>
      </c>
      <c r="Q665" s="31">
        <f>IF(COUNTIFS('Manutenção'!$B$7:$B$1006,$A665,'Manutenção'!$H$7:$H$1006,"EM CONSERTO")&gt;0,1,0)</f>
        <v>0</v>
      </c>
    </row>
    <row r="666" ht="15.0" hidden="1" customHeight="1">
      <c r="A666" s="15"/>
      <c r="B666" s="17"/>
      <c r="C666" s="17"/>
      <c r="D666" s="17"/>
      <c r="E666" s="17"/>
      <c r="F666" s="17"/>
      <c r="G666" s="18"/>
      <c r="H666" s="15"/>
      <c r="I666" s="15"/>
      <c r="J666" s="24" t="str">
        <f t="array" ref="J666">IF($A666="","",IFERROR(_xlfn.XLOOKUP($A666,'Movimentação'!$B$7:$B$1006,'Movimentação'!$E$7:$E$1006,"",0,-1),""))</f>
        <v/>
      </c>
      <c r="K666" s="24" t="str">
        <f t="array" ref="K666">IF($A666="","",IFERROR(_xlfn.XLOOKUP($A666,'Movimentação'!$B$7:$B$1006,'Movimentação'!$G$7:$G$1006,"",0,-1),""))</f>
        <v/>
      </c>
      <c r="L666" s="24" t="str">
        <f t="shared" si="3"/>
        <v/>
      </c>
      <c r="M666" s="17"/>
      <c r="N666" s="30" t="str">
        <f t="array" ref="N666">IF($A666="","",IFERROR(IF(OR($L666="BAIXADO",$L666="FURTADO"),0,INDEX(Listas!$J$2:$J$40,MATCH($B666,Listas!$I$2:$I$40,0))),""))</f>
        <v/>
      </c>
      <c r="P666" s="31" t="str">
        <f t="array" ref="P666">IF($A666="","",IFERROR(_xlfn.XLOOKUP($A666,'Movimentação'!$B$7:$B$1006,'Movimentação'!$F$7:$F$1006,"",0,-1),""))</f>
        <v/>
      </c>
      <c r="Q666" s="31">
        <f>IF(COUNTIFS('Manutenção'!$B$7:$B$1006,$A666,'Manutenção'!$H$7:$H$1006,"EM CONSERTO")&gt;0,1,0)</f>
        <v>0</v>
      </c>
    </row>
    <row r="667" ht="15.0" hidden="1" customHeight="1">
      <c r="A667" s="15"/>
      <c r="B667" s="17"/>
      <c r="C667" s="17"/>
      <c r="D667" s="17"/>
      <c r="E667" s="17"/>
      <c r="F667" s="17"/>
      <c r="G667" s="18"/>
      <c r="H667" s="15"/>
      <c r="I667" s="15"/>
      <c r="J667" s="24" t="str">
        <f t="array" ref="J667">IF($A667="","",IFERROR(_xlfn.XLOOKUP($A667,'Movimentação'!$B$7:$B$1006,'Movimentação'!$E$7:$E$1006,"",0,-1),""))</f>
        <v/>
      </c>
      <c r="K667" s="24" t="str">
        <f t="array" ref="K667">IF($A667="","",IFERROR(_xlfn.XLOOKUP($A667,'Movimentação'!$B$7:$B$1006,'Movimentação'!$G$7:$G$1006,"",0,-1),""))</f>
        <v/>
      </c>
      <c r="L667" s="24" t="str">
        <f t="shared" si="3"/>
        <v/>
      </c>
      <c r="M667" s="17"/>
      <c r="N667" s="30" t="str">
        <f t="array" ref="N667">IF($A667="","",IFERROR(IF(OR($L667="BAIXADO",$L667="FURTADO"),0,INDEX(Listas!$J$2:$J$40,MATCH($B667,Listas!$I$2:$I$40,0))),""))</f>
        <v/>
      </c>
      <c r="P667" s="31" t="str">
        <f t="array" ref="P667">IF($A667="","",IFERROR(_xlfn.XLOOKUP($A667,'Movimentação'!$B$7:$B$1006,'Movimentação'!$F$7:$F$1006,"",0,-1),""))</f>
        <v/>
      </c>
      <c r="Q667" s="31">
        <f>IF(COUNTIFS('Manutenção'!$B$7:$B$1006,$A667,'Manutenção'!$H$7:$H$1006,"EM CONSERTO")&gt;0,1,0)</f>
        <v>0</v>
      </c>
    </row>
    <row r="668" ht="15.0" hidden="1" customHeight="1">
      <c r="A668" s="15"/>
      <c r="B668" s="17"/>
      <c r="C668" s="17"/>
      <c r="D668" s="17"/>
      <c r="E668" s="17"/>
      <c r="F668" s="17"/>
      <c r="G668" s="18"/>
      <c r="H668" s="15"/>
      <c r="I668" s="15"/>
      <c r="J668" s="24" t="str">
        <f t="array" ref="J668">IF($A668="","",IFERROR(_xlfn.XLOOKUP($A668,'Movimentação'!$B$7:$B$1006,'Movimentação'!$E$7:$E$1006,"",0,-1),""))</f>
        <v/>
      </c>
      <c r="K668" s="24" t="str">
        <f t="array" ref="K668">IF($A668="","",IFERROR(_xlfn.XLOOKUP($A668,'Movimentação'!$B$7:$B$1006,'Movimentação'!$G$7:$G$1006,"",0,-1),""))</f>
        <v/>
      </c>
      <c r="L668" s="24" t="str">
        <f t="shared" si="3"/>
        <v/>
      </c>
      <c r="M668" s="17"/>
      <c r="N668" s="30" t="str">
        <f t="array" ref="N668">IF($A668="","",IFERROR(IF(OR($L668="BAIXADO",$L668="FURTADO"),0,INDEX(Listas!$J$2:$J$40,MATCH($B668,Listas!$I$2:$I$40,0))),""))</f>
        <v/>
      </c>
      <c r="P668" s="31" t="str">
        <f t="array" ref="P668">IF($A668="","",IFERROR(_xlfn.XLOOKUP($A668,'Movimentação'!$B$7:$B$1006,'Movimentação'!$F$7:$F$1006,"",0,-1),""))</f>
        <v/>
      </c>
      <c r="Q668" s="31">
        <f>IF(COUNTIFS('Manutenção'!$B$7:$B$1006,$A668,'Manutenção'!$H$7:$H$1006,"EM CONSERTO")&gt;0,1,0)</f>
        <v>0</v>
      </c>
    </row>
    <row r="669" ht="15.0" hidden="1" customHeight="1">
      <c r="A669" s="15"/>
      <c r="B669" s="17"/>
      <c r="C669" s="17"/>
      <c r="D669" s="17"/>
      <c r="E669" s="17"/>
      <c r="F669" s="17"/>
      <c r="G669" s="18"/>
      <c r="H669" s="15"/>
      <c r="I669" s="15"/>
      <c r="J669" s="24" t="str">
        <f t="array" ref="J669">IF($A669="","",IFERROR(_xlfn.XLOOKUP($A669,'Movimentação'!$B$7:$B$1006,'Movimentação'!$E$7:$E$1006,"",0,-1),""))</f>
        <v/>
      </c>
      <c r="K669" s="24" t="str">
        <f t="array" ref="K669">IF($A669="","",IFERROR(_xlfn.XLOOKUP($A669,'Movimentação'!$B$7:$B$1006,'Movimentação'!$G$7:$G$1006,"",0,-1),""))</f>
        <v/>
      </c>
      <c r="L669" s="24" t="str">
        <f t="shared" si="3"/>
        <v/>
      </c>
      <c r="M669" s="17"/>
      <c r="N669" s="30" t="str">
        <f t="array" ref="N669">IF($A669="","",IFERROR(IF(OR($L669="BAIXADO",$L669="FURTADO"),0,INDEX(Listas!$J$2:$J$40,MATCH($B669,Listas!$I$2:$I$40,0))),""))</f>
        <v/>
      </c>
      <c r="P669" s="31" t="str">
        <f t="array" ref="P669">IF($A669="","",IFERROR(_xlfn.XLOOKUP($A669,'Movimentação'!$B$7:$B$1006,'Movimentação'!$F$7:$F$1006,"",0,-1),""))</f>
        <v/>
      </c>
      <c r="Q669" s="31">
        <f>IF(COUNTIFS('Manutenção'!$B$7:$B$1006,$A669,'Manutenção'!$H$7:$H$1006,"EM CONSERTO")&gt;0,1,0)</f>
        <v>0</v>
      </c>
    </row>
    <row r="670" ht="15.0" hidden="1" customHeight="1">
      <c r="A670" s="15"/>
      <c r="B670" s="17"/>
      <c r="C670" s="17"/>
      <c r="D670" s="17"/>
      <c r="E670" s="17"/>
      <c r="F670" s="17"/>
      <c r="G670" s="18"/>
      <c r="H670" s="15"/>
      <c r="I670" s="15"/>
      <c r="J670" s="24" t="str">
        <f t="array" ref="J670">IF($A670="","",IFERROR(_xlfn.XLOOKUP($A670,'Movimentação'!$B$7:$B$1006,'Movimentação'!$E$7:$E$1006,"",0,-1),""))</f>
        <v/>
      </c>
      <c r="K670" s="24" t="str">
        <f t="array" ref="K670">IF($A670="","",IFERROR(_xlfn.XLOOKUP($A670,'Movimentação'!$B$7:$B$1006,'Movimentação'!$G$7:$G$1006,"",0,-1),""))</f>
        <v/>
      </c>
      <c r="L670" s="24" t="str">
        <f t="shared" si="3"/>
        <v/>
      </c>
      <c r="M670" s="17"/>
      <c r="N670" s="30" t="str">
        <f t="array" ref="N670">IF($A670="","",IFERROR(IF(OR($L670="BAIXADO",$L670="FURTADO"),0,INDEX(Listas!$J$2:$J$40,MATCH($B670,Listas!$I$2:$I$40,0))),""))</f>
        <v/>
      </c>
      <c r="P670" s="31" t="str">
        <f t="array" ref="P670">IF($A670="","",IFERROR(_xlfn.XLOOKUP($A670,'Movimentação'!$B$7:$B$1006,'Movimentação'!$F$7:$F$1006,"",0,-1),""))</f>
        <v/>
      </c>
      <c r="Q670" s="31">
        <f>IF(COUNTIFS('Manutenção'!$B$7:$B$1006,$A670,'Manutenção'!$H$7:$H$1006,"EM CONSERTO")&gt;0,1,0)</f>
        <v>0</v>
      </c>
    </row>
    <row r="671" ht="15.0" hidden="1" customHeight="1">
      <c r="A671" s="15"/>
      <c r="B671" s="17"/>
      <c r="C671" s="17"/>
      <c r="D671" s="17"/>
      <c r="E671" s="17"/>
      <c r="F671" s="17"/>
      <c r="G671" s="18"/>
      <c r="H671" s="15"/>
      <c r="I671" s="15"/>
      <c r="J671" s="24" t="str">
        <f t="array" ref="J671">IF($A671="","",IFERROR(_xlfn.XLOOKUP($A671,'Movimentação'!$B$7:$B$1006,'Movimentação'!$E$7:$E$1006,"",0,-1),""))</f>
        <v/>
      </c>
      <c r="K671" s="24" t="str">
        <f t="array" ref="K671">IF($A671="","",IFERROR(_xlfn.XLOOKUP($A671,'Movimentação'!$B$7:$B$1006,'Movimentação'!$G$7:$G$1006,"",0,-1),""))</f>
        <v/>
      </c>
      <c r="L671" s="24" t="str">
        <f t="shared" si="3"/>
        <v/>
      </c>
      <c r="M671" s="17"/>
      <c r="N671" s="30" t="str">
        <f t="array" ref="N671">IF($A671="","",IFERROR(IF(OR($L671="BAIXADO",$L671="FURTADO"),0,INDEX(Listas!$J$2:$J$40,MATCH($B671,Listas!$I$2:$I$40,0))),""))</f>
        <v/>
      </c>
      <c r="P671" s="31" t="str">
        <f t="array" ref="P671">IF($A671="","",IFERROR(_xlfn.XLOOKUP($A671,'Movimentação'!$B$7:$B$1006,'Movimentação'!$F$7:$F$1006,"",0,-1),""))</f>
        <v/>
      </c>
      <c r="Q671" s="31">
        <f>IF(COUNTIFS('Manutenção'!$B$7:$B$1006,$A671,'Manutenção'!$H$7:$H$1006,"EM CONSERTO")&gt;0,1,0)</f>
        <v>0</v>
      </c>
    </row>
    <row r="672" ht="15.0" hidden="1" customHeight="1">
      <c r="A672" s="15"/>
      <c r="B672" s="17"/>
      <c r="C672" s="17"/>
      <c r="D672" s="17"/>
      <c r="E672" s="17"/>
      <c r="F672" s="17"/>
      <c r="G672" s="18"/>
      <c r="H672" s="15"/>
      <c r="I672" s="15"/>
      <c r="J672" s="24" t="str">
        <f t="array" ref="J672">IF($A672="","",IFERROR(_xlfn.XLOOKUP($A672,'Movimentação'!$B$7:$B$1006,'Movimentação'!$E$7:$E$1006,"",0,-1),""))</f>
        <v/>
      </c>
      <c r="K672" s="24" t="str">
        <f t="array" ref="K672">IF($A672="","",IFERROR(_xlfn.XLOOKUP($A672,'Movimentação'!$B$7:$B$1006,'Movimentação'!$G$7:$G$1006,"",0,-1),""))</f>
        <v/>
      </c>
      <c r="L672" s="24" t="str">
        <f t="shared" si="3"/>
        <v/>
      </c>
      <c r="M672" s="17"/>
      <c r="N672" s="30" t="str">
        <f t="array" ref="N672">IF($A672="","",IFERROR(IF(OR($L672="BAIXADO",$L672="FURTADO"),0,INDEX(Listas!$J$2:$J$40,MATCH($B672,Listas!$I$2:$I$40,0))),""))</f>
        <v/>
      </c>
      <c r="P672" s="31" t="str">
        <f t="array" ref="P672">IF($A672="","",IFERROR(_xlfn.XLOOKUP($A672,'Movimentação'!$B$7:$B$1006,'Movimentação'!$F$7:$F$1006,"",0,-1),""))</f>
        <v/>
      </c>
      <c r="Q672" s="31">
        <f>IF(COUNTIFS('Manutenção'!$B$7:$B$1006,$A672,'Manutenção'!$H$7:$H$1006,"EM CONSERTO")&gt;0,1,0)</f>
        <v>0</v>
      </c>
    </row>
    <row r="673" ht="15.0" hidden="1" customHeight="1">
      <c r="A673" s="15"/>
      <c r="B673" s="17"/>
      <c r="C673" s="17"/>
      <c r="D673" s="17"/>
      <c r="E673" s="17"/>
      <c r="F673" s="17"/>
      <c r="G673" s="18"/>
      <c r="H673" s="15"/>
      <c r="I673" s="15"/>
      <c r="J673" s="24" t="str">
        <f t="array" ref="J673">IF($A673="","",IFERROR(_xlfn.XLOOKUP($A673,'Movimentação'!$B$7:$B$1006,'Movimentação'!$E$7:$E$1006,"",0,-1),""))</f>
        <v/>
      </c>
      <c r="K673" s="24" t="str">
        <f t="array" ref="K673">IF($A673="","",IFERROR(_xlfn.XLOOKUP($A673,'Movimentação'!$B$7:$B$1006,'Movimentação'!$G$7:$G$1006,"",0,-1),""))</f>
        <v/>
      </c>
      <c r="L673" s="24" t="str">
        <f t="shared" si="3"/>
        <v/>
      </c>
      <c r="M673" s="17"/>
      <c r="N673" s="30" t="str">
        <f t="array" ref="N673">IF($A673="","",IFERROR(IF(OR($L673="BAIXADO",$L673="FURTADO"),0,INDEX(Listas!$J$2:$J$40,MATCH($B673,Listas!$I$2:$I$40,0))),""))</f>
        <v/>
      </c>
      <c r="P673" s="31" t="str">
        <f t="array" ref="P673">IF($A673="","",IFERROR(_xlfn.XLOOKUP($A673,'Movimentação'!$B$7:$B$1006,'Movimentação'!$F$7:$F$1006,"",0,-1),""))</f>
        <v/>
      </c>
      <c r="Q673" s="31">
        <f>IF(COUNTIFS('Manutenção'!$B$7:$B$1006,$A673,'Manutenção'!$H$7:$H$1006,"EM CONSERTO")&gt;0,1,0)</f>
        <v>0</v>
      </c>
    </row>
    <row r="674" ht="15.0" hidden="1" customHeight="1">
      <c r="A674" s="15"/>
      <c r="B674" s="17"/>
      <c r="C674" s="17"/>
      <c r="D674" s="17"/>
      <c r="E674" s="17"/>
      <c r="F674" s="17"/>
      <c r="G674" s="18"/>
      <c r="H674" s="15"/>
      <c r="I674" s="15"/>
      <c r="J674" s="24" t="str">
        <f t="array" ref="J674">IF($A674="","",IFERROR(_xlfn.XLOOKUP($A674,'Movimentação'!$B$7:$B$1006,'Movimentação'!$E$7:$E$1006,"",0,-1),""))</f>
        <v/>
      </c>
      <c r="K674" s="24" t="str">
        <f t="array" ref="K674">IF($A674="","",IFERROR(_xlfn.XLOOKUP($A674,'Movimentação'!$B$7:$B$1006,'Movimentação'!$G$7:$G$1006,"",0,-1),""))</f>
        <v/>
      </c>
      <c r="L674" s="24" t="str">
        <f t="shared" si="3"/>
        <v/>
      </c>
      <c r="M674" s="17"/>
      <c r="N674" s="30" t="str">
        <f t="array" ref="N674">IF($A674="","",IFERROR(IF(OR($L674="BAIXADO",$L674="FURTADO"),0,INDEX(Listas!$J$2:$J$40,MATCH($B674,Listas!$I$2:$I$40,0))),""))</f>
        <v/>
      </c>
      <c r="P674" s="31" t="str">
        <f t="array" ref="P674">IF($A674="","",IFERROR(_xlfn.XLOOKUP($A674,'Movimentação'!$B$7:$B$1006,'Movimentação'!$F$7:$F$1006,"",0,-1),""))</f>
        <v/>
      </c>
      <c r="Q674" s="31">
        <f>IF(COUNTIFS('Manutenção'!$B$7:$B$1006,$A674,'Manutenção'!$H$7:$H$1006,"EM CONSERTO")&gt;0,1,0)</f>
        <v>0</v>
      </c>
    </row>
    <row r="675" ht="15.0" hidden="1" customHeight="1">
      <c r="A675" s="15"/>
      <c r="B675" s="17"/>
      <c r="C675" s="17"/>
      <c r="D675" s="17"/>
      <c r="E675" s="17"/>
      <c r="F675" s="17"/>
      <c r="G675" s="18"/>
      <c r="H675" s="15"/>
      <c r="I675" s="15"/>
      <c r="J675" s="24" t="str">
        <f t="array" ref="J675">IF($A675="","",IFERROR(_xlfn.XLOOKUP($A675,'Movimentação'!$B$7:$B$1006,'Movimentação'!$E$7:$E$1006,"",0,-1),""))</f>
        <v/>
      </c>
      <c r="K675" s="24" t="str">
        <f t="array" ref="K675">IF($A675="","",IFERROR(_xlfn.XLOOKUP($A675,'Movimentação'!$B$7:$B$1006,'Movimentação'!$G$7:$G$1006,"",0,-1),""))</f>
        <v/>
      </c>
      <c r="L675" s="24" t="str">
        <f t="shared" si="3"/>
        <v/>
      </c>
      <c r="M675" s="17"/>
      <c r="N675" s="30" t="str">
        <f t="array" ref="N675">IF($A675="","",IFERROR(IF(OR($L675="BAIXADO",$L675="FURTADO"),0,INDEX(Listas!$J$2:$J$40,MATCH($B675,Listas!$I$2:$I$40,0))),""))</f>
        <v/>
      </c>
      <c r="P675" s="31" t="str">
        <f t="array" ref="P675">IF($A675="","",IFERROR(_xlfn.XLOOKUP($A675,'Movimentação'!$B$7:$B$1006,'Movimentação'!$F$7:$F$1006,"",0,-1),""))</f>
        <v/>
      </c>
      <c r="Q675" s="31">
        <f>IF(COUNTIFS('Manutenção'!$B$7:$B$1006,$A675,'Manutenção'!$H$7:$H$1006,"EM CONSERTO")&gt;0,1,0)</f>
        <v>0</v>
      </c>
    </row>
    <row r="676" ht="15.0" hidden="1" customHeight="1">
      <c r="A676" s="15"/>
      <c r="B676" s="17"/>
      <c r="C676" s="17"/>
      <c r="D676" s="17"/>
      <c r="E676" s="17"/>
      <c r="F676" s="17"/>
      <c r="G676" s="18"/>
      <c r="H676" s="15"/>
      <c r="I676" s="15"/>
      <c r="J676" s="24" t="str">
        <f t="array" ref="J676">IF($A676="","",IFERROR(_xlfn.XLOOKUP($A676,'Movimentação'!$B$7:$B$1006,'Movimentação'!$E$7:$E$1006,"",0,-1),""))</f>
        <v/>
      </c>
      <c r="K676" s="24" t="str">
        <f t="array" ref="K676">IF($A676="","",IFERROR(_xlfn.XLOOKUP($A676,'Movimentação'!$B$7:$B$1006,'Movimentação'!$G$7:$G$1006,"",0,-1),""))</f>
        <v/>
      </c>
      <c r="L676" s="24" t="str">
        <f t="shared" si="3"/>
        <v/>
      </c>
      <c r="M676" s="17"/>
      <c r="N676" s="30" t="str">
        <f t="array" ref="N676">IF($A676="","",IFERROR(IF(OR($L676="BAIXADO",$L676="FURTADO"),0,INDEX(Listas!$J$2:$J$40,MATCH($B676,Listas!$I$2:$I$40,0))),""))</f>
        <v/>
      </c>
      <c r="P676" s="31" t="str">
        <f t="array" ref="P676">IF($A676="","",IFERROR(_xlfn.XLOOKUP($A676,'Movimentação'!$B$7:$B$1006,'Movimentação'!$F$7:$F$1006,"",0,-1),""))</f>
        <v/>
      </c>
      <c r="Q676" s="31">
        <f>IF(COUNTIFS('Manutenção'!$B$7:$B$1006,$A676,'Manutenção'!$H$7:$H$1006,"EM CONSERTO")&gt;0,1,0)</f>
        <v>0</v>
      </c>
    </row>
    <row r="677" ht="15.0" hidden="1" customHeight="1">
      <c r="A677" s="15"/>
      <c r="B677" s="17"/>
      <c r="C677" s="17"/>
      <c r="D677" s="17"/>
      <c r="E677" s="17"/>
      <c r="F677" s="17"/>
      <c r="G677" s="18"/>
      <c r="H677" s="15"/>
      <c r="I677" s="15"/>
      <c r="J677" s="24" t="str">
        <f t="array" ref="J677">IF($A677="","",IFERROR(_xlfn.XLOOKUP($A677,'Movimentação'!$B$7:$B$1006,'Movimentação'!$E$7:$E$1006,"",0,-1),""))</f>
        <v/>
      </c>
      <c r="K677" s="24" t="str">
        <f t="array" ref="K677">IF($A677="","",IFERROR(_xlfn.XLOOKUP($A677,'Movimentação'!$B$7:$B$1006,'Movimentação'!$G$7:$G$1006,"",0,-1),""))</f>
        <v/>
      </c>
      <c r="L677" s="24" t="str">
        <f t="shared" si="3"/>
        <v/>
      </c>
      <c r="M677" s="17"/>
      <c r="N677" s="30" t="str">
        <f t="array" ref="N677">IF($A677="","",IFERROR(IF(OR($L677="BAIXADO",$L677="FURTADO"),0,INDEX(Listas!$J$2:$J$40,MATCH($B677,Listas!$I$2:$I$40,0))),""))</f>
        <v/>
      </c>
      <c r="P677" s="31" t="str">
        <f t="array" ref="P677">IF($A677="","",IFERROR(_xlfn.XLOOKUP($A677,'Movimentação'!$B$7:$B$1006,'Movimentação'!$F$7:$F$1006,"",0,-1),""))</f>
        <v/>
      </c>
      <c r="Q677" s="31">
        <f>IF(COUNTIFS('Manutenção'!$B$7:$B$1006,$A677,'Manutenção'!$H$7:$H$1006,"EM CONSERTO")&gt;0,1,0)</f>
        <v>0</v>
      </c>
    </row>
    <row r="678" ht="15.0" hidden="1" customHeight="1">
      <c r="A678" s="15"/>
      <c r="B678" s="17"/>
      <c r="C678" s="17"/>
      <c r="D678" s="17"/>
      <c r="E678" s="17"/>
      <c r="F678" s="17"/>
      <c r="G678" s="18"/>
      <c r="H678" s="15"/>
      <c r="I678" s="15"/>
      <c r="J678" s="24" t="str">
        <f t="array" ref="J678">IF($A678="","",IFERROR(_xlfn.XLOOKUP($A678,'Movimentação'!$B$7:$B$1006,'Movimentação'!$E$7:$E$1006,"",0,-1),""))</f>
        <v/>
      </c>
      <c r="K678" s="24" t="str">
        <f t="array" ref="K678">IF($A678="","",IFERROR(_xlfn.XLOOKUP($A678,'Movimentação'!$B$7:$B$1006,'Movimentação'!$G$7:$G$1006,"",0,-1),""))</f>
        <v/>
      </c>
      <c r="L678" s="24" t="str">
        <f t="shared" si="3"/>
        <v/>
      </c>
      <c r="M678" s="17"/>
      <c r="N678" s="30" t="str">
        <f t="array" ref="N678">IF($A678="","",IFERROR(IF(OR($L678="BAIXADO",$L678="FURTADO"),0,INDEX(Listas!$J$2:$J$40,MATCH($B678,Listas!$I$2:$I$40,0))),""))</f>
        <v/>
      </c>
      <c r="P678" s="31" t="str">
        <f t="array" ref="P678">IF($A678="","",IFERROR(_xlfn.XLOOKUP($A678,'Movimentação'!$B$7:$B$1006,'Movimentação'!$F$7:$F$1006,"",0,-1),""))</f>
        <v/>
      </c>
      <c r="Q678" s="31">
        <f>IF(COUNTIFS('Manutenção'!$B$7:$B$1006,$A678,'Manutenção'!$H$7:$H$1006,"EM CONSERTO")&gt;0,1,0)</f>
        <v>0</v>
      </c>
    </row>
    <row r="679" ht="15.0" hidden="1" customHeight="1">
      <c r="A679" s="15"/>
      <c r="B679" s="17"/>
      <c r="C679" s="17"/>
      <c r="D679" s="17"/>
      <c r="E679" s="17"/>
      <c r="F679" s="17"/>
      <c r="G679" s="18"/>
      <c r="H679" s="15"/>
      <c r="I679" s="15"/>
      <c r="J679" s="24" t="str">
        <f t="array" ref="J679">IF($A679="","",IFERROR(_xlfn.XLOOKUP($A679,'Movimentação'!$B$7:$B$1006,'Movimentação'!$E$7:$E$1006,"",0,-1),""))</f>
        <v/>
      </c>
      <c r="K679" s="24" t="str">
        <f t="array" ref="K679">IF($A679="","",IFERROR(_xlfn.XLOOKUP($A679,'Movimentação'!$B$7:$B$1006,'Movimentação'!$G$7:$G$1006,"",0,-1),""))</f>
        <v/>
      </c>
      <c r="L679" s="24" t="str">
        <f t="shared" si="3"/>
        <v/>
      </c>
      <c r="M679" s="17"/>
      <c r="N679" s="30" t="str">
        <f t="array" ref="N679">IF($A679="","",IFERROR(IF(OR($L679="BAIXADO",$L679="FURTADO"),0,INDEX(Listas!$J$2:$J$40,MATCH($B679,Listas!$I$2:$I$40,0))),""))</f>
        <v/>
      </c>
      <c r="P679" s="31" t="str">
        <f t="array" ref="P679">IF($A679="","",IFERROR(_xlfn.XLOOKUP($A679,'Movimentação'!$B$7:$B$1006,'Movimentação'!$F$7:$F$1006,"",0,-1),""))</f>
        <v/>
      </c>
      <c r="Q679" s="31">
        <f>IF(COUNTIFS('Manutenção'!$B$7:$B$1006,$A679,'Manutenção'!$H$7:$H$1006,"EM CONSERTO")&gt;0,1,0)</f>
        <v>0</v>
      </c>
    </row>
    <row r="680" ht="15.0" hidden="1" customHeight="1">
      <c r="A680" s="15"/>
      <c r="B680" s="17"/>
      <c r="C680" s="17"/>
      <c r="D680" s="17"/>
      <c r="E680" s="17"/>
      <c r="F680" s="17"/>
      <c r="G680" s="18"/>
      <c r="H680" s="15"/>
      <c r="I680" s="15"/>
      <c r="J680" s="24" t="str">
        <f t="array" ref="J680">IF($A680="","",IFERROR(_xlfn.XLOOKUP($A680,'Movimentação'!$B$7:$B$1006,'Movimentação'!$E$7:$E$1006,"",0,-1),""))</f>
        <v/>
      </c>
      <c r="K680" s="24" t="str">
        <f t="array" ref="K680">IF($A680="","",IFERROR(_xlfn.XLOOKUP($A680,'Movimentação'!$B$7:$B$1006,'Movimentação'!$G$7:$G$1006,"",0,-1),""))</f>
        <v/>
      </c>
      <c r="L680" s="24" t="str">
        <f t="shared" si="3"/>
        <v/>
      </c>
      <c r="M680" s="17"/>
      <c r="N680" s="30" t="str">
        <f t="array" ref="N680">IF($A680="","",IFERROR(IF(OR($L680="BAIXADO",$L680="FURTADO"),0,INDEX(Listas!$J$2:$J$40,MATCH($B680,Listas!$I$2:$I$40,0))),""))</f>
        <v/>
      </c>
      <c r="P680" s="31" t="str">
        <f t="array" ref="P680">IF($A680="","",IFERROR(_xlfn.XLOOKUP($A680,'Movimentação'!$B$7:$B$1006,'Movimentação'!$F$7:$F$1006,"",0,-1),""))</f>
        <v/>
      </c>
      <c r="Q680" s="31">
        <f>IF(COUNTIFS('Manutenção'!$B$7:$B$1006,$A680,'Manutenção'!$H$7:$H$1006,"EM CONSERTO")&gt;0,1,0)</f>
        <v>0</v>
      </c>
    </row>
    <row r="681" ht="15.0" hidden="1" customHeight="1">
      <c r="A681" s="15"/>
      <c r="B681" s="17"/>
      <c r="C681" s="17"/>
      <c r="D681" s="17"/>
      <c r="E681" s="17"/>
      <c r="F681" s="17"/>
      <c r="G681" s="18"/>
      <c r="H681" s="15"/>
      <c r="I681" s="15"/>
      <c r="J681" s="24" t="str">
        <f t="array" ref="J681">IF($A681="","",IFERROR(_xlfn.XLOOKUP($A681,'Movimentação'!$B$7:$B$1006,'Movimentação'!$E$7:$E$1006,"",0,-1),""))</f>
        <v/>
      </c>
      <c r="K681" s="24" t="str">
        <f t="array" ref="K681">IF($A681="","",IFERROR(_xlfn.XLOOKUP($A681,'Movimentação'!$B$7:$B$1006,'Movimentação'!$G$7:$G$1006,"",0,-1),""))</f>
        <v/>
      </c>
      <c r="L681" s="24" t="str">
        <f t="shared" si="3"/>
        <v/>
      </c>
      <c r="M681" s="17"/>
      <c r="N681" s="30" t="str">
        <f t="array" ref="N681">IF($A681="","",IFERROR(IF(OR($L681="BAIXADO",$L681="FURTADO"),0,INDEX(Listas!$J$2:$J$40,MATCH($B681,Listas!$I$2:$I$40,0))),""))</f>
        <v/>
      </c>
      <c r="P681" s="31" t="str">
        <f t="array" ref="P681">IF($A681="","",IFERROR(_xlfn.XLOOKUP($A681,'Movimentação'!$B$7:$B$1006,'Movimentação'!$F$7:$F$1006,"",0,-1),""))</f>
        <v/>
      </c>
      <c r="Q681" s="31">
        <f>IF(COUNTIFS('Manutenção'!$B$7:$B$1006,$A681,'Manutenção'!$H$7:$H$1006,"EM CONSERTO")&gt;0,1,0)</f>
        <v>0</v>
      </c>
    </row>
    <row r="682" ht="15.0" hidden="1" customHeight="1">
      <c r="A682" s="15"/>
      <c r="B682" s="17"/>
      <c r="C682" s="17"/>
      <c r="D682" s="17"/>
      <c r="E682" s="17"/>
      <c r="F682" s="17"/>
      <c r="G682" s="18"/>
      <c r="H682" s="15"/>
      <c r="I682" s="15"/>
      <c r="J682" s="24" t="str">
        <f t="array" ref="J682">IF($A682="","",IFERROR(_xlfn.XLOOKUP($A682,'Movimentação'!$B$7:$B$1006,'Movimentação'!$E$7:$E$1006,"",0,-1),""))</f>
        <v/>
      </c>
      <c r="K682" s="24" t="str">
        <f t="array" ref="K682">IF($A682="","",IFERROR(_xlfn.XLOOKUP($A682,'Movimentação'!$B$7:$B$1006,'Movimentação'!$G$7:$G$1006,"",0,-1),""))</f>
        <v/>
      </c>
      <c r="L682" s="24" t="str">
        <f t="shared" si="3"/>
        <v/>
      </c>
      <c r="M682" s="17"/>
      <c r="N682" s="30" t="str">
        <f t="array" ref="N682">IF($A682="","",IFERROR(IF(OR($L682="BAIXADO",$L682="FURTADO"),0,INDEX(Listas!$J$2:$J$40,MATCH($B682,Listas!$I$2:$I$40,0))),""))</f>
        <v/>
      </c>
      <c r="P682" s="31" t="str">
        <f t="array" ref="P682">IF($A682="","",IFERROR(_xlfn.XLOOKUP($A682,'Movimentação'!$B$7:$B$1006,'Movimentação'!$F$7:$F$1006,"",0,-1),""))</f>
        <v/>
      </c>
      <c r="Q682" s="31">
        <f>IF(COUNTIFS('Manutenção'!$B$7:$B$1006,$A682,'Manutenção'!$H$7:$H$1006,"EM CONSERTO")&gt;0,1,0)</f>
        <v>0</v>
      </c>
    </row>
    <row r="683" ht="15.0" hidden="1" customHeight="1">
      <c r="A683" s="15"/>
      <c r="B683" s="17"/>
      <c r="C683" s="17"/>
      <c r="D683" s="17"/>
      <c r="E683" s="17"/>
      <c r="F683" s="17"/>
      <c r="G683" s="18"/>
      <c r="H683" s="15"/>
      <c r="I683" s="15"/>
      <c r="J683" s="24" t="str">
        <f t="array" ref="J683">IF($A683="","",IFERROR(_xlfn.XLOOKUP($A683,'Movimentação'!$B$7:$B$1006,'Movimentação'!$E$7:$E$1006,"",0,-1),""))</f>
        <v/>
      </c>
      <c r="K683" s="24" t="str">
        <f t="array" ref="K683">IF($A683="","",IFERROR(_xlfn.XLOOKUP($A683,'Movimentação'!$B$7:$B$1006,'Movimentação'!$G$7:$G$1006,"",0,-1),""))</f>
        <v/>
      </c>
      <c r="L683" s="24" t="str">
        <f t="shared" si="3"/>
        <v/>
      </c>
      <c r="M683" s="17"/>
      <c r="N683" s="30" t="str">
        <f t="array" ref="N683">IF($A683="","",IFERROR(IF(OR($L683="BAIXADO",$L683="FURTADO"),0,INDEX(Listas!$J$2:$J$40,MATCH($B683,Listas!$I$2:$I$40,0))),""))</f>
        <v/>
      </c>
      <c r="P683" s="31" t="str">
        <f t="array" ref="P683">IF($A683="","",IFERROR(_xlfn.XLOOKUP($A683,'Movimentação'!$B$7:$B$1006,'Movimentação'!$F$7:$F$1006,"",0,-1),""))</f>
        <v/>
      </c>
      <c r="Q683" s="31">
        <f>IF(COUNTIFS('Manutenção'!$B$7:$B$1006,$A683,'Manutenção'!$H$7:$H$1006,"EM CONSERTO")&gt;0,1,0)</f>
        <v>0</v>
      </c>
    </row>
    <row r="684" ht="15.0" hidden="1" customHeight="1">
      <c r="A684" s="15"/>
      <c r="B684" s="17"/>
      <c r="C684" s="17"/>
      <c r="D684" s="17"/>
      <c r="E684" s="17"/>
      <c r="F684" s="17"/>
      <c r="G684" s="18"/>
      <c r="H684" s="15"/>
      <c r="I684" s="15"/>
      <c r="J684" s="24" t="str">
        <f t="array" ref="J684">IF($A684="","",IFERROR(_xlfn.XLOOKUP($A684,'Movimentação'!$B$7:$B$1006,'Movimentação'!$E$7:$E$1006,"",0,-1),""))</f>
        <v/>
      </c>
      <c r="K684" s="24" t="str">
        <f t="array" ref="K684">IF($A684="","",IFERROR(_xlfn.XLOOKUP($A684,'Movimentação'!$B$7:$B$1006,'Movimentação'!$G$7:$G$1006,"",0,-1),""))</f>
        <v/>
      </c>
      <c r="L684" s="24" t="str">
        <f t="shared" si="3"/>
        <v/>
      </c>
      <c r="M684" s="17"/>
      <c r="N684" s="30" t="str">
        <f t="array" ref="N684">IF($A684="","",IFERROR(IF(OR($L684="BAIXADO",$L684="FURTADO"),0,INDEX(Listas!$J$2:$J$40,MATCH($B684,Listas!$I$2:$I$40,0))),""))</f>
        <v/>
      </c>
      <c r="P684" s="31" t="str">
        <f t="array" ref="P684">IF($A684="","",IFERROR(_xlfn.XLOOKUP($A684,'Movimentação'!$B$7:$B$1006,'Movimentação'!$F$7:$F$1006,"",0,-1),""))</f>
        <v/>
      </c>
      <c r="Q684" s="31">
        <f>IF(COUNTIFS('Manutenção'!$B$7:$B$1006,$A684,'Manutenção'!$H$7:$H$1006,"EM CONSERTO")&gt;0,1,0)</f>
        <v>0</v>
      </c>
    </row>
    <row r="685" ht="15.0" hidden="1" customHeight="1">
      <c r="A685" s="15"/>
      <c r="B685" s="17"/>
      <c r="C685" s="17"/>
      <c r="D685" s="17"/>
      <c r="E685" s="17"/>
      <c r="F685" s="17"/>
      <c r="G685" s="18"/>
      <c r="H685" s="15"/>
      <c r="I685" s="15"/>
      <c r="J685" s="24" t="str">
        <f t="array" ref="J685">IF($A685="","",IFERROR(_xlfn.XLOOKUP($A685,'Movimentação'!$B$7:$B$1006,'Movimentação'!$E$7:$E$1006,"",0,-1),""))</f>
        <v/>
      </c>
      <c r="K685" s="24" t="str">
        <f t="array" ref="K685">IF($A685="","",IFERROR(_xlfn.XLOOKUP($A685,'Movimentação'!$B$7:$B$1006,'Movimentação'!$G$7:$G$1006,"",0,-1),""))</f>
        <v/>
      </c>
      <c r="L685" s="24" t="str">
        <f t="shared" si="3"/>
        <v/>
      </c>
      <c r="M685" s="17"/>
      <c r="N685" s="30" t="str">
        <f t="array" ref="N685">IF($A685="","",IFERROR(IF(OR($L685="BAIXADO",$L685="FURTADO"),0,INDEX(Listas!$J$2:$J$40,MATCH($B685,Listas!$I$2:$I$40,0))),""))</f>
        <v/>
      </c>
      <c r="P685" s="31" t="str">
        <f t="array" ref="P685">IF($A685="","",IFERROR(_xlfn.XLOOKUP($A685,'Movimentação'!$B$7:$B$1006,'Movimentação'!$F$7:$F$1006,"",0,-1),""))</f>
        <v/>
      </c>
      <c r="Q685" s="31">
        <f>IF(COUNTIFS('Manutenção'!$B$7:$B$1006,$A685,'Manutenção'!$H$7:$H$1006,"EM CONSERTO")&gt;0,1,0)</f>
        <v>0</v>
      </c>
    </row>
    <row r="686" ht="15.0" hidden="1" customHeight="1">
      <c r="A686" s="15"/>
      <c r="B686" s="17"/>
      <c r="C686" s="17"/>
      <c r="D686" s="17"/>
      <c r="E686" s="17"/>
      <c r="F686" s="17"/>
      <c r="G686" s="18"/>
      <c r="H686" s="15"/>
      <c r="I686" s="15"/>
      <c r="J686" s="24" t="str">
        <f t="array" ref="J686">IF($A686="","",IFERROR(_xlfn.XLOOKUP($A686,'Movimentação'!$B$7:$B$1006,'Movimentação'!$E$7:$E$1006,"",0,-1),""))</f>
        <v/>
      </c>
      <c r="K686" s="24" t="str">
        <f t="array" ref="K686">IF($A686="","",IFERROR(_xlfn.XLOOKUP($A686,'Movimentação'!$B$7:$B$1006,'Movimentação'!$G$7:$G$1006,"",0,-1),""))</f>
        <v/>
      </c>
      <c r="L686" s="24" t="str">
        <f t="shared" si="3"/>
        <v/>
      </c>
      <c r="M686" s="17"/>
      <c r="N686" s="30" t="str">
        <f t="array" ref="N686">IF($A686="","",IFERROR(IF(OR($L686="BAIXADO",$L686="FURTADO"),0,INDEX(Listas!$J$2:$J$40,MATCH($B686,Listas!$I$2:$I$40,0))),""))</f>
        <v/>
      </c>
      <c r="P686" s="31" t="str">
        <f t="array" ref="P686">IF($A686="","",IFERROR(_xlfn.XLOOKUP($A686,'Movimentação'!$B$7:$B$1006,'Movimentação'!$F$7:$F$1006,"",0,-1),""))</f>
        <v/>
      </c>
      <c r="Q686" s="31">
        <f>IF(COUNTIFS('Manutenção'!$B$7:$B$1006,$A686,'Manutenção'!$H$7:$H$1006,"EM CONSERTO")&gt;0,1,0)</f>
        <v>0</v>
      </c>
    </row>
    <row r="687" ht="15.0" hidden="1" customHeight="1">
      <c r="A687" s="15"/>
      <c r="B687" s="17"/>
      <c r="C687" s="17"/>
      <c r="D687" s="17"/>
      <c r="E687" s="17"/>
      <c r="F687" s="17"/>
      <c r="G687" s="18"/>
      <c r="H687" s="15"/>
      <c r="I687" s="15"/>
      <c r="J687" s="24" t="str">
        <f t="array" ref="J687">IF($A687="","",IFERROR(_xlfn.XLOOKUP($A687,'Movimentação'!$B$7:$B$1006,'Movimentação'!$E$7:$E$1006,"",0,-1),""))</f>
        <v/>
      </c>
      <c r="K687" s="24" t="str">
        <f t="array" ref="K687">IF($A687="","",IFERROR(_xlfn.XLOOKUP($A687,'Movimentação'!$B$7:$B$1006,'Movimentação'!$G$7:$G$1006,"",0,-1),""))</f>
        <v/>
      </c>
      <c r="L687" s="24" t="str">
        <f t="shared" si="3"/>
        <v/>
      </c>
      <c r="M687" s="17"/>
      <c r="N687" s="30" t="str">
        <f t="array" ref="N687">IF($A687="","",IFERROR(IF(OR($L687="BAIXADO",$L687="FURTADO"),0,INDEX(Listas!$J$2:$J$40,MATCH($B687,Listas!$I$2:$I$40,0))),""))</f>
        <v/>
      </c>
      <c r="P687" s="31" t="str">
        <f t="array" ref="P687">IF($A687="","",IFERROR(_xlfn.XLOOKUP($A687,'Movimentação'!$B$7:$B$1006,'Movimentação'!$F$7:$F$1006,"",0,-1),""))</f>
        <v/>
      </c>
      <c r="Q687" s="31">
        <f>IF(COUNTIFS('Manutenção'!$B$7:$B$1006,$A687,'Manutenção'!$H$7:$H$1006,"EM CONSERTO")&gt;0,1,0)</f>
        <v>0</v>
      </c>
    </row>
    <row r="688" ht="15.0" hidden="1" customHeight="1">
      <c r="A688" s="15"/>
      <c r="B688" s="17"/>
      <c r="C688" s="17"/>
      <c r="D688" s="17"/>
      <c r="E688" s="17"/>
      <c r="F688" s="17"/>
      <c r="G688" s="18"/>
      <c r="H688" s="15"/>
      <c r="I688" s="15"/>
      <c r="J688" s="24" t="str">
        <f t="array" ref="J688">IF($A688="","",IFERROR(_xlfn.XLOOKUP($A688,'Movimentação'!$B$7:$B$1006,'Movimentação'!$E$7:$E$1006,"",0,-1),""))</f>
        <v/>
      </c>
      <c r="K688" s="24" t="str">
        <f t="array" ref="K688">IF($A688="","",IFERROR(_xlfn.XLOOKUP($A688,'Movimentação'!$B$7:$B$1006,'Movimentação'!$G$7:$G$1006,"",0,-1),""))</f>
        <v/>
      </c>
      <c r="L688" s="24" t="str">
        <f t="shared" si="3"/>
        <v/>
      </c>
      <c r="M688" s="17"/>
      <c r="N688" s="30" t="str">
        <f t="array" ref="N688">IF($A688="","",IFERROR(IF(OR($L688="BAIXADO",$L688="FURTADO"),0,INDEX(Listas!$J$2:$J$40,MATCH($B688,Listas!$I$2:$I$40,0))),""))</f>
        <v/>
      </c>
      <c r="P688" s="31" t="str">
        <f t="array" ref="P688">IF($A688="","",IFERROR(_xlfn.XLOOKUP($A688,'Movimentação'!$B$7:$B$1006,'Movimentação'!$F$7:$F$1006,"",0,-1),""))</f>
        <v/>
      </c>
      <c r="Q688" s="31">
        <f>IF(COUNTIFS('Manutenção'!$B$7:$B$1006,$A688,'Manutenção'!$H$7:$H$1006,"EM CONSERTO")&gt;0,1,0)</f>
        <v>0</v>
      </c>
    </row>
    <row r="689" ht="15.0" hidden="1" customHeight="1">
      <c r="A689" s="15"/>
      <c r="B689" s="17"/>
      <c r="C689" s="17"/>
      <c r="D689" s="17"/>
      <c r="E689" s="17"/>
      <c r="F689" s="17"/>
      <c r="G689" s="18"/>
      <c r="H689" s="15"/>
      <c r="I689" s="15"/>
      <c r="J689" s="24" t="str">
        <f t="array" ref="J689">IF($A689="","",IFERROR(_xlfn.XLOOKUP($A689,'Movimentação'!$B$7:$B$1006,'Movimentação'!$E$7:$E$1006,"",0,-1),""))</f>
        <v/>
      </c>
      <c r="K689" s="24" t="str">
        <f t="array" ref="K689">IF($A689="","",IFERROR(_xlfn.XLOOKUP($A689,'Movimentação'!$B$7:$B$1006,'Movimentação'!$G$7:$G$1006,"",0,-1),""))</f>
        <v/>
      </c>
      <c r="L689" s="24" t="str">
        <f t="shared" si="3"/>
        <v/>
      </c>
      <c r="M689" s="17"/>
      <c r="N689" s="30" t="str">
        <f t="array" ref="N689">IF($A689="","",IFERROR(IF(OR($L689="BAIXADO",$L689="FURTADO"),0,INDEX(Listas!$J$2:$J$40,MATCH($B689,Listas!$I$2:$I$40,0))),""))</f>
        <v/>
      </c>
      <c r="P689" s="31" t="str">
        <f t="array" ref="P689">IF($A689="","",IFERROR(_xlfn.XLOOKUP($A689,'Movimentação'!$B$7:$B$1006,'Movimentação'!$F$7:$F$1006,"",0,-1),""))</f>
        <v/>
      </c>
      <c r="Q689" s="31">
        <f>IF(COUNTIFS('Manutenção'!$B$7:$B$1006,$A689,'Manutenção'!$H$7:$H$1006,"EM CONSERTO")&gt;0,1,0)</f>
        <v>0</v>
      </c>
    </row>
    <row r="690" ht="15.0" hidden="1" customHeight="1">
      <c r="A690" s="15"/>
      <c r="B690" s="17"/>
      <c r="C690" s="17"/>
      <c r="D690" s="17"/>
      <c r="E690" s="17"/>
      <c r="F690" s="17"/>
      <c r="G690" s="18"/>
      <c r="H690" s="15"/>
      <c r="I690" s="15"/>
      <c r="J690" s="24" t="str">
        <f t="array" ref="J690">IF($A690="","",IFERROR(_xlfn.XLOOKUP($A690,'Movimentação'!$B$7:$B$1006,'Movimentação'!$E$7:$E$1006,"",0,-1),""))</f>
        <v/>
      </c>
      <c r="K690" s="24" t="str">
        <f t="array" ref="K690">IF($A690="","",IFERROR(_xlfn.XLOOKUP($A690,'Movimentação'!$B$7:$B$1006,'Movimentação'!$G$7:$G$1006,"",0,-1),""))</f>
        <v/>
      </c>
      <c r="L690" s="24" t="str">
        <f t="shared" si="3"/>
        <v/>
      </c>
      <c r="M690" s="17"/>
      <c r="N690" s="30" t="str">
        <f t="array" ref="N690">IF($A690="","",IFERROR(IF(OR($L690="BAIXADO",$L690="FURTADO"),0,INDEX(Listas!$J$2:$J$40,MATCH($B690,Listas!$I$2:$I$40,0))),""))</f>
        <v/>
      </c>
      <c r="P690" s="31" t="str">
        <f t="array" ref="P690">IF($A690="","",IFERROR(_xlfn.XLOOKUP($A690,'Movimentação'!$B$7:$B$1006,'Movimentação'!$F$7:$F$1006,"",0,-1),""))</f>
        <v/>
      </c>
      <c r="Q690" s="31">
        <f>IF(COUNTIFS('Manutenção'!$B$7:$B$1006,$A690,'Manutenção'!$H$7:$H$1006,"EM CONSERTO")&gt;0,1,0)</f>
        <v>0</v>
      </c>
    </row>
    <row r="691" ht="15.0" hidden="1" customHeight="1">
      <c r="A691" s="15"/>
      <c r="B691" s="17"/>
      <c r="C691" s="17"/>
      <c r="D691" s="17"/>
      <c r="E691" s="17"/>
      <c r="F691" s="17"/>
      <c r="G691" s="18"/>
      <c r="H691" s="15"/>
      <c r="I691" s="15"/>
      <c r="J691" s="24" t="str">
        <f t="array" ref="J691">IF($A691="","",IFERROR(_xlfn.XLOOKUP($A691,'Movimentação'!$B$7:$B$1006,'Movimentação'!$E$7:$E$1006,"",0,-1),""))</f>
        <v/>
      </c>
      <c r="K691" s="24" t="str">
        <f t="array" ref="K691">IF($A691="","",IFERROR(_xlfn.XLOOKUP($A691,'Movimentação'!$B$7:$B$1006,'Movimentação'!$G$7:$G$1006,"",0,-1),""))</f>
        <v/>
      </c>
      <c r="L691" s="24" t="str">
        <f t="shared" si="3"/>
        <v/>
      </c>
      <c r="M691" s="17"/>
      <c r="N691" s="30" t="str">
        <f t="array" ref="N691">IF($A691="","",IFERROR(IF(OR($L691="BAIXADO",$L691="FURTADO"),0,INDEX(Listas!$J$2:$J$40,MATCH($B691,Listas!$I$2:$I$40,0))),""))</f>
        <v/>
      </c>
      <c r="P691" s="31" t="str">
        <f t="array" ref="P691">IF($A691="","",IFERROR(_xlfn.XLOOKUP($A691,'Movimentação'!$B$7:$B$1006,'Movimentação'!$F$7:$F$1006,"",0,-1),""))</f>
        <v/>
      </c>
      <c r="Q691" s="31">
        <f>IF(COUNTIFS('Manutenção'!$B$7:$B$1006,$A691,'Manutenção'!$H$7:$H$1006,"EM CONSERTO")&gt;0,1,0)</f>
        <v>0</v>
      </c>
    </row>
    <row r="692" ht="15.0" hidden="1" customHeight="1">
      <c r="A692" s="15"/>
      <c r="B692" s="17"/>
      <c r="C692" s="17"/>
      <c r="D692" s="17"/>
      <c r="E692" s="17"/>
      <c r="F692" s="17"/>
      <c r="G692" s="18"/>
      <c r="H692" s="15"/>
      <c r="I692" s="15"/>
      <c r="J692" s="24" t="str">
        <f t="array" ref="J692">IF($A692="","",IFERROR(_xlfn.XLOOKUP($A692,'Movimentação'!$B$7:$B$1006,'Movimentação'!$E$7:$E$1006,"",0,-1),""))</f>
        <v/>
      </c>
      <c r="K692" s="24" t="str">
        <f t="array" ref="K692">IF($A692="","",IFERROR(_xlfn.XLOOKUP($A692,'Movimentação'!$B$7:$B$1006,'Movimentação'!$G$7:$G$1006,"",0,-1),""))</f>
        <v/>
      </c>
      <c r="L692" s="24" t="str">
        <f t="shared" si="3"/>
        <v/>
      </c>
      <c r="M692" s="17"/>
      <c r="N692" s="30" t="str">
        <f t="array" ref="N692">IF($A692="","",IFERROR(IF(OR($L692="BAIXADO",$L692="FURTADO"),0,INDEX(Listas!$J$2:$J$40,MATCH($B692,Listas!$I$2:$I$40,0))),""))</f>
        <v/>
      </c>
      <c r="P692" s="31" t="str">
        <f t="array" ref="P692">IF($A692="","",IFERROR(_xlfn.XLOOKUP($A692,'Movimentação'!$B$7:$B$1006,'Movimentação'!$F$7:$F$1006,"",0,-1),""))</f>
        <v/>
      </c>
      <c r="Q692" s="31">
        <f>IF(COUNTIFS('Manutenção'!$B$7:$B$1006,$A692,'Manutenção'!$H$7:$H$1006,"EM CONSERTO")&gt;0,1,0)</f>
        <v>0</v>
      </c>
    </row>
    <row r="693" ht="15.0" hidden="1" customHeight="1">
      <c r="A693" s="15"/>
      <c r="B693" s="17"/>
      <c r="C693" s="17"/>
      <c r="D693" s="17"/>
      <c r="E693" s="17"/>
      <c r="F693" s="17"/>
      <c r="G693" s="18"/>
      <c r="H693" s="15"/>
      <c r="I693" s="15"/>
      <c r="J693" s="24" t="str">
        <f t="array" ref="J693">IF($A693="","",IFERROR(_xlfn.XLOOKUP($A693,'Movimentação'!$B$7:$B$1006,'Movimentação'!$E$7:$E$1006,"",0,-1),""))</f>
        <v/>
      </c>
      <c r="K693" s="24" t="str">
        <f t="array" ref="K693">IF($A693="","",IFERROR(_xlfn.XLOOKUP($A693,'Movimentação'!$B$7:$B$1006,'Movimentação'!$G$7:$G$1006,"",0,-1),""))</f>
        <v/>
      </c>
      <c r="L693" s="24" t="str">
        <f t="shared" si="3"/>
        <v/>
      </c>
      <c r="M693" s="17"/>
      <c r="N693" s="30" t="str">
        <f t="array" ref="N693">IF($A693="","",IFERROR(IF(OR($L693="BAIXADO",$L693="FURTADO"),0,INDEX(Listas!$J$2:$J$40,MATCH($B693,Listas!$I$2:$I$40,0))),""))</f>
        <v/>
      </c>
      <c r="P693" s="31" t="str">
        <f t="array" ref="P693">IF($A693="","",IFERROR(_xlfn.XLOOKUP($A693,'Movimentação'!$B$7:$B$1006,'Movimentação'!$F$7:$F$1006,"",0,-1),""))</f>
        <v/>
      </c>
      <c r="Q693" s="31">
        <f>IF(COUNTIFS('Manutenção'!$B$7:$B$1006,$A693,'Manutenção'!$H$7:$H$1006,"EM CONSERTO")&gt;0,1,0)</f>
        <v>0</v>
      </c>
    </row>
    <row r="694" ht="15.0" hidden="1" customHeight="1">
      <c r="A694" s="15"/>
      <c r="B694" s="17"/>
      <c r="C694" s="17"/>
      <c r="D694" s="17"/>
      <c r="E694" s="17"/>
      <c r="F694" s="17"/>
      <c r="G694" s="18"/>
      <c r="H694" s="15"/>
      <c r="I694" s="15"/>
      <c r="J694" s="24" t="str">
        <f t="array" ref="J694">IF($A694="","",IFERROR(_xlfn.XLOOKUP($A694,'Movimentação'!$B$7:$B$1006,'Movimentação'!$E$7:$E$1006,"",0,-1),""))</f>
        <v/>
      </c>
      <c r="K694" s="24" t="str">
        <f t="array" ref="K694">IF($A694="","",IFERROR(_xlfn.XLOOKUP($A694,'Movimentação'!$B$7:$B$1006,'Movimentação'!$G$7:$G$1006,"",0,-1),""))</f>
        <v/>
      </c>
      <c r="L694" s="24" t="str">
        <f t="shared" si="3"/>
        <v/>
      </c>
      <c r="M694" s="17"/>
      <c r="N694" s="30" t="str">
        <f t="array" ref="N694">IF($A694="","",IFERROR(IF(OR($L694="BAIXADO",$L694="FURTADO"),0,INDEX(Listas!$J$2:$J$40,MATCH($B694,Listas!$I$2:$I$40,0))),""))</f>
        <v/>
      </c>
      <c r="P694" s="31" t="str">
        <f t="array" ref="P694">IF($A694="","",IFERROR(_xlfn.XLOOKUP($A694,'Movimentação'!$B$7:$B$1006,'Movimentação'!$F$7:$F$1006,"",0,-1),""))</f>
        <v/>
      </c>
      <c r="Q694" s="31">
        <f>IF(COUNTIFS('Manutenção'!$B$7:$B$1006,$A694,'Manutenção'!$H$7:$H$1006,"EM CONSERTO")&gt;0,1,0)</f>
        <v>0</v>
      </c>
    </row>
    <row r="695" ht="15.0" hidden="1" customHeight="1">
      <c r="A695" s="15"/>
      <c r="B695" s="17"/>
      <c r="C695" s="17"/>
      <c r="D695" s="17"/>
      <c r="E695" s="17"/>
      <c r="F695" s="17"/>
      <c r="G695" s="18"/>
      <c r="H695" s="15"/>
      <c r="I695" s="15"/>
      <c r="J695" s="24" t="str">
        <f t="array" ref="J695">IF($A695="","",IFERROR(_xlfn.XLOOKUP($A695,'Movimentação'!$B$7:$B$1006,'Movimentação'!$E$7:$E$1006,"",0,-1),""))</f>
        <v/>
      </c>
      <c r="K695" s="24" t="str">
        <f t="array" ref="K695">IF($A695="","",IFERROR(_xlfn.XLOOKUP($A695,'Movimentação'!$B$7:$B$1006,'Movimentação'!$G$7:$G$1006,"",0,-1),""))</f>
        <v/>
      </c>
      <c r="L695" s="24" t="str">
        <f t="shared" si="3"/>
        <v/>
      </c>
      <c r="M695" s="17"/>
      <c r="N695" s="30" t="str">
        <f t="array" ref="N695">IF($A695="","",IFERROR(IF(OR($L695="BAIXADO",$L695="FURTADO"),0,INDEX(Listas!$J$2:$J$40,MATCH($B695,Listas!$I$2:$I$40,0))),""))</f>
        <v/>
      </c>
      <c r="P695" s="31" t="str">
        <f t="array" ref="P695">IF($A695="","",IFERROR(_xlfn.XLOOKUP($A695,'Movimentação'!$B$7:$B$1006,'Movimentação'!$F$7:$F$1006,"",0,-1),""))</f>
        <v/>
      </c>
      <c r="Q695" s="31">
        <f>IF(COUNTIFS('Manutenção'!$B$7:$B$1006,$A695,'Manutenção'!$H$7:$H$1006,"EM CONSERTO")&gt;0,1,0)</f>
        <v>0</v>
      </c>
    </row>
    <row r="696" ht="15.0" hidden="1" customHeight="1">
      <c r="A696" s="15"/>
      <c r="B696" s="17"/>
      <c r="C696" s="17"/>
      <c r="D696" s="17"/>
      <c r="E696" s="17"/>
      <c r="F696" s="17"/>
      <c r="G696" s="18"/>
      <c r="H696" s="15"/>
      <c r="I696" s="15"/>
      <c r="J696" s="24" t="str">
        <f t="array" ref="J696">IF($A696="","",IFERROR(_xlfn.XLOOKUP($A696,'Movimentação'!$B$7:$B$1006,'Movimentação'!$E$7:$E$1006,"",0,-1),""))</f>
        <v/>
      </c>
      <c r="K696" s="24" t="str">
        <f t="array" ref="K696">IF($A696="","",IFERROR(_xlfn.XLOOKUP($A696,'Movimentação'!$B$7:$B$1006,'Movimentação'!$G$7:$G$1006,"",0,-1),""))</f>
        <v/>
      </c>
      <c r="L696" s="24" t="str">
        <f t="shared" si="3"/>
        <v/>
      </c>
      <c r="M696" s="17"/>
      <c r="N696" s="30" t="str">
        <f t="array" ref="N696">IF($A696="","",IFERROR(IF(OR($L696="BAIXADO",$L696="FURTADO"),0,INDEX(Listas!$J$2:$J$40,MATCH($B696,Listas!$I$2:$I$40,0))),""))</f>
        <v/>
      </c>
      <c r="P696" s="31" t="str">
        <f t="array" ref="P696">IF($A696="","",IFERROR(_xlfn.XLOOKUP($A696,'Movimentação'!$B$7:$B$1006,'Movimentação'!$F$7:$F$1006,"",0,-1),""))</f>
        <v/>
      </c>
      <c r="Q696" s="31">
        <f>IF(COUNTIFS('Manutenção'!$B$7:$B$1006,$A696,'Manutenção'!$H$7:$H$1006,"EM CONSERTO")&gt;0,1,0)</f>
        <v>0</v>
      </c>
    </row>
    <row r="697" ht="15.0" hidden="1" customHeight="1">
      <c r="A697" s="15"/>
      <c r="B697" s="17"/>
      <c r="C697" s="17"/>
      <c r="D697" s="17"/>
      <c r="E697" s="17"/>
      <c r="F697" s="17"/>
      <c r="G697" s="18"/>
      <c r="H697" s="15"/>
      <c r="I697" s="15"/>
      <c r="J697" s="24" t="str">
        <f t="array" ref="J697">IF($A697="","",IFERROR(_xlfn.XLOOKUP($A697,'Movimentação'!$B$7:$B$1006,'Movimentação'!$E$7:$E$1006,"",0,-1),""))</f>
        <v/>
      </c>
      <c r="K697" s="24" t="str">
        <f t="array" ref="K697">IF($A697="","",IFERROR(_xlfn.XLOOKUP($A697,'Movimentação'!$B$7:$B$1006,'Movimentação'!$G$7:$G$1006,"",0,-1),""))</f>
        <v/>
      </c>
      <c r="L697" s="24" t="str">
        <f t="shared" si="3"/>
        <v/>
      </c>
      <c r="M697" s="17"/>
      <c r="N697" s="30" t="str">
        <f t="array" ref="N697">IF($A697="","",IFERROR(IF(OR($L697="BAIXADO",$L697="FURTADO"),0,INDEX(Listas!$J$2:$J$40,MATCH($B697,Listas!$I$2:$I$40,0))),""))</f>
        <v/>
      </c>
      <c r="P697" s="31" t="str">
        <f t="array" ref="P697">IF($A697="","",IFERROR(_xlfn.XLOOKUP($A697,'Movimentação'!$B$7:$B$1006,'Movimentação'!$F$7:$F$1006,"",0,-1),""))</f>
        <v/>
      </c>
      <c r="Q697" s="31">
        <f>IF(COUNTIFS('Manutenção'!$B$7:$B$1006,$A697,'Manutenção'!$H$7:$H$1006,"EM CONSERTO")&gt;0,1,0)</f>
        <v>0</v>
      </c>
    </row>
    <row r="698" ht="15.0" hidden="1" customHeight="1">
      <c r="A698" s="15"/>
      <c r="B698" s="17"/>
      <c r="C698" s="17"/>
      <c r="D698" s="17"/>
      <c r="E698" s="17"/>
      <c r="F698" s="17"/>
      <c r="G698" s="18"/>
      <c r="H698" s="15"/>
      <c r="I698" s="15"/>
      <c r="J698" s="24" t="str">
        <f t="array" ref="J698">IF($A698="","",IFERROR(_xlfn.XLOOKUP($A698,'Movimentação'!$B$7:$B$1006,'Movimentação'!$E$7:$E$1006,"",0,-1),""))</f>
        <v/>
      </c>
      <c r="K698" s="24" t="str">
        <f t="array" ref="K698">IF($A698="","",IFERROR(_xlfn.XLOOKUP($A698,'Movimentação'!$B$7:$B$1006,'Movimentação'!$G$7:$G$1006,"",0,-1),""))</f>
        <v/>
      </c>
      <c r="L698" s="24" t="str">
        <f t="shared" si="3"/>
        <v/>
      </c>
      <c r="M698" s="17"/>
      <c r="N698" s="30" t="str">
        <f t="array" ref="N698">IF($A698="","",IFERROR(IF(OR($L698="BAIXADO",$L698="FURTADO"),0,INDEX(Listas!$J$2:$J$40,MATCH($B698,Listas!$I$2:$I$40,0))),""))</f>
        <v/>
      </c>
      <c r="P698" s="31" t="str">
        <f t="array" ref="P698">IF($A698="","",IFERROR(_xlfn.XLOOKUP($A698,'Movimentação'!$B$7:$B$1006,'Movimentação'!$F$7:$F$1006,"",0,-1),""))</f>
        <v/>
      </c>
      <c r="Q698" s="31">
        <f>IF(COUNTIFS('Manutenção'!$B$7:$B$1006,$A698,'Manutenção'!$H$7:$H$1006,"EM CONSERTO")&gt;0,1,0)</f>
        <v>0</v>
      </c>
    </row>
    <row r="699" ht="15.0" hidden="1" customHeight="1">
      <c r="A699" s="15"/>
      <c r="B699" s="17"/>
      <c r="C699" s="17"/>
      <c r="D699" s="17"/>
      <c r="E699" s="17"/>
      <c r="F699" s="17"/>
      <c r="G699" s="18"/>
      <c r="H699" s="15"/>
      <c r="I699" s="15"/>
      <c r="J699" s="24" t="str">
        <f t="array" ref="J699">IF($A699="","",IFERROR(_xlfn.XLOOKUP($A699,'Movimentação'!$B$7:$B$1006,'Movimentação'!$E$7:$E$1006,"",0,-1),""))</f>
        <v/>
      </c>
      <c r="K699" s="24" t="str">
        <f t="array" ref="K699">IF($A699="","",IFERROR(_xlfn.XLOOKUP($A699,'Movimentação'!$B$7:$B$1006,'Movimentação'!$G$7:$G$1006,"",0,-1),""))</f>
        <v/>
      </c>
      <c r="L699" s="24" t="str">
        <f t="shared" si="3"/>
        <v/>
      </c>
      <c r="M699" s="17"/>
      <c r="N699" s="30" t="str">
        <f t="array" ref="N699">IF($A699="","",IFERROR(IF(OR($L699="BAIXADO",$L699="FURTADO"),0,INDEX(Listas!$J$2:$J$40,MATCH($B699,Listas!$I$2:$I$40,0))),""))</f>
        <v/>
      </c>
      <c r="P699" s="31" t="str">
        <f t="array" ref="P699">IF($A699="","",IFERROR(_xlfn.XLOOKUP($A699,'Movimentação'!$B$7:$B$1006,'Movimentação'!$F$7:$F$1006,"",0,-1),""))</f>
        <v/>
      </c>
      <c r="Q699" s="31">
        <f>IF(COUNTIFS('Manutenção'!$B$7:$B$1006,$A699,'Manutenção'!$H$7:$H$1006,"EM CONSERTO")&gt;0,1,0)</f>
        <v>0</v>
      </c>
    </row>
    <row r="700" ht="15.0" hidden="1" customHeight="1">
      <c r="A700" s="15"/>
      <c r="B700" s="17"/>
      <c r="C700" s="17"/>
      <c r="D700" s="17"/>
      <c r="E700" s="17"/>
      <c r="F700" s="17"/>
      <c r="G700" s="18"/>
      <c r="H700" s="15"/>
      <c r="I700" s="15"/>
      <c r="J700" s="24" t="str">
        <f t="array" ref="J700">IF($A700="","",IFERROR(_xlfn.XLOOKUP($A700,'Movimentação'!$B$7:$B$1006,'Movimentação'!$E$7:$E$1006,"",0,-1),""))</f>
        <v/>
      </c>
      <c r="K700" s="24" t="str">
        <f t="array" ref="K700">IF($A700="","",IFERROR(_xlfn.XLOOKUP($A700,'Movimentação'!$B$7:$B$1006,'Movimentação'!$G$7:$G$1006,"",0,-1),""))</f>
        <v/>
      </c>
      <c r="L700" s="24" t="str">
        <f t="shared" si="3"/>
        <v/>
      </c>
      <c r="M700" s="17"/>
      <c r="N700" s="30" t="str">
        <f t="array" ref="N700">IF($A700="","",IFERROR(IF(OR($L700="BAIXADO",$L700="FURTADO"),0,INDEX(Listas!$J$2:$J$40,MATCH($B700,Listas!$I$2:$I$40,0))),""))</f>
        <v/>
      </c>
      <c r="P700" s="31" t="str">
        <f t="array" ref="P700">IF($A700="","",IFERROR(_xlfn.XLOOKUP($A700,'Movimentação'!$B$7:$B$1006,'Movimentação'!$F$7:$F$1006,"",0,-1),""))</f>
        <v/>
      </c>
      <c r="Q700" s="31">
        <f>IF(COUNTIFS('Manutenção'!$B$7:$B$1006,$A700,'Manutenção'!$H$7:$H$1006,"EM CONSERTO")&gt;0,1,0)</f>
        <v>0</v>
      </c>
    </row>
    <row r="701" ht="15.0" hidden="1" customHeight="1">
      <c r="A701" s="15"/>
      <c r="B701" s="17"/>
      <c r="C701" s="17"/>
      <c r="D701" s="17"/>
      <c r="E701" s="17"/>
      <c r="F701" s="17"/>
      <c r="G701" s="18"/>
      <c r="H701" s="15"/>
      <c r="I701" s="15"/>
      <c r="J701" s="24" t="str">
        <f t="array" ref="J701">IF($A701="","",IFERROR(_xlfn.XLOOKUP($A701,'Movimentação'!$B$7:$B$1006,'Movimentação'!$E$7:$E$1006,"",0,-1),""))</f>
        <v/>
      </c>
      <c r="K701" s="24" t="str">
        <f t="array" ref="K701">IF($A701="","",IFERROR(_xlfn.XLOOKUP($A701,'Movimentação'!$B$7:$B$1006,'Movimentação'!$G$7:$G$1006,"",0,-1),""))</f>
        <v/>
      </c>
      <c r="L701" s="24" t="str">
        <f t="shared" si="3"/>
        <v/>
      </c>
      <c r="M701" s="17"/>
      <c r="N701" s="30" t="str">
        <f t="array" ref="N701">IF($A701="","",IFERROR(IF(OR($L701="BAIXADO",$L701="FURTADO"),0,INDEX(Listas!$J$2:$J$40,MATCH($B701,Listas!$I$2:$I$40,0))),""))</f>
        <v/>
      </c>
      <c r="P701" s="31" t="str">
        <f t="array" ref="P701">IF($A701="","",IFERROR(_xlfn.XLOOKUP($A701,'Movimentação'!$B$7:$B$1006,'Movimentação'!$F$7:$F$1006,"",0,-1),""))</f>
        <v/>
      </c>
      <c r="Q701" s="31">
        <f>IF(COUNTIFS('Manutenção'!$B$7:$B$1006,$A701,'Manutenção'!$H$7:$H$1006,"EM CONSERTO")&gt;0,1,0)</f>
        <v>0</v>
      </c>
    </row>
    <row r="702" ht="15.0" hidden="1" customHeight="1">
      <c r="A702" s="15"/>
      <c r="B702" s="17"/>
      <c r="C702" s="17"/>
      <c r="D702" s="17"/>
      <c r="E702" s="17"/>
      <c r="F702" s="17"/>
      <c r="G702" s="18"/>
      <c r="H702" s="15"/>
      <c r="I702" s="15"/>
      <c r="J702" s="24" t="str">
        <f t="array" ref="J702">IF($A702="","",IFERROR(_xlfn.XLOOKUP($A702,'Movimentação'!$B$7:$B$1006,'Movimentação'!$E$7:$E$1006,"",0,-1),""))</f>
        <v/>
      </c>
      <c r="K702" s="24" t="str">
        <f t="array" ref="K702">IF($A702="","",IFERROR(_xlfn.XLOOKUP($A702,'Movimentação'!$B$7:$B$1006,'Movimentação'!$G$7:$G$1006,"",0,-1),""))</f>
        <v/>
      </c>
      <c r="L702" s="24" t="str">
        <f t="shared" si="3"/>
        <v/>
      </c>
      <c r="M702" s="17"/>
      <c r="N702" s="30" t="str">
        <f t="array" ref="N702">IF($A702="","",IFERROR(IF(OR($L702="BAIXADO",$L702="FURTADO"),0,INDEX(Listas!$J$2:$J$40,MATCH($B702,Listas!$I$2:$I$40,0))),""))</f>
        <v/>
      </c>
      <c r="P702" s="31" t="str">
        <f t="array" ref="P702">IF($A702="","",IFERROR(_xlfn.XLOOKUP($A702,'Movimentação'!$B$7:$B$1006,'Movimentação'!$F$7:$F$1006,"",0,-1),""))</f>
        <v/>
      </c>
      <c r="Q702" s="31">
        <f>IF(COUNTIFS('Manutenção'!$B$7:$B$1006,$A702,'Manutenção'!$H$7:$H$1006,"EM CONSERTO")&gt;0,1,0)</f>
        <v>0</v>
      </c>
    </row>
    <row r="703" ht="15.0" hidden="1" customHeight="1">
      <c r="A703" s="15"/>
      <c r="B703" s="17"/>
      <c r="C703" s="17"/>
      <c r="D703" s="17"/>
      <c r="E703" s="17"/>
      <c r="F703" s="17"/>
      <c r="G703" s="18"/>
      <c r="H703" s="15"/>
      <c r="I703" s="15"/>
      <c r="J703" s="24" t="str">
        <f t="array" ref="J703">IF($A703="","",IFERROR(_xlfn.XLOOKUP($A703,'Movimentação'!$B$7:$B$1006,'Movimentação'!$E$7:$E$1006,"",0,-1),""))</f>
        <v/>
      </c>
      <c r="K703" s="24" t="str">
        <f t="array" ref="K703">IF($A703="","",IFERROR(_xlfn.XLOOKUP($A703,'Movimentação'!$B$7:$B$1006,'Movimentação'!$G$7:$G$1006,"",0,-1),""))</f>
        <v/>
      </c>
      <c r="L703" s="24" t="str">
        <f t="shared" si="3"/>
        <v/>
      </c>
      <c r="M703" s="17"/>
      <c r="N703" s="30" t="str">
        <f t="array" ref="N703">IF($A703="","",IFERROR(IF(OR($L703="BAIXADO",$L703="FURTADO"),0,INDEX(Listas!$J$2:$J$40,MATCH($B703,Listas!$I$2:$I$40,0))),""))</f>
        <v/>
      </c>
      <c r="P703" s="31" t="str">
        <f t="array" ref="P703">IF($A703="","",IFERROR(_xlfn.XLOOKUP($A703,'Movimentação'!$B$7:$B$1006,'Movimentação'!$F$7:$F$1006,"",0,-1),""))</f>
        <v/>
      </c>
      <c r="Q703" s="31">
        <f>IF(COUNTIFS('Manutenção'!$B$7:$B$1006,$A703,'Manutenção'!$H$7:$H$1006,"EM CONSERTO")&gt;0,1,0)</f>
        <v>0</v>
      </c>
    </row>
    <row r="704" ht="15.0" hidden="1" customHeight="1">
      <c r="A704" s="15"/>
      <c r="B704" s="17"/>
      <c r="C704" s="17"/>
      <c r="D704" s="17"/>
      <c r="E704" s="17"/>
      <c r="F704" s="17"/>
      <c r="G704" s="18"/>
      <c r="H704" s="15"/>
      <c r="I704" s="15"/>
      <c r="J704" s="24" t="str">
        <f t="array" ref="J704">IF($A704="","",IFERROR(_xlfn.XLOOKUP($A704,'Movimentação'!$B$7:$B$1006,'Movimentação'!$E$7:$E$1006,"",0,-1),""))</f>
        <v/>
      </c>
      <c r="K704" s="24" t="str">
        <f t="array" ref="K704">IF($A704="","",IFERROR(_xlfn.XLOOKUP($A704,'Movimentação'!$B$7:$B$1006,'Movimentação'!$G$7:$G$1006,"",0,-1),""))</f>
        <v/>
      </c>
      <c r="L704" s="24" t="str">
        <f t="shared" si="3"/>
        <v/>
      </c>
      <c r="M704" s="17"/>
      <c r="N704" s="30" t="str">
        <f t="array" ref="N704">IF($A704="","",IFERROR(IF(OR($L704="BAIXADO",$L704="FURTADO"),0,INDEX(Listas!$J$2:$J$40,MATCH($B704,Listas!$I$2:$I$40,0))),""))</f>
        <v/>
      </c>
      <c r="P704" s="31" t="str">
        <f t="array" ref="P704">IF($A704="","",IFERROR(_xlfn.XLOOKUP($A704,'Movimentação'!$B$7:$B$1006,'Movimentação'!$F$7:$F$1006,"",0,-1),""))</f>
        <v/>
      </c>
      <c r="Q704" s="31">
        <f>IF(COUNTIFS('Manutenção'!$B$7:$B$1006,$A704,'Manutenção'!$H$7:$H$1006,"EM CONSERTO")&gt;0,1,0)</f>
        <v>0</v>
      </c>
    </row>
    <row r="705" ht="15.0" hidden="1" customHeight="1">
      <c r="A705" s="15"/>
      <c r="B705" s="17"/>
      <c r="C705" s="17"/>
      <c r="D705" s="17"/>
      <c r="E705" s="17"/>
      <c r="F705" s="17"/>
      <c r="G705" s="18"/>
      <c r="H705" s="15"/>
      <c r="I705" s="15"/>
      <c r="J705" s="24" t="str">
        <f t="array" ref="J705">IF($A705="","",IFERROR(_xlfn.XLOOKUP($A705,'Movimentação'!$B$7:$B$1006,'Movimentação'!$E$7:$E$1006,"",0,-1),""))</f>
        <v/>
      </c>
      <c r="K705" s="24" t="str">
        <f t="array" ref="K705">IF($A705="","",IFERROR(_xlfn.XLOOKUP($A705,'Movimentação'!$B$7:$B$1006,'Movimentação'!$G$7:$G$1006,"",0,-1),""))</f>
        <v/>
      </c>
      <c r="L705" s="24" t="str">
        <f t="shared" si="3"/>
        <v/>
      </c>
      <c r="M705" s="17"/>
      <c r="N705" s="30" t="str">
        <f t="array" ref="N705">IF($A705="","",IFERROR(IF(OR($L705="BAIXADO",$L705="FURTADO"),0,INDEX(Listas!$J$2:$J$40,MATCH($B705,Listas!$I$2:$I$40,0))),""))</f>
        <v/>
      </c>
      <c r="P705" s="31" t="str">
        <f t="array" ref="P705">IF($A705="","",IFERROR(_xlfn.XLOOKUP($A705,'Movimentação'!$B$7:$B$1006,'Movimentação'!$F$7:$F$1006,"",0,-1),""))</f>
        <v/>
      </c>
      <c r="Q705" s="31">
        <f>IF(COUNTIFS('Manutenção'!$B$7:$B$1006,$A705,'Manutenção'!$H$7:$H$1006,"EM CONSERTO")&gt;0,1,0)</f>
        <v>0</v>
      </c>
    </row>
    <row r="706" ht="15.0" hidden="1" customHeight="1">
      <c r="A706" s="15"/>
      <c r="B706" s="17"/>
      <c r="C706" s="17"/>
      <c r="D706" s="17"/>
      <c r="E706" s="17"/>
      <c r="F706" s="17"/>
      <c r="G706" s="18"/>
      <c r="H706" s="15"/>
      <c r="I706" s="15"/>
      <c r="J706" s="24" t="str">
        <f t="array" ref="J706">IF($A706="","",IFERROR(_xlfn.XLOOKUP($A706,'Movimentação'!$B$7:$B$1006,'Movimentação'!$E$7:$E$1006,"",0,-1),""))</f>
        <v/>
      </c>
      <c r="K706" s="24" t="str">
        <f t="array" ref="K706">IF($A706="","",IFERROR(_xlfn.XLOOKUP($A706,'Movimentação'!$B$7:$B$1006,'Movimentação'!$G$7:$G$1006,"",0,-1),""))</f>
        <v/>
      </c>
      <c r="L706" s="24" t="str">
        <f t="shared" si="3"/>
        <v/>
      </c>
      <c r="M706" s="17"/>
      <c r="N706" s="30" t="str">
        <f t="array" ref="N706">IF($A706="","",IFERROR(IF(OR($L706="BAIXADO",$L706="FURTADO"),0,INDEX(Listas!$J$2:$J$40,MATCH($B706,Listas!$I$2:$I$40,0))),""))</f>
        <v/>
      </c>
      <c r="P706" s="31" t="str">
        <f t="array" ref="P706">IF($A706="","",IFERROR(_xlfn.XLOOKUP($A706,'Movimentação'!$B$7:$B$1006,'Movimentação'!$F$7:$F$1006,"",0,-1),""))</f>
        <v/>
      </c>
      <c r="Q706" s="31">
        <f>IF(COUNTIFS('Manutenção'!$B$7:$B$1006,$A706,'Manutenção'!$H$7:$H$1006,"EM CONSERTO")&gt;0,1,0)</f>
        <v>0</v>
      </c>
    </row>
    <row r="707" ht="15.0" hidden="1" customHeight="1">
      <c r="A707" s="15"/>
      <c r="B707" s="17"/>
      <c r="C707" s="17"/>
      <c r="D707" s="17"/>
      <c r="E707" s="17"/>
      <c r="F707" s="17"/>
      <c r="G707" s="18"/>
      <c r="H707" s="15"/>
      <c r="I707" s="15"/>
      <c r="J707" s="24" t="str">
        <f t="array" ref="J707">IF($A707="","",IFERROR(_xlfn.XLOOKUP($A707,'Movimentação'!$B$7:$B$1006,'Movimentação'!$E$7:$E$1006,"",0,-1),""))</f>
        <v/>
      </c>
      <c r="K707" s="24" t="str">
        <f t="array" ref="K707">IF($A707="","",IFERROR(_xlfn.XLOOKUP($A707,'Movimentação'!$B$7:$B$1006,'Movimentação'!$G$7:$G$1006,"",0,-1),""))</f>
        <v/>
      </c>
      <c r="L707" s="24" t="str">
        <f t="shared" si="3"/>
        <v/>
      </c>
      <c r="M707" s="17"/>
      <c r="N707" s="30" t="str">
        <f t="array" ref="N707">IF($A707="","",IFERROR(IF(OR($L707="BAIXADO",$L707="FURTADO"),0,INDEX(Listas!$J$2:$J$40,MATCH($B707,Listas!$I$2:$I$40,0))),""))</f>
        <v/>
      </c>
      <c r="P707" s="31" t="str">
        <f t="array" ref="P707">IF($A707="","",IFERROR(_xlfn.XLOOKUP($A707,'Movimentação'!$B$7:$B$1006,'Movimentação'!$F$7:$F$1006,"",0,-1),""))</f>
        <v/>
      </c>
      <c r="Q707" s="31">
        <f>IF(COUNTIFS('Manutenção'!$B$7:$B$1006,$A707,'Manutenção'!$H$7:$H$1006,"EM CONSERTO")&gt;0,1,0)</f>
        <v>0</v>
      </c>
    </row>
    <row r="708" ht="15.0" hidden="1" customHeight="1">
      <c r="A708" s="15"/>
      <c r="B708" s="17"/>
      <c r="C708" s="17"/>
      <c r="D708" s="17"/>
      <c r="E708" s="17"/>
      <c r="F708" s="17"/>
      <c r="G708" s="18"/>
      <c r="H708" s="15"/>
      <c r="I708" s="15"/>
      <c r="J708" s="24" t="str">
        <f t="array" ref="J708">IF($A708="","",IFERROR(_xlfn.XLOOKUP($A708,'Movimentação'!$B$7:$B$1006,'Movimentação'!$E$7:$E$1006,"",0,-1),""))</f>
        <v/>
      </c>
      <c r="K708" s="24" t="str">
        <f t="array" ref="K708">IF($A708="","",IFERROR(_xlfn.XLOOKUP($A708,'Movimentação'!$B$7:$B$1006,'Movimentação'!$G$7:$G$1006,"",0,-1),""))</f>
        <v/>
      </c>
      <c r="L708" s="24" t="str">
        <f t="shared" si="3"/>
        <v/>
      </c>
      <c r="M708" s="17"/>
      <c r="N708" s="30" t="str">
        <f t="array" ref="N708">IF($A708="","",IFERROR(IF(OR($L708="BAIXADO",$L708="FURTADO"),0,INDEX(Listas!$J$2:$J$40,MATCH($B708,Listas!$I$2:$I$40,0))),""))</f>
        <v/>
      </c>
      <c r="P708" s="31" t="str">
        <f t="array" ref="P708">IF($A708="","",IFERROR(_xlfn.XLOOKUP($A708,'Movimentação'!$B$7:$B$1006,'Movimentação'!$F$7:$F$1006,"",0,-1),""))</f>
        <v/>
      </c>
      <c r="Q708" s="31">
        <f>IF(COUNTIFS('Manutenção'!$B$7:$B$1006,$A708,'Manutenção'!$H$7:$H$1006,"EM CONSERTO")&gt;0,1,0)</f>
        <v>0</v>
      </c>
    </row>
    <row r="709" ht="15.0" hidden="1" customHeight="1">
      <c r="A709" s="15"/>
      <c r="B709" s="17"/>
      <c r="C709" s="17"/>
      <c r="D709" s="17"/>
      <c r="E709" s="17"/>
      <c r="F709" s="17"/>
      <c r="G709" s="18"/>
      <c r="H709" s="15"/>
      <c r="I709" s="15"/>
      <c r="J709" s="24" t="str">
        <f t="array" ref="J709">IF($A709="","",IFERROR(_xlfn.XLOOKUP($A709,'Movimentação'!$B$7:$B$1006,'Movimentação'!$E$7:$E$1006,"",0,-1),""))</f>
        <v/>
      </c>
      <c r="K709" s="24" t="str">
        <f t="array" ref="K709">IF($A709="","",IFERROR(_xlfn.XLOOKUP($A709,'Movimentação'!$B$7:$B$1006,'Movimentação'!$G$7:$G$1006,"",0,-1),""))</f>
        <v/>
      </c>
      <c r="L709" s="24" t="str">
        <f t="shared" si="3"/>
        <v/>
      </c>
      <c r="M709" s="17"/>
      <c r="N709" s="30" t="str">
        <f t="array" ref="N709">IF($A709="","",IFERROR(IF(OR($L709="BAIXADO",$L709="FURTADO"),0,INDEX(Listas!$J$2:$J$40,MATCH($B709,Listas!$I$2:$I$40,0))),""))</f>
        <v/>
      </c>
      <c r="P709" s="31" t="str">
        <f t="array" ref="P709">IF($A709="","",IFERROR(_xlfn.XLOOKUP($A709,'Movimentação'!$B$7:$B$1006,'Movimentação'!$F$7:$F$1006,"",0,-1),""))</f>
        <v/>
      </c>
      <c r="Q709" s="31">
        <f>IF(COUNTIFS('Manutenção'!$B$7:$B$1006,$A709,'Manutenção'!$H$7:$H$1006,"EM CONSERTO")&gt;0,1,0)</f>
        <v>0</v>
      </c>
    </row>
    <row r="710" ht="15.0" hidden="1" customHeight="1">
      <c r="A710" s="15"/>
      <c r="B710" s="17"/>
      <c r="C710" s="17"/>
      <c r="D710" s="17"/>
      <c r="E710" s="17"/>
      <c r="F710" s="17"/>
      <c r="G710" s="18"/>
      <c r="H710" s="15"/>
      <c r="I710" s="15"/>
      <c r="J710" s="24" t="str">
        <f t="array" ref="J710">IF($A710="","",IFERROR(_xlfn.XLOOKUP($A710,'Movimentação'!$B$7:$B$1006,'Movimentação'!$E$7:$E$1006,"",0,-1),""))</f>
        <v/>
      </c>
      <c r="K710" s="24" t="str">
        <f t="array" ref="K710">IF($A710="","",IFERROR(_xlfn.XLOOKUP($A710,'Movimentação'!$B$7:$B$1006,'Movimentação'!$G$7:$G$1006,"",0,-1),""))</f>
        <v/>
      </c>
      <c r="L710" s="24" t="str">
        <f t="shared" si="3"/>
        <v/>
      </c>
      <c r="M710" s="17"/>
      <c r="N710" s="30" t="str">
        <f t="array" ref="N710">IF($A710="","",IFERROR(IF(OR($L710="BAIXADO",$L710="FURTADO"),0,INDEX(Listas!$J$2:$J$40,MATCH($B710,Listas!$I$2:$I$40,0))),""))</f>
        <v/>
      </c>
      <c r="P710" s="31" t="str">
        <f t="array" ref="P710">IF($A710="","",IFERROR(_xlfn.XLOOKUP($A710,'Movimentação'!$B$7:$B$1006,'Movimentação'!$F$7:$F$1006,"",0,-1),""))</f>
        <v/>
      </c>
      <c r="Q710" s="31">
        <f>IF(COUNTIFS('Manutenção'!$B$7:$B$1006,$A710,'Manutenção'!$H$7:$H$1006,"EM CONSERTO")&gt;0,1,0)</f>
        <v>0</v>
      </c>
    </row>
    <row r="711" ht="15.0" hidden="1" customHeight="1">
      <c r="A711" s="15"/>
      <c r="B711" s="17"/>
      <c r="C711" s="17"/>
      <c r="D711" s="17"/>
      <c r="E711" s="17"/>
      <c r="F711" s="17"/>
      <c r="G711" s="18"/>
      <c r="H711" s="15"/>
      <c r="I711" s="15"/>
      <c r="J711" s="24" t="str">
        <f t="array" ref="J711">IF($A711="","",IFERROR(_xlfn.XLOOKUP($A711,'Movimentação'!$B$7:$B$1006,'Movimentação'!$E$7:$E$1006,"",0,-1),""))</f>
        <v/>
      </c>
      <c r="K711" s="24" t="str">
        <f t="array" ref="K711">IF($A711="","",IFERROR(_xlfn.XLOOKUP($A711,'Movimentação'!$B$7:$B$1006,'Movimentação'!$G$7:$G$1006,"",0,-1),""))</f>
        <v/>
      </c>
      <c r="L711" s="24" t="str">
        <f t="shared" si="3"/>
        <v/>
      </c>
      <c r="M711" s="17"/>
      <c r="N711" s="30" t="str">
        <f t="array" ref="N711">IF($A711="","",IFERROR(IF(OR($L711="BAIXADO",$L711="FURTADO"),0,INDEX(Listas!$J$2:$J$40,MATCH($B711,Listas!$I$2:$I$40,0))),""))</f>
        <v/>
      </c>
      <c r="P711" s="31" t="str">
        <f t="array" ref="P711">IF($A711="","",IFERROR(_xlfn.XLOOKUP($A711,'Movimentação'!$B$7:$B$1006,'Movimentação'!$F$7:$F$1006,"",0,-1),""))</f>
        <v/>
      </c>
      <c r="Q711" s="31">
        <f>IF(COUNTIFS('Manutenção'!$B$7:$B$1006,$A711,'Manutenção'!$H$7:$H$1006,"EM CONSERTO")&gt;0,1,0)</f>
        <v>0</v>
      </c>
    </row>
    <row r="712" ht="15.0" hidden="1" customHeight="1">
      <c r="A712" s="15"/>
      <c r="B712" s="17"/>
      <c r="C712" s="17"/>
      <c r="D712" s="17"/>
      <c r="E712" s="17"/>
      <c r="F712" s="17"/>
      <c r="G712" s="18"/>
      <c r="H712" s="15"/>
      <c r="I712" s="15"/>
      <c r="J712" s="24" t="str">
        <f t="array" ref="J712">IF($A712="","",IFERROR(_xlfn.XLOOKUP($A712,'Movimentação'!$B$7:$B$1006,'Movimentação'!$E$7:$E$1006,"",0,-1),""))</f>
        <v/>
      </c>
      <c r="K712" s="24" t="str">
        <f t="array" ref="K712">IF($A712="","",IFERROR(_xlfn.XLOOKUP($A712,'Movimentação'!$B$7:$B$1006,'Movimentação'!$G$7:$G$1006,"",0,-1),""))</f>
        <v/>
      </c>
      <c r="L712" s="24" t="str">
        <f t="shared" si="3"/>
        <v/>
      </c>
      <c r="M712" s="17"/>
      <c r="N712" s="30" t="str">
        <f t="array" ref="N712">IF($A712="","",IFERROR(IF(OR($L712="BAIXADO",$L712="FURTADO"),0,INDEX(Listas!$J$2:$J$40,MATCH($B712,Listas!$I$2:$I$40,0))),""))</f>
        <v/>
      </c>
      <c r="P712" s="31" t="str">
        <f t="array" ref="P712">IF($A712="","",IFERROR(_xlfn.XLOOKUP($A712,'Movimentação'!$B$7:$B$1006,'Movimentação'!$F$7:$F$1006,"",0,-1),""))</f>
        <v/>
      </c>
      <c r="Q712" s="31">
        <f>IF(COUNTIFS('Manutenção'!$B$7:$B$1006,$A712,'Manutenção'!$H$7:$H$1006,"EM CONSERTO")&gt;0,1,0)</f>
        <v>0</v>
      </c>
    </row>
    <row r="713" ht="15.0" hidden="1" customHeight="1">
      <c r="A713" s="15"/>
      <c r="B713" s="17"/>
      <c r="C713" s="17"/>
      <c r="D713" s="17"/>
      <c r="E713" s="17"/>
      <c r="F713" s="17"/>
      <c r="G713" s="18"/>
      <c r="H713" s="15"/>
      <c r="I713" s="15"/>
      <c r="J713" s="24" t="str">
        <f t="array" ref="J713">IF($A713="","",IFERROR(_xlfn.XLOOKUP($A713,'Movimentação'!$B$7:$B$1006,'Movimentação'!$E$7:$E$1006,"",0,-1),""))</f>
        <v/>
      </c>
      <c r="K713" s="24" t="str">
        <f t="array" ref="K713">IF($A713="","",IFERROR(_xlfn.XLOOKUP($A713,'Movimentação'!$B$7:$B$1006,'Movimentação'!$G$7:$G$1006,"",0,-1),""))</f>
        <v/>
      </c>
      <c r="L713" s="24" t="str">
        <f t="shared" si="3"/>
        <v/>
      </c>
      <c r="M713" s="17"/>
      <c r="N713" s="30" t="str">
        <f t="array" ref="N713">IF($A713="","",IFERROR(IF(OR($L713="BAIXADO",$L713="FURTADO"),0,INDEX(Listas!$J$2:$J$40,MATCH($B713,Listas!$I$2:$I$40,0))),""))</f>
        <v/>
      </c>
      <c r="P713" s="31" t="str">
        <f t="array" ref="P713">IF($A713="","",IFERROR(_xlfn.XLOOKUP($A713,'Movimentação'!$B$7:$B$1006,'Movimentação'!$F$7:$F$1006,"",0,-1),""))</f>
        <v/>
      </c>
      <c r="Q713" s="31">
        <f>IF(COUNTIFS('Manutenção'!$B$7:$B$1006,$A713,'Manutenção'!$H$7:$H$1006,"EM CONSERTO")&gt;0,1,0)</f>
        <v>0</v>
      </c>
    </row>
    <row r="714" ht="15.0" hidden="1" customHeight="1">
      <c r="A714" s="15"/>
      <c r="B714" s="17"/>
      <c r="C714" s="17"/>
      <c r="D714" s="17"/>
      <c r="E714" s="17"/>
      <c r="F714" s="17"/>
      <c r="G714" s="18"/>
      <c r="H714" s="15"/>
      <c r="I714" s="15"/>
      <c r="J714" s="24" t="str">
        <f t="array" ref="J714">IF($A714="","",IFERROR(_xlfn.XLOOKUP($A714,'Movimentação'!$B$7:$B$1006,'Movimentação'!$E$7:$E$1006,"",0,-1),""))</f>
        <v/>
      </c>
      <c r="K714" s="24" t="str">
        <f t="array" ref="K714">IF($A714="","",IFERROR(_xlfn.XLOOKUP($A714,'Movimentação'!$B$7:$B$1006,'Movimentação'!$G$7:$G$1006,"",0,-1),""))</f>
        <v/>
      </c>
      <c r="L714" s="24" t="str">
        <f t="shared" si="3"/>
        <v/>
      </c>
      <c r="M714" s="17"/>
      <c r="N714" s="30" t="str">
        <f t="array" ref="N714">IF($A714="","",IFERROR(IF(OR($L714="BAIXADO",$L714="FURTADO"),0,INDEX(Listas!$J$2:$J$40,MATCH($B714,Listas!$I$2:$I$40,0))),""))</f>
        <v/>
      </c>
      <c r="P714" s="31" t="str">
        <f t="array" ref="P714">IF($A714="","",IFERROR(_xlfn.XLOOKUP($A714,'Movimentação'!$B$7:$B$1006,'Movimentação'!$F$7:$F$1006,"",0,-1),""))</f>
        <v/>
      </c>
      <c r="Q714" s="31">
        <f>IF(COUNTIFS('Manutenção'!$B$7:$B$1006,$A714,'Manutenção'!$H$7:$H$1006,"EM CONSERTO")&gt;0,1,0)</f>
        <v>0</v>
      </c>
    </row>
    <row r="715" ht="15.0" hidden="1" customHeight="1">
      <c r="A715" s="15"/>
      <c r="B715" s="17"/>
      <c r="C715" s="17"/>
      <c r="D715" s="17"/>
      <c r="E715" s="17"/>
      <c r="F715" s="17"/>
      <c r="G715" s="18"/>
      <c r="H715" s="15"/>
      <c r="I715" s="15"/>
      <c r="J715" s="24" t="str">
        <f t="array" ref="J715">IF($A715="","",IFERROR(_xlfn.XLOOKUP($A715,'Movimentação'!$B$7:$B$1006,'Movimentação'!$E$7:$E$1006,"",0,-1),""))</f>
        <v/>
      </c>
      <c r="K715" s="24" t="str">
        <f t="array" ref="K715">IF($A715="","",IFERROR(_xlfn.XLOOKUP($A715,'Movimentação'!$B$7:$B$1006,'Movimentação'!$G$7:$G$1006,"",0,-1),""))</f>
        <v/>
      </c>
      <c r="L715" s="24" t="str">
        <f t="shared" si="3"/>
        <v/>
      </c>
      <c r="M715" s="17"/>
      <c r="N715" s="30" t="str">
        <f t="array" ref="N715">IF($A715="","",IFERROR(IF(OR($L715="BAIXADO",$L715="FURTADO"),0,INDEX(Listas!$J$2:$J$40,MATCH($B715,Listas!$I$2:$I$40,0))),""))</f>
        <v/>
      </c>
      <c r="P715" s="31" t="str">
        <f t="array" ref="P715">IF($A715="","",IFERROR(_xlfn.XLOOKUP($A715,'Movimentação'!$B$7:$B$1006,'Movimentação'!$F$7:$F$1006,"",0,-1),""))</f>
        <v/>
      </c>
      <c r="Q715" s="31">
        <f>IF(COUNTIFS('Manutenção'!$B$7:$B$1006,$A715,'Manutenção'!$H$7:$H$1006,"EM CONSERTO")&gt;0,1,0)</f>
        <v>0</v>
      </c>
    </row>
    <row r="716" ht="15.0" hidden="1" customHeight="1">
      <c r="A716" s="15"/>
      <c r="B716" s="17"/>
      <c r="C716" s="17"/>
      <c r="D716" s="17"/>
      <c r="E716" s="17"/>
      <c r="F716" s="17"/>
      <c r="G716" s="18"/>
      <c r="H716" s="15"/>
      <c r="I716" s="15"/>
      <c r="J716" s="24" t="str">
        <f t="array" ref="J716">IF($A716="","",IFERROR(_xlfn.XLOOKUP($A716,'Movimentação'!$B$7:$B$1006,'Movimentação'!$E$7:$E$1006,"",0,-1),""))</f>
        <v/>
      </c>
      <c r="K716" s="24" t="str">
        <f t="array" ref="K716">IF($A716="","",IFERROR(_xlfn.XLOOKUP($A716,'Movimentação'!$B$7:$B$1006,'Movimentação'!$G$7:$G$1006,"",0,-1),""))</f>
        <v/>
      </c>
      <c r="L716" s="24" t="str">
        <f t="shared" si="3"/>
        <v/>
      </c>
      <c r="M716" s="17"/>
      <c r="N716" s="30" t="str">
        <f t="array" ref="N716">IF($A716="","",IFERROR(IF(OR($L716="BAIXADO",$L716="FURTADO"),0,INDEX(Listas!$J$2:$J$40,MATCH($B716,Listas!$I$2:$I$40,0))),""))</f>
        <v/>
      </c>
      <c r="P716" s="31" t="str">
        <f t="array" ref="P716">IF($A716="","",IFERROR(_xlfn.XLOOKUP($A716,'Movimentação'!$B$7:$B$1006,'Movimentação'!$F$7:$F$1006,"",0,-1),""))</f>
        <v/>
      </c>
      <c r="Q716" s="31">
        <f>IF(COUNTIFS('Manutenção'!$B$7:$B$1006,$A716,'Manutenção'!$H$7:$H$1006,"EM CONSERTO")&gt;0,1,0)</f>
        <v>0</v>
      </c>
    </row>
    <row r="717" ht="15.0" hidden="1" customHeight="1">
      <c r="A717" s="15"/>
      <c r="B717" s="17"/>
      <c r="C717" s="17"/>
      <c r="D717" s="17"/>
      <c r="E717" s="17"/>
      <c r="F717" s="17"/>
      <c r="G717" s="18"/>
      <c r="H717" s="15"/>
      <c r="I717" s="15"/>
      <c r="J717" s="24" t="str">
        <f t="array" ref="J717">IF($A717="","",IFERROR(_xlfn.XLOOKUP($A717,'Movimentação'!$B$7:$B$1006,'Movimentação'!$E$7:$E$1006,"",0,-1),""))</f>
        <v/>
      </c>
      <c r="K717" s="24" t="str">
        <f t="array" ref="K717">IF($A717="","",IFERROR(_xlfn.XLOOKUP($A717,'Movimentação'!$B$7:$B$1006,'Movimentação'!$G$7:$G$1006,"",0,-1),""))</f>
        <v/>
      </c>
      <c r="L717" s="24" t="str">
        <f t="shared" si="3"/>
        <v/>
      </c>
      <c r="M717" s="17"/>
      <c r="N717" s="30" t="str">
        <f t="array" ref="N717">IF($A717="","",IFERROR(IF(OR($L717="BAIXADO",$L717="FURTADO"),0,INDEX(Listas!$J$2:$J$40,MATCH($B717,Listas!$I$2:$I$40,0))),""))</f>
        <v/>
      </c>
      <c r="P717" s="31" t="str">
        <f t="array" ref="P717">IF($A717="","",IFERROR(_xlfn.XLOOKUP($A717,'Movimentação'!$B$7:$B$1006,'Movimentação'!$F$7:$F$1006,"",0,-1),""))</f>
        <v/>
      </c>
      <c r="Q717" s="31">
        <f>IF(COUNTIFS('Manutenção'!$B$7:$B$1006,$A717,'Manutenção'!$H$7:$H$1006,"EM CONSERTO")&gt;0,1,0)</f>
        <v>0</v>
      </c>
    </row>
    <row r="718" ht="15.0" hidden="1" customHeight="1">
      <c r="A718" s="15"/>
      <c r="B718" s="17"/>
      <c r="C718" s="17"/>
      <c r="D718" s="17"/>
      <c r="E718" s="17"/>
      <c r="F718" s="17"/>
      <c r="G718" s="18"/>
      <c r="H718" s="15"/>
      <c r="I718" s="15"/>
      <c r="J718" s="24" t="str">
        <f t="array" ref="J718">IF($A718="","",IFERROR(_xlfn.XLOOKUP($A718,'Movimentação'!$B$7:$B$1006,'Movimentação'!$E$7:$E$1006,"",0,-1),""))</f>
        <v/>
      </c>
      <c r="K718" s="24" t="str">
        <f t="array" ref="K718">IF($A718="","",IFERROR(_xlfn.XLOOKUP($A718,'Movimentação'!$B$7:$B$1006,'Movimentação'!$G$7:$G$1006,"",0,-1),""))</f>
        <v/>
      </c>
      <c r="L718" s="24" t="str">
        <f t="shared" si="3"/>
        <v/>
      </c>
      <c r="M718" s="17"/>
      <c r="N718" s="30" t="str">
        <f t="array" ref="N718">IF($A718="","",IFERROR(IF(OR($L718="BAIXADO",$L718="FURTADO"),0,INDEX(Listas!$J$2:$J$40,MATCH($B718,Listas!$I$2:$I$40,0))),""))</f>
        <v/>
      </c>
      <c r="P718" s="31" t="str">
        <f t="array" ref="P718">IF($A718="","",IFERROR(_xlfn.XLOOKUP($A718,'Movimentação'!$B$7:$B$1006,'Movimentação'!$F$7:$F$1006,"",0,-1),""))</f>
        <v/>
      </c>
      <c r="Q718" s="31">
        <f>IF(COUNTIFS('Manutenção'!$B$7:$B$1006,$A718,'Manutenção'!$H$7:$H$1006,"EM CONSERTO")&gt;0,1,0)</f>
        <v>0</v>
      </c>
    </row>
    <row r="719" ht="15.0" hidden="1" customHeight="1">
      <c r="A719" s="15"/>
      <c r="B719" s="17"/>
      <c r="C719" s="17"/>
      <c r="D719" s="17"/>
      <c r="E719" s="17"/>
      <c r="F719" s="17"/>
      <c r="G719" s="18"/>
      <c r="H719" s="15"/>
      <c r="I719" s="15"/>
      <c r="J719" s="24" t="str">
        <f t="array" ref="J719">IF($A719="","",IFERROR(_xlfn.XLOOKUP($A719,'Movimentação'!$B$7:$B$1006,'Movimentação'!$E$7:$E$1006,"",0,-1),""))</f>
        <v/>
      </c>
      <c r="K719" s="24" t="str">
        <f t="array" ref="K719">IF($A719="","",IFERROR(_xlfn.XLOOKUP($A719,'Movimentação'!$B$7:$B$1006,'Movimentação'!$G$7:$G$1006,"",0,-1),""))</f>
        <v/>
      </c>
      <c r="L719" s="24" t="str">
        <f t="shared" si="3"/>
        <v/>
      </c>
      <c r="M719" s="17"/>
      <c r="N719" s="30" t="str">
        <f t="array" ref="N719">IF($A719="","",IFERROR(IF(OR($L719="BAIXADO",$L719="FURTADO"),0,INDEX(Listas!$J$2:$J$40,MATCH($B719,Listas!$I$2:$I$40,0))),""))</f>
        <v/>
      </c>
      <c r="P719" s="31" t="str">
        <f t="array" ref="P719">IF($A719="","",IFERROR(_xlfn.XLOOKUP($A719,'Movimentação'!$B$7:$B$1006,'Movimentação'!$F$7:$F$1006,"",0,-1),""))</f>
        <v/>
      </c>
      <c r="Q719" s="31">
        <f>IF(COUNTIFS('Manutenção'!$B$7:$B$1006,$A719,'Manutenção'!$H$7:$H$1006,"EM CONSERTO")&gt;0,1,0)</f>
        <v>0</v>
      </c>
    </row>
    <row r="720" ht="15.0" hidden="1" customHeight="1">
      <c r="A720" s="15"/>
      <c r="B720" s="17"/>
      <c r="C720" s="17"/>
      <c r="D720" s="17"/>
      <c r="E720" s="17"/>
      <c r="F720" s="17"/>
      <c r="G720" s="18"/>
      <c r="H720" s="15"/>
      <c r="I720" s="15"/>
      <c r="J720" s="24" t="str">
        <f t="array" ref="J720">IF($A720="","",IFERROR(_xlfn.XLOOKUP($A720,'Movimentação'!$B$7:$B$1006,'Movimentação'!$E$7:$E$1006,"",0,-1),""))</f>
        <v/>
      </c>
      <c r="K720" s="24" t="str">
        <f t="array" ref="K720">IF($A720="","",IFERROR(_xlfn.XLOOKUP($A720,'Movimentação'!$B$7:$B$1006,'Movimentação'!$G$7:$G$1006,"",0,-1),""))</f>
        <v/>
      </c>
      <c r="L720" s="24" t="str">
        <f t="shared" si="3"/>
        <v/>
      </c>
      <c r="M720" s="17"/>
      <c r="N720" s="30" t="str">
        <f t="array" ref="N720">IF($A720="","",IFERROR(IF(OR($L720="BAIXADO",$L720="FURTADO"),0,INDEX(Listas!$J$2:$J$40,MATCH($B720,Listas!$I$2:$I$40,0))),""))</f>
        <v/>
      </c>
      <c r="P720" s="31" t="str">
        <f t="array" ref="P720">IF($A720="","",IFERROR(_xlfn.XLOOKUP($A720,'Movimentação'!$B$7:$B$1006,'Movimentação'!$F$7:$F$1006,"",0,-1),""))</f>
        <v/>
      </c>
      <c r="Q720" s="31">
        <f>IF(COUNTIFS('Manutenção'!$B$7:$B$1006,$A720,'Manutenção'!$H$7:$H$1006,"EM CONSERTO")&gt;0,1,0)</f>
        <v>0</v>
      </c>
    </row>
    <row r="721" ht="15.0" hidden="1" customHeight="1">
      <c r="A721" s="15"/>
      <c r="B721" s="17"/>
      <c r="C721" s="17"/>
      <c r="D721" s="17"/>
      <c r="E721" s="17"/>
      <c r="F721" s="17"/>
      <c r="G721" s="18"/>
      <c r="H721" s="15"/>
      <c r="I721" s="15"/>
      <c r="J721" s="24" t="str">
        <f t="array" ref="J721">IF($A721="","",IFERROR(_xlfn.XLOOKUP($A721,'Movimentação'!$B$7:$B$1006,'Movimentação'!$E$7:$E$1006,"",0,-1),""))</f>
        <v/>
      </c>
      <c r="K721" s="24" t="str">
        <f t="array" ref="K721">IF($A721="","",IFERROR(_xlfn.XLOOKUP($A721,'Movimentação'!$B$7:$B$1006,'Movimentação'!$G$7:$G$1006,"",0,-1),""))</f>
        <v/>
      </c>
      <c r="L721" s="24" t="str">
        <f t="shared" si="3"/>
        <v/>
      </c>
      <c r="M721" s="17"/>
      <c r="N721" s="30" t="str">
        <f t="array" ref="N721">IF($A721="","",IFERROR(IF(OR($L721="BAIXADO",$L721="FURTADO"),0,INDEX(Listas!$J$2:$J$40,MATCH($B721,Listas!$I$2:$I$40,0))),""))</f>
        <v/>
      </c>
      <c r="P721" s="31" t="str">
        <f t="array" ref="P721">IF($A721="","",IFERROR(_xlfn.XLOOKUP($A721,'Movimentação'!$B$7:$B$1006,'Movimentação'!$F$7:$F$1006,"",0,-1),""))</f>
        <v/>
      </c>
      <c r="Q721" s="31">
        <f>IF(COUNTIFS('Manutenção'!$B$7:$B$1006,$A721,'Manutenção'!$H$7:$H$1006,"EM CONSERTO")&gt;0,1,0)</f>
        <v>0</v>
      </c>
    </row>
    <row r="722" ht="15.0" hidden="1" customHeight="1">
      <c r="A722" s="15"/>
      <c r="B722" s="17"/>
      <c r="C722" s="17"/>
      <c r="D722" s="17"/>
      <c r="E722" s="17"/>
      <c r="F722" s="17"/>
      <c r="G722" s="18"/>
      <c r="H722" s="15"/>
      <c r="I722" s="15"/>
      <c r="J722" s="24" t="str">
        <f t="array" ref="J722">IF($A722="","",IFERROR(_xlfn.XLOOKUP($A722,'Movimentação'!$B$7:$B$1006,'Movimentação'!$E$7:$E$1006,"",0,-1),""))</f>
        <v/>
      </c>
      <c r="K722" s="24" t="str">
        <f t="array" ref="K722">IF($A722="","",IFERROR(_xlfn.XLOOKUP($A722,'Movimentação'!$B$7:$B$1006,'Movimentação'!$G$7:$G$1006,"",0,-1),""))</f>
        <v/>
      </c>
      <c r="L722" s="24" t="str">
        <f t="shared" si="3"/>
        <v/>
      </c>
      <c r="M722" s="17"/>
      <c r="N722" s="30" t="str">
        <f t="array" ref="N722">IF($A722="","",IFERROR(IF(OR($L722="BAIXADO",$L722="FURTADO"),0,INDEX(Listas!$J$2:$J$40,MATCH($B722,Listas!$I$2:$I$40,0))),""))</f>
        <v/>
      </c>
      <c r="P722" s="31" t="str">
        <f t="array" ref="P722">IF($A722="","",IFERROR(_xlfn.XLOOKUP($A722,'Movimentação'!$B$7:$B$1006,'Movimentação'!$F$7:$F$1006,"",0,-1),""))</f>
        <v/>
      </c>
      <c r="Q722" s="31">
        <f>IF(COUNTIFS('Manutenção'!$B$7:$B$1006,$A722,'Manutenção'!$H$7:$H$1006,"EM CONSERTO")&gt;0,1,0)</f>
        <v>0</v>
      </c>
    </row>
    <row r="723" ht="15.0" hidden="1" customHeight="1">
      <c r="A723" s="15"/>
      <c r="B723" s="17"/>
      <c r="C723" s="17"/>
      <c r="D723" s="17"/>
      <c r="E723" s="17"/>
      <c r="F723" s="17"/>
      <c r="G723" s="18"/>
      <c r="H723" s="15"/>
      <c r="I723" s="15"/>
      <c r="J723" s="24" t="str">
        <f t="array" ref="J723">IF($A723="","",IFERROR(_xlfn.XLOOKUP($A723,'Movimentação'!$B$7:$B$1006,'Movimentação'!$E$7:$E$1006,"",0,-1),""))</f>
        <v/>
      </c>
      <c r="K723" s="24" t="str">
        <f t="array" ref="K723">IF($A723="","",IFERROR(_xlfn.XLOOKUP($A723,'Movimentação'!$B$7:$B$1006,'Movimentação'!$G$7:$G$1006,"",0,-1),""))</f>
        <v/>
      </c>
      <c r="L723" s="24" t="str">
        <f t="shared" si="3"/>
        <v/>
      </c>
      <c r="M723" s="17"/>
      <c r="N723" s="30" t="str">
        <f t="array" ref="N723">IF($A723="","",IFERROR(IF(OR($L723="BAIXADO",$L723="FURTADO"),0,INDEX(Listas!$J$2:$J$40,MATCH($B723,Listas!$I$2:$I$40,0))),""))</f>
        <v/>
      </c>
      <c r="P723" s="31" t="str">
        <f t="array" ref="P723">IF($A723="","",IFERROR(_xlfn.XLOOKUP($A723,'Movimentação'!$B$7:$B$1006,'Movimentação'!$F$7:$F$1006,"",0,-1),""))</f>
        <v/>
      </c>
      <c r="Q723" s="31">
        <f>IF(COUNTIFS('Manutenção'!$B$7:$B$1006,$A723,'Manutenção'!$H$7:$H$1006,"EM CONSERTO")&gt;0,1,0)</f>
        <v>0</v>
      </c>
    </row>
    <row r="724" ht="15.0" hidden="1" customHeight="1">
      <c r="A724" s="15"/>
      <c r="B724" s="17"/>
      <c r="C724" s="17"/>
      <c r="D724" s="17"/>
      <c r="E724" s="17"/>
      <c r="F724" s="17"/>
      <c r="G724" s="18"/>
      <c r="H724" s="15"/>
      <c r="I724" s="15"/>
      <c r="J724" s="24" t="str">
        <f t="array" ref="J724">IF($A724="","",IFERROR(_xlfn.XLOOKUP($A724,'Movimentação'!$B$7:$B$1006,'Movimentação'!$E$7:$E$1006,"",0,-1),""))</f>
        <v/>
      </c>
      <c r="K724" s="24" t="str">
        <f t="array" ref="K724">IF($A724="","",IFERROR(_xlfn.XLOOKUP($A724,'Movimentação'!$B$7:$B$1006,'Movimentação'!$G$7:$G$1006,"",0,-1),""))</f>
        <v/>
      </c>
      <c r="L724" s="24" t="str">
        <f t="shared" si="3"/>
        <v/>
      </c>
      <c r="M724" s="17"/>
      <c r="N724" s="30" t="str">
        <f t="array" ref="N724">IF($A724="","",IFERROR(IF(OR($L724="BAIXADO",$L724="FURTADO"),0,INDEX(Listas!$J$2:$J$40,MATCH($B724,Listas!$I$2:$I$40,0))),""))</f>
        <v/>
      </c>
      <c r="P724" s="31" t="str">
        <f t="array" ref="P724">IF($A724="","",IFERROR(_xlfn.XLOOKUP($A724,'Movimentação'!$B$7:$B$1006,'Movimentação'!$F$7:$F$1006,"",0,-1),""))</f>
        <v/>
      </c>
      <c r="Q724" s="31">
        <f>IF(COUNTIFS('Manutenção'!$B$7:$B$1006,$A724,'Manutenção'!$H$7:$H$1006,"EM CONSERTO")&gt;0,1,0)</f>
        <v>0</v>
      </c>
    </row>
    <row r="725" ht="15.0" hidden="1" customHeight="1">
      <c r="A725" s="15"/>
      <c r="B725" s="17"/>
      <c r="C725" s="17"/>
      <c r="D725" s="17"/>
      <c r="E725" s="17"/>
      <c r="F725" s="17"/>
      <c r="G725" s="18"/>
      <c r="H725" s="15"/>
      <c r="I725" s="15"/>
      <c r="J725" s="24" t="str">
        <f t="array" ref="J725">IF($A725="","",IFERROR(_xlfn.XLOOKUP($A725,'Movimentação'!$B$7:$B$1006,'Movimentação'!$E$7:$E$1006,"",0,-1),""))</f>
        <v/>
      </c>
      <c r="K725" s="24" t="str">
        <f t="array" ref="K725">IF($A725="","",IFERROR(_xlfn.XLOOKUP($A725,'Movimentação'!$B$7:$B$1006,'Movimentação'!$G$7:$G$1006,"",0,-1),""))</f>
        <v/>
      </c>
      <c r="L725" s="24" t="str">
        <f t="shared" si="3"/>
        <v/>
      </c>
      <c r="M725" s="17"/>
      <c r="N725" s="30" t="str">
        <f t="array" ref="N725">IF($A725="","",IFERROR(IF(OR($L725="BAIXADO",$L725="FURTADO"),0,INDEX(Listas!$J$2:$J$40,MATCH($B725,Listas!$I$2:$I$40,0))),""))</f>
        <v/>
      </c>
      <c r="P725" s="31" t="str">
        <f t="array" ref="P725">IF($A725="","",IFERROR(_xlfn.XLOOKUP($A725,'Movimentação'!$B$7:$B$1006,'Movimentação'!$F$7:$F$1006,"",0,-1),""))</f>
        <v/>
      </c>
      <c r="Q725" s="31">
        <f>IF(COUNTIFS('Manutenção'!$B$7:$B$1006,$A725,'Manutenção'!$H$7:$H$1006,"EM CONSERTO")&gt;0,1,0)</f>
        <v>0</v>
      </c>
    </row>
    <row r="726" ht="15.0" hidden="1" customHeight="1">
      <c r="A726" s="15"/>
      <c r="B726" s="17"/>
      <c r="C726" s="17"/>
      <c r="D726" s="17"/>
      <c r="E726" s="17"/>
      <c r="F726" s="17"/>
      <c r="G726" s="18"/>
      <c r="H726" s="15"/>
      <c r="I726" s="15"/>
      <c r="J726" s="24" t="str">
        <f t="array" ref="J726">IF($A726="","",IFERROR(_xlfn.XLOOKUP($A726,'Movimentação'!$B$7:$B$1006,'Movimentação'!$E$7:$E$1006,"",0,-1),""))</f>
        <v/>
      </c>
      <c r="K726" s="24" t="str">
        <f t="array" ref="K726">IF($A726="","",IFERROR(_xlfn.XLOOKUP($A726,'Movimentação'!$B$7:$B$1006,'Movimentação'!$G$7:$G$1006,"",0,-1),""))</f>
        <v/>
      </c>
      <c r="L726" s="24" t="str">
        <f t="shared" si="3"/>
        <v/>
      </c>
      <c r="M726" s="17"/>
      <c r="N726" s="30" t="str">
        <f t="array" ref="N726">IF($A726="","",IFERROR(IF(OR($L726="BAIXADO",$L726="FURTADO"),0,INDEX(Listas!$J$2:$J$40,MATCH($B726,Listas!$I$2:$I$40,0))),""))</f>
        <v/>
      </c>
      <c r="P726" s="31" t="str">
        <f t="array" ref="P726">IF($A726="","",IFERROR(_xlfn.XLOOKUP($A726,'Movimentação'!$B$7:$B$1006,'Movimentação'!$F$7:$F$1006,"",0,-1),""))</f>
        <v/>
      </c>
      <c r="Q726" s="31">
        <f>IF(COUNTIFS('Manutenção'!$B$7:$B$1006,$A726,'Manutenção'!$H$7:$H$1006,"EM CONSERTO")&gt;0,1,0)</f>
        <v>0</v>
      </c>
    </row>
    <row r="727" ht="15.0" hidden="1" customHeight="1">
      <c r="A727" s="15"/>
      <c r="B727" s="17"/>
      <c r="C727" s="17"/>
      <c r="D727" s="17"/>
      <c r="E727" s="17"/>
      <c r="F727" s="17"/>
      <c r="G727" s="18"/>
      <c r="H727" s="15"/>
      <c r="I727" s="15"/>
      <c r="J727" s="24" t="str">
        <f t="array" ref="J727">IF($A727="","",IFERROR(_xlfn.XLOOKUP($A727,'Movimentação'!$B$7:$B$1006,'Movimentação'!$E$7:$E$1006,"",0,-1),""))</f>
        <v/>
      </c>
      <c r="K727" s="24" t="str">
        <f t="array" ref="K727">IF($A727="","",IFERROR(_xlfn.XLOOKUP($A727,'Movimentação'!$B$7:$B$1006,'Movimentação'!$G$7:$G$1006,"",0,-1),""))</f>
        <v/>
      </c>
      <c r="L727" s="24" t="str">
        <f t="shared" si="3"/>
        <v/>
      </c>
      <c r="M727" s="17"/>
      <c r="N727" s="30" t="str">
        <f t="array" ref="N727">IF($A727="","",IFERROR(IF(OR($L727="BAIXADO",$L727="FURTADO"),0,INDEX(Listas!$J$2:$J$40,MATCH($B727,Listas!$I$2:$I$40,0))),""))</f>
        <v/>
      </c>
      <c r="P727" s="31" t="str">
        <f t="array" ref="P727">IF($A727="","",IFERROR(_xlfn.XLOOKUP($A727,'Movimentação'!$B$7:$B$1006,'Movimentação'!$F$7:$F$1006,"",0,-1),""))</f>
        <v/>
      </c>
      <c r="Q727" s="31">
        <f>IF(COUNTIFS('Manutenção'!$B$7:$B$1006,$A727,'Manutenção'!$H$7:$H$1006,"EM CONSERTO")&gt;0,1,0)</f>
        <v>0</v>
      </c>
    </row>
    <row r="728" ht="15.0" hidden="1" customHeight="1">
      <c r="A728" s="15"/>
      <c r="B728" s="17"/>
      <c r="C728" s="17"/>
      <c r="D728" s="17"/>
      <c r="E728" s="17"/>
      <c r="F728" s="17"/>
      <c r="G728" s="18"/>
      <c r="H728" s="15"/>
      <c r="I728" s="15"/>
      <c r="J728" s="24" t="str">
        <f t="array" ref="J728">IF($A728="","",IFERROR(_xlfn.XLOOKUP($A728,'Movimentação'!$B$7:$B$1006,'Movimentação'!$E$7:$E$1006,"",0,-1),""))</f>
        <v/>
      </c>
      <c r="K728" s="24" t="str">
        <f t="array" ref="K728">IF($A728="","",IFERROR(_xlfn.XLOOKUP($A728,'Movimentação'!$B$7:$B$1006,'Movimentação'!$G$7:$G$1006,"",0,-1),""))</f>
        <v/>
      </c>
      <c r="L728" s="24" t="str">
        <f t="shared" si="3"/>
        <v/>
      </c>
      <c r="M728" s="17"/>
      <c r="N728" s="30" t="str">
        <f t="array" ref="N728">IF($A728="","",IFERROR(IF(OR($L728="BAIXADO",$L728="FURTADO"),0,INDEX(Listas!$J$2:$J$40,MATCH($B728,Listas!$I$2:$I$40,0))),""))</f>
        <v/>
      </c>
      <c r="P728" s="31" t="str">
        <f t="array" ref="P728">IF($A728="","",IFERROR(_xlfn.XLOOKUP($A728,'Movimentação'!$B$7:$B$1006,'Movimentação'!$F$7:$F$1006,"",0,-1),""))</f>
        <v/>
      </c>
      <c r="Q728" s="31">
        <f>IF(COUNTIFS('Manutenção'!$B$7:$B$1006,$A728,'Manutenção'!$H$7:$H$1006,"EM CONSERTO")&gt;0,1,0)</f>
        <v>0</v>
      </c>
    </row>
    <row r="729" ht="15.0" hidden="1" customHeight="1">
      <c r="A729" s="15"/>
      <c r="B729" s="17"/>
      <c r="C729" s="17"/>
      <c r="D729" s="17"/>
      <c r="E729" s="17"/>
      <c r="F729" s="17"/>
      <c r="G729" s="18"/>
      <c r="H729" s="15"/>
      <c r="I729" s="15"/>
      <c r="J729" s="24" t="str">
        <f t="array" ref="J729">IF($A729="","",IFERROR(_xlfn.XLOOKUP($A729,'Movimentação'!$B$7:$B$1006,'Movimentação'!$E$7:$E$1006,"",0,-1),""))</f>
        <v/>
      </c>
      <c r="K729" s="24" t="str">
        <f t="array" ref="K729">IF($A729="","",IFERROR(_xlfn.XLOOKUP($A729,'Movimentação'!$B$7:$B$1006,'Movimentação'!$G$7:$G$1006,"",0,-1),""))</f>
        <v/>
      </c>
      <c r="L729" s="24" t="str">
        <f t="shared" si="3"/>
        <v/>
      </c>
      <c r="M729" s="17"/>
      <c r="N729" s="30" t="str">
        <f t="array" ref="N729">IF($A729="","",IFERROR(IF(OR($L729="BAIXADO",$L729="FURTADO"),0,INDEX(Listas!$J$2:$J$40,MATCH($B729,Listas!$I$2:$I$40,0))),""))</f>
        <v/>
      </c>
      <c r="P729" s="31" t="str">
        <f t="array" ref="P729">IF($A729="","",IFERROR(_xlfn.XLOOKUP($A729,'Movimentação'!$B$7:$B$1006,'Movimentação'!$F$7:$F$1006,"",0,-1),""))</f>
        <v/>
      </c>
      <c r="Q729" s="31">
        <f>IF(COUNTIFS('Manutenção'!$B$7:$B$1006,$A729,'Manutenção'!$H$7:$H$1006,"EM CONSERTO")&gt;0,1,0)</f>
        <v>0</v>
      </c>
    </row>
    <row r="730" ht="15.0" hidden="1" customHeight="1">
      <c r="A730" s="15"/>
      <c r="B730" s="17"/>
      <c r="C730" s="17"/>
      <c r="D730" s="17"/>
      <c r="E730" s="17"/>
      <c r="F730" s="17"/>
      <c r="G730" s="18"/>
      <c r="H730" s="15"/>
      <c r="I730" s="15"/>
      <c r="J730" s="24" t="str">
        <f t="array" ref="J730">IF($A730="","",IFERROR(_xlfn.XLOOKUP($A730,'Movimentação'!$B$7:$B$1006,'Movimentação'!$E$7:$E$1006,"",0,-1),""))</f>
        <v/>
      </c>
      <c r="K730" s="24" t="str">
        <f t="array" ref="K730">IF($A730="","",IFERROR(_xlfn.XLOOKUP($A730,'Movimentação'!$B$7:$B$1006,'Movimentação'!$G$7:$G$1006,"",0,-1),""))</f>
        <v/>
      </c>
      <c r="L730" s="24" t="str">
        <f t="shared" si="3"/>
        <v/>
      </c>
      <c r="M730" s="17"/>
      <c r="N730" s="30" t="str">
        <f t="array" ref="N730">IF($A730="","",IFERROR(IF(OR($L730="BAIXADO",$L730="FURTADO"),0,INDEX(Listas!$J$2:$J$40,MATCH($B730,Listas!$I$2:$I$40,0))),""))</f>
        <v/>
      </c>
      <c r="P730" s="31" t="str">
        <f t="array" ref="P730">IF($A730="","",IFERROR(_xlfn.XLOOKUP($A730,'Movimentação'!$B$7:$B$1006,'Movimentação'!$F$7:$F$1006,"",0,-1),""))</f>
        <v/>
      </c>
      <c r="Q730" s="31">
        <f>IF(COUNTIFS('Manutenção'!$B$7:$B$1006,$A730,'Manutenção'!$H$7:$H$1006,"EM CONSERTO")&gt;0,1,0)</f>
        <v>0</v>
      </c>
    </row>
    <row r="731" ht="15.0" hidden="1" customHeight="1">
      <c r="A731" s="15"/>
      <c r="B731" s="17"/>
      <c r="C731" s="17"/>
      <c r="D731" s="17"/>
      <c r="E731" s="17"/>
      <c r="F731" s="17"/>
      <c r="G731" s="18"/>
      <c r="H731" s="15"/>
      <c r="I731" s="15"/>
      <c r="J731" s="24" t="str">
        <f t="array" ref="J731">IF($A731="","",IFERROR(_xlfn.XLOOKUP($A731,'Movimentação'!$B$7:$B$1006,'Movimentação'!$E$7:$E$1006,"",0,-1),""))</f>
        <v/>
      </c>
      <c r="K731" s="24" t="str">
        <f t="array" ref="K731">IF($A731="","",IFERROR(_xlfn.XLOOKUP($A731,'Movimentação'!$B$7:$B$1006,'Movimentação'!$G$7:$G$1006,"",0,-1),""))</f>
        <v/>
      </c>
      <c r="L731" s="24" t="str">
        <f t="shared" si="3"/>
        <v/>
      </c>
      <c r="M731" s="17"/>
      <c r="N731" s="30" t="str">
        <f t="array" ref="N731">IF($A731="","",IFERROR(IF(OR($L731="BAIXADO",$L731="FURTADO"),0,INDEX(Listas!$J$2:$J$40,MATCH($B731,Listas!$I$2:$I$40,0))),""))</f>
        <v/>
      </c>
      <c r="P731" s="31" t="str">
        <f t="array" ref="P731">IF($A731="","",IFERROR(_xlfn.XLOOKUP($A731,'Movimentação'!$B$7:$B$1006,'Movimentação'!$F$7:$F$1006,"",0,-1),""))</f>
        <v/>
      </c>
      <c r="Q731" s="31">
        <f>IF(COUNTIFS('Manutenção'!$B$7:$B$1006,$A731,'Manutenção'!$H$7:$H$1006,"EM CONSERTO")&gt;0,1,0)</f>
        <v>0</v>
      </c>
    </row>
    <row r="732" ht="15.0" hidden="1" customHeight="1">
      <c r="A732" s="15"/>
      <c r="B732" s="17"/>
      <c r="C732" s="17"/>
      <c r="D732" s="17"/>
      <c r="E732" s="17"/>
      <c r="F732" s="17"/>
      <c r="G732" s="18"/>
      <c r="H732" s="15"/>
      <c r="I732" s="15"/>
      <c r="J732" s="24" t="str">
        <f t="array" ref="J732">IF($A732="","",IFERROR(_xlfn.XLOOKUP($A732,'Movimentação'!$B$7:$B$1006,'Movimentação'!$E$7:$E$1006,"",0,-1),""))</f>
        <v/>
      </c>
      <c r="K732" s="24" t="str">
        <f t="array" ref="K732">IF($A732="","",IFERROR(_xlfn.XLOOKUP($A732,'Movimentação'!$B$7:$B$1006,'Movimentação'!$G$7:$G$1006,"",0,-1),""))</f>
        <v/>
      </c>
      <c r="L732" s="24" t="str">
        <f t="shared" si="3"/>
        <v/>
      </c>
      <c r="M732" s="17"/>
      <c r="N732" s="30" t="str">
        <f t="array" ref="N732">IF($A732="","",IFERROR(IF(OR($L732="BAIXADO",$L732="FURTADO"),0,INDEX(Listas!$J$2:$J$40,MATCH($B732,Listas!$I$2:$I$40,0))),""))</f>
        <v/>
      </c>
      <c r="P732" s="31" t="str">
        <f t="array" ref="P732">IF($A732="","",IFERROR(_xlfn.XLOOKUP($A732,'Movimentação'!$B$7:$B$1006,'Movimentação'!$F$7:$F$1006,"",0,-1),""))</f>
        <v/>
      </c>
      <c r="Q732" s="31">
        <f>IF(COUNTIFS('Manutenção'!$B$7:$B$1006,$A732,'Manutenção'!$H$7:$H$1006,"EM CONSERTO")&gt;0,1,0)</f>
        <v>0</v>
      </c>
    </row>
    <row r="733" ht="15.0" hidden="1" customHeight="1">
      <c r="A733" s="15"/>
      <c r="B733" s="17"/>
      <c r="C733" s="17"/>
      <c r="D733" s="17"/>
      <c r="E733" s="17"/>
      <c r="F733" s="17"/>
      <c r="G733" s="18"/>
      <c r="H733" s="15"/>
      <c r="I733" s="15"/>
      <c r="J733" s="24" t="str">
        <f t="array" ref="J733">IF($A733="","",IFERROR(_xlfn.XLOOKUP($A733,'Movimentação'!$B$7:$B$1006,'Movimentação'!$E$7:$E$1006,"",0,-1),""))</f>
        <v/>
      </c>
      <c r="K733" s="24" t="str">
        <f t="array" ref="K733">IF($A733="","",IFERROR(_xlfn.XLOOKUP($A733,'Movimentação'!$B$7:$B$1006,'Movimentação'!$G$7:$G$1006,"",0,-1),""))</f>
        <v/>
      </c>
      <c r="L733" s="24" t="str">
        <f t="shared" si="3"/>
        <v/>
      </c>
      <c r="M733" s="17"/>
      <c r="N733" s="30" t="str">
        <f t="array" ref="N733">IF($A733="","",IFERROR(IF(OR($L733="BAIXADO",$L733="FURTADO"),0,INDEX(Listas!$J$2:$J$40,MATCH($B733,Listas!$I$2:$I$40,0))),""))</f>
        <v/>
      </c>
      <c r="P733" s="31" t="str">
        <f t="array" ref="P733">IF($A733="","",IFERROR(_xlfn.XLOOKUP($A733,'Movimentação'!$B$7:$B$1006,'Movimentação'!$F$7:$F$1006,"",0,-1),""))</f>
        <v/>
      </c>
      <c r="Q733" s="31">
        <f>IF(COUNTIFS('Manutenção'!$B$7:$B$1006,$A733,'Manutenção'!$H$7:$H$1006,"EM CONSERTO")&gt;0,1,0)</f>
        <v>0</v>
      </c>
    </row>
    <row r="734" ht="15.0" hidden="1" customHeight="1">
      <c r="A734" s="15"/>
      <c r="B734" s="17"/>
      <c r="C734" s="17"/>
      <c r="D734" s="17"/>
      <c r="E734" s="17"/>
      <c r="F734" s="17"/>
      <c r="G734" s="18"/>
      <c r="H734" s="15"/>
      <c r="I734" s="15"/>
      <c r="J734" s="24" t="str">
        <f t="array" ref="J734">IF($A734="","",IFERROR(_xlfn.XLOOKUP($A734,'Movimentação'!$B$7:$B$1006,'Movimentação'!$E$7:$E$1006,"",0,-1),""))</f>
        <v/>
      </c>
      <c r="K734" s="24" t="str">
        <f t="array" ref="K734">IF($A734="","",IFERROR(_xlfn.XLOOKUP($A734,'Movimentação'!$B$7:$B$1006,'Movimentação'!$G$7:$G$1006,"",0,-1),""))</f>
        <v/>
      </c>
      <c r="L734" s="24" t="str">
        <f t="shared" si="3"/>
        <v/>
      </c>
      <c r="M734" s="17"/>
      <c r="N734" s="30" t="str">
        <f t="array" ref="N734">IF($A734="","",IFERROR(IF(OR($L734="BAIXADO",$L734="FURTADO"),0,INDEX(Listas!$J$2:$J$40,MATCH($B734,Listas!$I$2:$I$40,0))),""))</f>
        <v/>
      </c>
      <c r="P734" s="31" t="str">
        <f t="array" ref="P734">IF($A734="","",IFERROR(_xlfn.XLOOKUP($A734,'Movimentação'!$B$7:$B$1006,'Movimentação'!$F$7:$F$1006,"",0,-1),""))</f>
        <v/>
      </c>
      <c r="Q734" s="31">
        <f>IF(COUNTIFS('Manutenção'!$B$7:$B$1006,$A734,'Manutenção'!$H$7:$H$1006,"EM CONSERTO")&gt;0,1,0)</f>
        <v>0</v>
      </c>
    </row>
    <row r="735" ht="15.0" hidden="1" customHeight="1">
      <c r="A735" s="15"/>
      <c r="B735" s="17"/>
      <c r="C735" s="17"/>
      <c r="D735" s="17"/>
      <c r="E735" s="17"/>
      <c r="F735" s="17"/>
      <c r="G735" s="18"/>
      <c r="H735" s="15"/>
      <c r="I735" s="15"/>
      <c r="J735" s="24" t="str">
        <f t="array" ref="J735">IF($A735="","",IFERROR(_xlfn.XLOOKUP($A735,'Movimentação'!$B$7:$B$1006,'Movimentação'!$E$7:$E$1006,"",0,-1),""))</f>
        <v/>
      </c>
      <c r="K735" s="24" t="str">
        <f t="array" ref="K735">IF($A735="","",IFERROR(_xlfn.XLOOKUP($A735,'Movimentação'!$B$7:$B$1006,'Movimentação'!$G$7:$G$1006,"",0,-1),""))</f>
        <v/>
      </c>
      <c r="L735" s="24" t="str">
        <f t="shared" si="3"/>
        <v/>
      </c>
      <c r="M735" s="17"/>
      <c r="N735" s="30" t="str">
        <f t="array" ref="N735">IF($A735="","",IFERROR(IF(OR($L735="BAIXADO",$L735="FURTADO"),0,INDEX(Listas!$J$2:$J$40,MATCH($B735,Listas!$I$2:$I$40,0))),""))</f>
        <v/>
      </c>
      <c r="P735" s="31" t="str">
        <f t="array" ref="P735">IF($A735="","",IFERROR(_xlfn.XLOOKUP($A735,'Movimentação'!$B$7:$B$1006,'Movimentação'!$F$7:$F$1006,"",0,-1),""))</f>
        <v/>
      </c>
      <c r="Q735" s="31">
        <f>IF(COUNTIFS('Manutenção'!$B$7:$B$1006,$A735,'Manutenção'!$H$7:$H$1006,"EM CONSERTO")&gt;0,1,0)</f>
        <v>0</v>
      </c>
    </row>
    <row r="736" ht="15.0" hidden="1" customHeight="1">
      <c r="A736" s="15"/>
      <c r="B736" s="17"/>
      <c r="C736" s="17"/>
      <c r="D736" s="17"/>
      <c r="E736" s="17"/>
      <c r="F736" s="17"/>
      <c r="G736" s="18"/>
      <c r="H736" s="15"/>
      <c r="I736" s="15"/>
      <c r="J736" s="24" t="str">
        <f t="array" ref="J736">IF($A736="","",IFERROR(_xlfn.XLOOKUP($A736,'Movimentação'!$B$7:$B$1006,'Movimentação'!$E$7:$E$1006,"",0,-1),""))</f>
        <v/>
      </c>
      <c r="K736" s="24" t="str">
        <f t="array" ref="K736">IF($A736="","",IFERROR(_xlfn.XLOOKUP($A736,'Movimentação'!$B$7:$B$1006,'Movimentação'!$G$7:$G$1006,"",0,-1),""))</f>
        <v/>
      </c>
      <c r="L736" s="24" t="str">
        <f t="shared" si="3"/>
        <v/>
      </c>
      <c r="M736" s="17"/>
      <c r="N736" s="30" t="str">
        <f t="array" ref="N736">IF($A736="","",IFERROR(IF(OR($L736="BAIXADO",$L736="FURTADO"),0,INDEX(Listas!$J$2:$J$40,MATCH($B736,Listas!$I$2:$I$40,0))),""))</f>
        <v/>
      </c>
      <c r="P736" s="31" t="str">
        <f t="array" ref="P736">IF($A736="","",IFERROR(_xlfn.XLOOKUP($A736,'Movimentação'!$B$7:$B$1006,'Movimentação'!$F$7:$F$1006,"",0,-1),""))</f>
        <v/>
      </c>
      <c r="Q736" s="31">
        <f>IF(COUNTIFS('Manutenção'!$B$7:$B$1006,$A736,'Manutenção'!$H$7:$H$1006,"EM CONSERTO")&gt;0,1,0)</f>
        <v>0</v>
      </c>
    </row>
    <row r="737" ht="15.0" hidden="1" customHeight="1">
      <c r="A737" s="15"/>
      <c r="B737" s="17"/>
      <c r="C737" s="17"/>
      <c r="D737" s="17"/>
      <c r="E737" s="17"/>
      <c r="F737" s="17"/>
      <c r="G737" s="18"/>
      <c r="H737" s="15"/>
      <c r="I737" s="15"/>
      <c r="J737" s="24" t="str">
        <f t="array" ref="J737">IF($A737="","",IFERROR(_xlfn.XLOOKUP($A737,'Movimentação'!$B$7:$B$1006,'Movimentação'!$E$7:$E$1006,"",0,-1),""))</f>
        <v/>
      </c>
      <c r="K737" s="24" t="str">
        <f t="array" ref="K737">IF($A737="","",IFERROR(_xlfn.XLOOKUP($A737,'Movimentação'!$B$7:$B$1006,'Movimentação'!$G$7:$G$1006,"",0,-1),""))</f>
        <v/>
      </c>
      <c r="L737" s="24" t="str">
        <f t="shared" si="3"/>
        <v/>
      </c>
      <c r="M737" s="17"/>
      <c r="N737" s="30" t="str">
        <f t="array" ref="N737">IF($A737="","",IFERROR(IF(OR($L737="BAIXADO",$L737="FURTADO"),0,INDEX(Listas!$J$2:$J$40,MATCH($B737,Listas!$I$2:$I$40,0))),""))</f>
        <v/>
      </c>
      <c r="P737" s="31" t="str">
        <f t="array" ref="P737">IF($A737="","",IFERROR(_xlfn.XLOOKUP($A737,'Movimentação'!$B$7:$B$1006,'Movimentação'!$F$7:$F$1006,"",0,-1),""))</f>
        <v/>
      </c>
      <c r="Q737" s="31">
        <f>IF(COUNTIFS('Manutenção'!$B$7:$B$1006,$A737,'Manutenção'!$H$7:$H$1006,"EM CONSERTO")&gt;0,1,0)</f>
        <v>0</v>
      </c>
    </row>
    <row r="738" ht="15.0" hidden="1" customHeight="1">
      <c r="A738" s="15"/>
      <c r="B738" s="17"/>
      <c r="C738" s="17"/>
      <c r="D738" s="17"/>
      <c r="E738" s="17"/>
      <c r="F738" s="17"/>
      <c r="G738" s="18"/>
      <c r="H738" s="15"/>
      <c r="I738" s="15"/>
      <c r="J738" s="24" t="str">
        <f t="array" ref="J738">IF($A738="","",IFERROR(_xlfn.XLOOKUP($A738,'Movimentação'!$B$7:$B$1006,'Movimentação'!$E$7:$E$1006,"",0,-1),""))</f>
        <v/>
      </c>
      <c r="K738" s="24" t="str">
        <f t="array" ref="K738">IF($A738="","",IFERROR(_xlfn.XLOOKUP($A738,'Movimentação'!$B$7:$B$1006,'Movimentação'!$G$7:$G$1006,"",0,-1),""))</f>
        <v/>
      </c>
      <c r="L738" s="24" t="str">
        <f t="shared" si="3"/>
        <v/>
      </c>
      <c r="M738" s="17"/>
      <c r="N738" s="30" t="str">
        <f t="array" ref="N738">IF($A738="","",IFERROR(IF(OR($L738="BAIXADO",$L738="FURTADO"),0,INDEX(Listas!$J$2:$J$40,MATCH($B738,Listas!$I$2:$I$40,0))),""))</f>
        <v/>
      </c>
      <c r="P738" s="31" t="str">
        <f t="array" ref="P738">IF($A738="","",IFERROR(_xlfn.XLOOKUP($A738,'Movimentação'!$B$7:$B$1006,'Movimentação'!$F$7:$F$1006,"",0,-1),""))</f>
        <v/>
      </c>
      <c r="Q738" s="31">
        <f>IF(COUNTIFS('Manutenção'!$B$7:$B$1006,$A738,'Manutenção'!$H$7:$H$1006,"EM CONSERTO")&gt;0,1,0)</f>
        <v>0</v>
      </c>
    </row>
    <row r="739" ht="15.0" hidden="1" customHeight="1">
      <c r="A739" s="15"/>
      <c r="B739" s="17"/>
      <c r="C739" s="17"/>
      <c r="D739" s="17"/>
      <c r="E739" s="17"/>
      <c r="F739" s="17"/>
      <c r="G739" s="18"/>
      <c r="H739" s="15"/>
      <c r="I739" s="15"/>
      <c r="J739" s="24" t="str">
        <f t="array" ref="J739">IF($A739="","",IFERROR(_xlfn.XLOOKUP($A739,'Movimentação'!$B$7:$B$1006,'Movimentação'!$E$7:$E$1006,"",0,-1),""))</f>
        <v/>
      </c>
      <c r="K739" s="24" t="str">
        <f t="array" ref="K739">IF($A739="","",IFERROR(_xlfn.XLOOKUP($A739,'Movimentação'!$B$7:$B$1006,'Movimentação'!$G$7:$G$1006,"",0,-1),""))</f>
        <v/>
      </c>
      <c r="L739" s="24" t="str">
        <f t="shared" si="3"/>
        <v/>
      </c>
      <c r="M739" s="17"/>
      <c r="N739" s="30" t="str">
        <f t="array" ref="N739">IF($A739="","",IFERROR(IF(OR($L739="BAIXADO",$L739="FURTADO"),0,INDEX(Listas!$J$2:$J$40,MATCH($B739,Listas!$I$2:$I$40,0))),""))</f>
        <v/>
      </c>
      <c r="P739" s="31" t="str">
        <f t="array" ref="P739">IF($A739="","",IFERROR(_xlfn.XLOOKUP($A739,'Movimentação'!$B$7:$B$1006,'Movimentação'!$F$7:$F$1006,"",0,-1),""))</f>
        <v/>
      </c>
      <c r="Q739" s="31">
        <f>IF(COUNTIFS('Manutenção'!$B$7:$B$1006,$A739,'Manutenção'!$H$7:$H$1006,"EM CONSERTO")&gt;0,1,0)</f>
        <v>0</v>
      </c>
    </row>
    <row r="740" ht="15.0" hidden="1" customHeight="1">
      <c r="A740" s="15"/>
      <c r="B740" s="17"/>
      <c r="C740" s="17"/>
      <c r="D740" s="17"/>
      <c r="E740" s="17"/>
      <c r="F740" s="17"/>
      <c r="G740" s="18"/>
      <c r="H740" s="15"/>
      <c r="I740" s="15"/>
      <c r="J740" s="24" t="str">
        <f t="array" ref="J740">IF($A740="","",IFERROR(_xlfn.XLOOKUP($A740,'Movimentação'!$B$7:$B$1006,'Movimentação'!$E$7:$E$1006,"",0,-1),""))</f>
        <v/>
      </c>
      <c r="K740" s="24" t="str">
        <f t="array" ref="K740">IF($A740="","",IFERROR(_xlfn.XLOOKUP($A740,'Movimentação'!$B$7:$B$1006,'Movimentação'!$G$7:$G$1006,"",0,-1),""))</f>
        <v/>
      </c>
      <c r="L740" s="24" t="str">
        <f t="shared" si="3"/>
        <v/>
      </c>
      <c r="M740" s="17"/>
      <c r="N740" s="30" t="str">
        <f t="array" ref="N740">IF($A740="","",IFERROR(IF(OR($L740="BAIXADO",$L740="FURTADO"),0,INDEX(Listas!$J$2:$J$40,MATCH($B740,Listas!$I$2:$I$40,0))),""))</f>
        <v/>
      </c>
      <c r="P740" s="31" t="str">
        <f t="array" ref="P740">IF($A740="","",IFERROR(_xlfn.XLOOKUP($A740,'Movimentação'!$B$7:$B$1006,'Movimentação'!$F$7:$F$1006,"",0,-1),""))</f>
        <v/>
      </c>
      <c r="Q740" s="31">
        <f>IF(COUNTIFS('Manutenção'!$B$7:$B$1006,$A740,'Manutenção'!$H$7:$H$1006,"EM CONSERTO")&gt;0,1,0)</f>
        <v>0</v>
      </c>
    </row>
    <row r="741" ht="15.0" hidden="1" customHeight="1">
      <c r="A741" s="15"/>
      <c r="B741" s="17"/>
      <c r="C741" s="17"/>
      <c r="D741" s="17"/>
      <c r="E741" s="17"/>
      <c r="F741" s="17"/>
      <c r="G741" s="18"/>
      <c r="H741" s="15"/>
      <c r="I741" s="15"/>
      <c r="J741" s="24" t="str">
        <f t="array" ref="J741">IF($A741="","",IFERROR(_xlfn.XLOOKUP($A741,'Movimentação'!$B$7:$B$1006,'Movimentação'!$E$7:$E$1006,"",0,-1),""))</f>
        <v/>
      </c>
      <c r="K741" s="24" t="str">
        <f t="array" ref="K741">IF($A741="","",IFERROR(_xlfn.XLOOKUP($A741,'Movimentação'!$B$7:$B$1006,'Movimentação'!$G$7:$G$1006,"",0,-1),""))</f>
        <v/>
      </c>
      <c r="L741" s="24" t="str">
        <f t="shared" si="3"/>
        <v/>
      </c>
      <c r="M741" s="17"/>
      <c r="N741" s="30" t="str">
        <f t="array" ref="N741">IF($A741="","",IFERROR(IF(OR($L741="BAIXADO",$L741="FURTADO"),0,INDEX(Listas!$J$2:$J$40,MATCH($B741,Listas!$I$2:$I$40,0))),""))</f>
        <v/>
      </c>
      <c r="P741" s="31" t="str">
        <f t="array" ref="P741">IF($A741="","",IFERROR(_xlfn.XLOOKUP($A741,'Movimentação'!$B$7:$B$1006,'Movimentação'!$F$7:$F$1006,"",0,-1),""))</f>
        <v/>
      </c>
      <c r="Q741" s="31">
        <f>IF(COUNTIFS('Manutenção'!$B$7:$B$1006,$A741,'Manutenção'!$H$7:$H$1006,"EM CONSERTO")&gt;0,1,0)</f>
        <v>0</v>
      </c>
    </row>
    <row r="742" ht="15.0" hidden="1" customHeight="1">
      <c r="A742" s="15"/>
      <c r="B742" s="17"/>
      <c r="C742" s="17"/>
      <c r="D742" s="17"/>
      <c r="E742" s="17"/>
      <c r="F742" s="17"/>
      <c r="G742" s="18"/>
      <c r="H742" s="15"/>
      <c r="I742" s="15"/>
      <c r="J742" s="24" t="str">
        <f t="array" ref="J742">IF($A742="","",IFERROR(_xlfn.XLOOKUP($A742,'Movimentação'!$B$7:$B$1006,'Movimentação'!$E$7:$E$1006,"",0,-1),""))</f>
        <v/>
      </c>
      <c r="K742" s="24" t="str">
        <f t="array" ref="K742">IF($A742="","",IFERROR(_xlfn.XLOOKUP($A742,'Movimentação'!$B$7:$B$1006,'Movimentação'!$G$7:$G$1006,"",0,-1),""))</f>
        <v/>
      </c>
      <c r="L742" s="24" t="str">
        <f t="shared" si="3"/>
        <v/>
      </c>
      <c r="M742" s="17"/>
      <c r="N742" s="30" t="str">
        <f t="array" ref="N742">IF($A742="","",IFERROR(IF(OR($L742="BAIXADO",$L742="FURTADO"),0,INDEX(Listas!$J$2:$J$40,MATCH($B742,Listas!$I$2:$I$40,0))),""))</f>
        <v/>
      </c>
      <c r="P742" s="31" t="str">
        <f t="array" ref="P742">IF($A742="","",IFERROR(_xlfn.XLOOKUP($A742,'Movimentação'!$B$7:$B$1006,'Movimentação'!$F$7:$F$1006,"",0,-1),""))</f>
        <v/>
      </c>
      <c r="Q742" s="31">
        <f>IF(COUNTIFS('Manutenção'!$B$7:$B$1006,$A742,'Manutenção'!$H$7:$H$1006,"EM CONSERTO")&gt;0,1,0)</f>
        <v>0</v>
      </c>
    </row>
    <row r="743" ht="15.0" hidden="1" customHeight="1">
      <c r="A743" s="15"/>
      <c r="B743" s="17"/>
      <c r="C743" s="17"/>
      <c r="D743" s="17"/>
      <c r="E743" s="17"/>
      <c r="F743" s="17"/>
      <c r="G743" s="18"/>
      <c r="H743" s="15"/>
      <c r="I743" s="15"/>
      <c r="J743" s="24" t="str">
        <f t="array" ref="J743">IF($A743="","",IFERROR(_xlfn.XLOOKUP($A743,'Movimentação'!$B$7:$B$1006,'Movimentação'!$E$7:$E$1006,"",0,-1),""))</f>
        <v/>
      </c>
      <c r="K743" s="24" t="str">
        <f t="array" ref="K743">IF($A743="","",IFERROR(_xlfn.XLOOKUP($A743,'Movimentação'!$B$7:$B$1006,'Movimentação'!$G$7:$G$1006,"",0,-1),""))</f>
        <v/>
      </c>
      <c r="L743" s="24" t="str">
        <f t="shared" si="3"/>
        <v/>
      </c>
      <c r="M743" s="17"/>
      <c r="N743" s="30" t="str">
        <f t="array" ref="N743">IF($A743="","",IFERROR(IF(OR($L743="BAIXADO",$L743="FURTADO"),0,INDEX(Listas!$J$2:$J$40,MATCH($B743,Listas!$I$2:$I$40,0))),""))</f>
        <v/>
      </c>
      <c r="P743" s="31" t="str">
        <f t="array" ref="P743">IF($A743="","",IFERROR(_xlfn.XLOOKUP($A743,'Movimentação'!$B$7:$B$1006,'Movimentação'!$F$7:$F$1006,"",0,-1),""))</f>
        <v/>
      </c>
      <c r="Q743" s="31">
        <f>IF(COUNTIFS('Manutenção'!$B$7:$B$1006,$A743,'Manutenção'!$H$7:$H$1006,"EM CONSERTO")&gt;0,1,0)</f>
        <v>0</v>
      </c>
    </row>
    <row r="744" ht="15.0" hidden="1" customHeight="1">
      <c r="A744" s="15"/>
      <c r="B744" s="17"/>
      <c r="C744" s="17"/>
      <c r="D744" s="17"/>
      <c r="E744" s="17"/>
      <c r="F744" s="17"/>
      <c r="G744" s="18"/>
      <c r="H744" s="15"/>
      <c r="I744" s="15"/>
      <c r="J744" s="24" t="str">
        <f t="array" ref="J744">IF($A744="","",IFERROR(_xlfn.XLOOKUP($A744,'Movimentação'!$B$7:$B$1006,'Movimentação'!$E$7:$E$1006,"",0,-1),""))</f>
        <v/>
      </c>
      <c r="K744" s="24" t="str">
        <f t="array" ref="K744">IF($A744="","",IFERROR(_xlfn.XLOOKUP($A744,'Movimentação'!$B$7:$B$1006,'Movimentação'!$G$7:$G$1006,"",0,-1),""))</f>
        <v/>
      </c>
      <c r="L744" s="24" t="str">
        <f t="shared" si="3"/>
        <v/>
      </c>
      <c r="M744" s="17"/>
      <c r="N744" s="30" t="str">
        <f t="array" ref="N744">IF($A744="","",IFERROR(IF(OR($L744="BAIXADO",$L744="FURTADO"),0,INDEX(Listas!$J$2:$J$40,MATCH($B744,Listas!$I$2:$I$40,0))),""))</f>
        <v/>
      </c>
      <c r="P744" s="31" t="str">
        <f t="array" ref="P744">IF($A744="","",IFERROR(_xlfn.XLOOKUP($A744,'Movimentação'!$B$7:$B$1006,'Movimentação'!$F$7:$F$1006,"",0,-1),""))</f>
        <v/>
      </c>
      <c r="Q744" s="31">
        <f>IF(COUNTIFS('Manutenção'!$B$7:$B$1006,$A744,'Manutenção'!$H$7:$H$1006,"EM CONSERTO")&gt;0,1,0)</f>
        <v>0</v>
      </c>
    </row>
    <row r="745" ht="15.0" hidden="1" customHeight="1">
      <c r="A745" s="15"/>
      <c r="B745" s="17"/>
      <c r="C745" s="17"/>
      <c r="D745" s="17"/>
      <c r="E745" s="17"/>
      <c r="F745" s="17"/>
      <c r="G745" s="18"/>
      <c r="H745" s="15"/>
      <c r="I745" s="15"/>
      <c r="J745" s="24" t="str">
        <f t="array" ref="J745">IF($A745="","",IFERROR(_xlfn.XLOOKUP($A745,'Movimentação'!$B$7:$B$1006,'Movimentação'!$E$7:$E$1006,"",0,-1),""))</f>
        <v/>
      </c>
      <c r="K745" s="24" t="str">
        <f t="array" ref="K745">IF($A745="","",IFERROR(_xlfn.XLOOKUP($A745,'Movimentação'!$B$7:$B$1006,'Movimentação'!$G$7:$G$1006,"",0,-1),""))</f>
        <v/>
      </c>
      <c r="L745" s="24" t="str">
        <f t="shared" si="3"/>
        <v/>
      </c>
      <c r="M745" s="17"/>
      <c r="N745" s="30" t="str">
        <f t="array" ref="N745">IF($A745="","",IFERROR(IF(OR($L745="BAIXADO",$L745="FURTADO"),0,INDEX(Listas!$J$2:$J$40,MATCH($B745,Listas!$I$2:$I$40,0))),""))</f>
        <v/>
      </c>
      <c r="P745" s="31" t="str">
        <f t="array" ref="P745">IF($A745="","",IFERROR(_xlfn.XLOOKUP($A745,'Movimentação'!$B$7:$B$1006,'Movimentação'!$F$7:$F$1006,"",0,-1),""))</f>
        <v/>
      </c>
      <c r="Q745" s="31">
        <f>IF(COUNTIFS('Manutenção'!$B$7:$B$1006,$A745,'Manutenção'!$H$7:$H$1006,"EM CONSERTO")&gt;0,1,0)</f>
        <v>0</v>
      </c>
    </row>
    <row r="746" ht="15.0" hidden="1" customHeight="1">
      <c r="A746" s="15"/>
      <c r="B746" s="17"/>
      <c r="C746" s="17"/>
      <c r="D746" s="17"/>
      <c r="E746" s="17"/>
      <c r="F746" s="17"/>
      <c r="G746" s="18"/>
      <c r="H746" s="15"/>
      <c r="I746" s="15"/>
      <c r="J746" s="24" t="str">
        <f t="array" ref="J746">IF($A746="","",IFERROR(_xlfn.XLOOKUP($A746,'Movimentação'!$B$7:$B$1006,'Movimentação'!$E$7:$E$1006,"",0,-1),""))</f>
        <v/>
      </c>
      <c r="K746" s="24" t="str">
        <f t="array" ref="K746">IF($A746="","",IFERROR(_xlfn.XLOOKUP($A746,'Movimentação'!$B$7:$B$1006,'Movimentação'!$G$7:$G$1006,"",0,-1),""))</f>
        <v/>
      </c>
      <c r="L746" s="24" t="str">
        <f t="shared" si="3"/>
        <v/>
      </c>
      <c r="M746" s="17"/>
      <c r="N746" s="30" t="str">
        <f t="array" ref="N746">IF($A746="","",IFERROR(IF(OR($L746="BAIXADO",$L746="FURTADO"),0,INDEX(Listas!$J$2:$J$40,MATCH($B746,Listas!$I$2:$I$40,0))),""))</f>
        <v/>
      </c>
      <c r="P746" s="31" t="str">
        <f t="array" ref="P746">IF($A746="","",IFERROR(_xlfn.XLOOKUP($A746,'Movimentação'!$B$7:$B$1006,'Movimentação'!$F$7:$F$1006,"",0,-1),""))</f>
        <v/>
      </c>
      <c r="Q746" s="31">
        <f>IF(COUNTIFS('Manutenção'!$B$7:$B$1006,$A746,'Manutenção'!$H$7:$H$1006,"EM CONSERTO")&gt;0,1,0)</f>
        <v>0</v>
      </c>
    </row>
    <row r="747" ht="15.0" hidden="1" customHeight="1">
      <c r="A747" s="15"/>
      <c r="B747" s="17"/>
      <c r="C747" s="17"/>
      <c r="D747" s="17"/>
      <c r="E747" s="17"/>
      <c r="F747" s="17"/>
      <c r="G747" s="18"/>
      <c r="H747" s="15"/>
      <c r="I747" s="15"/>
      <c r="J747" s="24" t="str">
        <f t="array" ref="J747">IF($A747="","",IFERROR(_xlfn.XLOOKUP($A747,'Movimentação'!$B$7:$B$1006,'Movimentação'!$E$7:$E$1006,"",0,-1),""))</f>
        <v/>
      </c>
      <c r="K747" s="24" t="str">
        <f t="array" ref="K747">IF($A747="","",IFERROR(_xlfn.XLOOKUP($A747,'Movimentação'!$B$7:$B$1006,'Movimentação'!$G$7:$G$1006,"",0,-1),""))</f>
        <v/>
      </c>
      <c r="L747" s="24" t="str">
        <f t="shared" si="3"/>
        <v/>
      </c>
      <c r="M747" s="17"/>
      <c r="N747" s="30" t="str">
        <f t="array" ref="N747">IF($A747="","",IFERROR(IF(OR($L747="BAIXADO",$L747="FURTADO"),0,INDEX(Listas!$J$2:$J$40,MATCH($B747,Listas!$I$2:$I$40,0))),""))</f>
        <v/>
      </c>
      <c r="P747" s="31" t="str">
        <f t="array" ref="P747">IF($A747="","",IFERROR(_xlfn.XLOOKUP($A747,'Movimentação'!$B$7:$B$1006,'Movimentação'!$F$7:$F$1006,"",0,-1),""))</f>
        <v/>
      </c>
      <c r="Q747" s="31">
        <f>IF(COUNTIFS('Manutenção'!$B$7:$B$1006,$A747,'Manutenção'!$H$7:$H$1006,"EM CONSERTO")&gt;0,1,0)</f>
        <v>0</v>
      </c>
    </row>
    <row r="748" ht="15.0" hidden="1" customHeight="1">
      <c r="A748" s="15"/>
      <c r="B748" s="17"/>
      <c r="C748" s="17"/>
      <c r="D748" s="17"/>
      <c r="E748" s="17"/>
      <c r="F748" s="17"/>
      <c r="G748" s="18"/>
      <c r="H748" s="15"/>
      <c r="I748" s="15"/>
      <c r="J748" s="24" t="str">
        <f t="array" ref="J748">IF($A748="","",IFERROR(_xlfn.XLOOKUP($A748,'Movimentação'!$B$7:$B$1006,'Movimentação'!$E$7:$E$1006,"",0,-1),""))</f>
        <v/>
      </c>
      <c r="K748" s="24" t="str">
        <f t="array" ref="K748">IF($A748="","",IFERROR(_xlfn.XLOOKUP($A748,'Movimentação'!$B$7:$B$1006,'Movimentação'!$G$7:$G$1006,"",0,-1),""))</f>
        <v/>
      </c>
      <c r="L748" s="24" t="str">
        <f t="shared" si="3"/>
        <v/>
      </c>
      <c r="M748" s="17"/>
      <c r="N748" s="30" t="str">
        <f t="array" ref="N748">IF($A748="","",IFERROR(IF(OR($L748="BAIXADO",$L748="FURTADO"),0,INDEX(Listas!$J$2:$J$40,MATCH($B748,Listas!$I$2:$I$40,0))),""))</f>
        <v/>
      </c>
      <c r="P748" s="31" t="str">
        <f t="array" ref="P748">IF($A748="","",IFERROR(_xlfn.XLOOKUP($A748,'Movimentação'!$B$7:$B$1006,'Movimentação'!$F$7:$F$1006,"",0,-1),""))</f>
        <v/>
      </c>
      <c r="Q748" s="31">
        <f>IF(COUNTIFS('Manutenção'!$B$7:$B$1006,$A748,'Manutenção'!$H$7:$H$1006,"EM CONSERTO")&gt;0,1,0)</f>
        <v>0</v>
      </c>
    </row>
    <row r="749" ht="15.0" hidden="1" customHeight="1">
      <c r="A749" s="15"/>
      <c r="B749" s="17"/>
      <c r="C749" s="17"/>
      <c r="D749" s="17"/>
      <c r="E749" s="17"/>
      <c r="F749" s="17"/>
      <c r="G749" s="18"/>
      <c r="H749" s="15"/>
      <c r="I749" s="15"/>
      <c r="J749" s="24" t="str">
        <f t="array" ref="J749">IF($A749="","",IFERROR(_xlfn.XLOOKUP($A749,'Movimentação'!$B$7:$B$1006,'Movimentação'!$E$7:$E$1006,"",0,-1),""))</f>
        <v/>
      </c>
      <c r="K749" s="24" t="str">
        <f t="array" ref="K749">IF($A749="","",IFERROR(_xlfn.XLOOKUP($A749,'Movimentação'!$B$7:$B$1006,'Movimentação'!$G$7:$G$1006,"",0,-1),""))</f>
        <v/>
      </c>
      <c r="L749" s="24" t="str">
        <f t="shared" si="3"/>
        <v/>
      </c>
      <c r="M749" s="17"/>
      <c r="N749" s="30" t="str">
        <f t="array" ref="N749">IF($A749="","",IFERROR(IF(OR($L749="BAIXADO",$L749="FURTADO"),0,INDEX(Listas!$J$2:$J$40,MATCH($B749,Listas!$I$2:$I$40,0))),""))</f>
        <v/>
      </c>
      <c r="P749" s="31" t="str">
        <f t="array" ref="P749">IF($A749="","",IFERROR(_xlfn.XLOOKUP($A749,'Movimentação'!$B$7:$B$1006,'Movimentação'!$F$7:$F$1006,"",0,-1),""))</f>
        <v/>
      </c>
      <c r="Q749" s="31">
        <f>IF(COUNTIFS('Manutenção'!$B$7:$B$1006,$A749,'Manutenção'!$H$7:$H$1006,"EM CONSERTO")&gt;0,1,0)</f>
        <v>0</v>
      </c>
    </row>
    <row r="750" ht="15.0" hidden="1" customHeight="1">
      <c r="A750" s="15"/>
      <c r="B750" s="17"/>
      <c r="C750" s="17"/>
      <c r="D750" s="17"/>
      <c r="E750" s="17"/>
      <c r="F750" s="17"/>
      <c r="G750" s="18"/>
      <c r="H750" s="15"/>
      <c r="I750" s="15"/>
      <c r="J750" s="24" t="str">
        <f t="array" ref="J750">IF($A750="","",IFERROR(_xlfn.XLOOKUP($A750,'Movimentação'!$B$7:$B$1006,'Movimentação'!$E$7:$E$1006,"",0,-1),""))</f>
        <v/>
      </c>
      <c r="K750" s="24" t="str">
        <f t="array" ref="K750">IF($A750="","",IFERROR(_xlfn.XLOOKUP($A750,'Movimentação'!$B$7:$B$1006,'Movimentação'!$G$7:$G$1006,"",0,-1),""))</f>
        <v/>
      </c>
      <c r="L750" s="24" t="str">
        <f t="shared" si="3"/>
        <v/>
      </c>
      <c r="M750" s="17"/>
      <c r="N750" s="30" t="str">
        <f t="array" ref="N750">IF($A750="","",IFERROR(IF(OR($L750="BAIXADO",$L750="FURTADO"),0,INDEX(Listas!$J$2:$J$40,MATCH($B750,Listas!$I$2:$I$40,0))),""))</f>
        <v/>
      </c>
      <c r="P750" s="31" t="str">
        <f t="array" ref="P750">IF($A750="","",IFERROR(_xlfn.XLOOKUP($A750,'Movimentação'!$B$7:$B$1006,'Movimentação'!$F$7:$F$1006,"",0,-1),""))</f>
        <v/>
      </c>
      <c r="Q750" s="31">
        <f>IF(COUNTIFS('Manutenção'!$B$7:$B$1006,$A750,'Manutenção'!$H$7:$H$1006,"EM CONSERTO")&gt;0,1,0)</f>
        <v>0</v>
      </c>
    </row>
    <row r="751" ht="15.0" hidden="1" customHeight="1">
      <c r="A751" s="15"/>
      <c r="B751" s="17"/>
      <c r="C751" s="17"/>
      <c r="D751" s="17"/>
      <c r="E751" s="17"/>
      <c r="F751" s="17"/>
      <c r="G751" s="18"/>
      <c r="H751" s="15"/>
      <c r="I751" s="15"/>
      <c r="J751" s="24" t="str">
        <f t="array" ref="J751">IF($A751="","",IFERROR(_xlfn.XLOOKUP($A751,'Movimentação'!$B$7:$B$1006,'Movimentação'!$E$7:$E$1006,"",0,-1),""))</f>
        <v/>
      </c>
      <c r="K751" s="24" t="str">
        <f t="array" ref="K751">IF($A751="","",IFERROR(_xlfn.XLOOKUP($A751,'Movimentação'!$B$7:$B$1006,'Movimentação'!$G$7:$G$1006,"",0,-1),""))</f>
        <v/>
      </c>
      <c r="L751" s="24" t="str">
        <f t="shared" si="3"/>
        <v/>
      </c>
      <c r="M751" s="17"/>
      <c r="N751" s="30" t="str">
        <f t="array" ref="N751">IF($A751="","",IFERROR(IF(OR($L751="BAIXADO",$L751="FURTADO"),0,INDEX(Listas!$J$2:$J$40,MATCH($B751,Listas!$I$2:$I$40,0))),""))</f>
        <v/>
      </c>
      <c r="P751" s="31" t="str">
        <f t="array" ref="P751">IF($A751="","",IFERROR(_xlfn.XLOOKUP($A751,'Movimentação'!$B$7:$B$1006,'Movimentação'!$F$7:$F$1006,"",0,-1),""))</f>
        <v/>
      </c>
      <c r="Q751" s="31">
        <f>IF(COUNTIFS('Manutenção'!$B$7:$B$1006,$A751,'Manutenção'!$H$7:$H$1006,"EM CONSERTO")&gt;0,1,0)</f>
        <v>0</v>
      </c>
    </row>
    <row r="752" ht="15.0" hidden="1" customHeight="1">
      <c r="A752" s="15"/>
      <c r="B752" s="17"/>
      <c r="C752" s="17"/>
      <c r="D752" s="17"/>
      <c r="E752" s="17"/>
      <c r="F752" s="17"/>
      <c r="G752" s="18"/>
      <c r="H752" s="15"/>
      <c r="I752" s="15"/>
      <c r="J752" s="24" t="str">
        <f t="array" ref="J752">IF($A752="","",IFERROR(_xlfn.XLOOKUP($A752,'Movimentação'!$B$7:$B$1006,'Movimentação'!$E$7:$E$1006,"",0,-1),""))</f>
        <v/>
      </c>
      <c r="K752" s="24" t="str">
        <f t="array" ref="K752">IF($A752="","",IFERROR(_xlfn.XLOOKUP($A752,'Movimentação'!$B$7:$B$1006,'Movimentação'!$G$7:$G$1006,"",0,-1),""))</f>
        <v/>
      </c>
      <c r="L752" s="24" t="str">
        <f t="shared" si="3"/>
        <v/>
      </c>
      <c r="M752" s="17"/>
      <c r="N752" s="30" t="str">
        <f t="array" ref="N752">IF($A752="","",IFERROR(IF(OR($L752="BAIXADO",$L752="FURTADO"),0,INDEX(Listas!$J$2:$J$40,MATCH($B752,Listas!$I$2:$I$40,0))),""))</f>
        <v/>
      </c>
      <c r="P752" s="31" t="str">
        <f t="array" ref="P752">IF($A752="","",IFERROR(_xlfn.XLOOKUP($A752,'Movimentação'!$B$7:$B$1006,'Movimentação'!$F$7:$F$1006,"",0,-1),""))</f>
        <v/>
      </c>
      <c r="Q752" s="31">
        <f>IF(COUNTIFS('Manutenção'!$B$7:$B$1006,$A752,'Manutenção'!$H$7:$H$1006,"EM CONSERTO")&gt;0,1,0)</f>
        <v>0</v>
      </c>
    </row>
    <row r="753" ht="15.0" hidden="1" customHeight="1">
      <c r="A753" s="15"/>
      <c r="B753" s="17"/>
      <c r="C753" s="17"/>
      <c r="D753" s="17"/>
      <c r="E753" s="17"/>
      <c r="F753" s="17"/>
      <c r="G753" s="18"/>
      <c r="H753" s="15"/>
      <c r="I753" s="15"/>
      <c r="J753" s="24" t="str">
        <f t="array" ref="J753">IF($A753="","",IFERROR(_xlfn.XLOOKUP($A753,'Movimentação'!$B$7:$B$1006,'Movimentação'!$E$7:$E$1006,"",0,-1),""))</f>
        <v/>
      </c>
      <c r="K753" s="24" t="str">
        <f t="array" ref="K753">IF($A753="","",IFERROR(_xlfn.XLOOKUP($A753,'Movimentação'!$B$7:$B$1006,'Movimentação'!$G$7:$G$1006,"",0,-1),""))</f>
        <v/>
      </c>
      <c r="L753" s="24" t="str">
        <f t="shared" si="3"/>
        <v/>
      </c>
      <c r="M753" s="17"/>
      <c r="N753" s="30" t="str">
        <f t="array" ref="N753">IF($A753="","",IFERROR(IF(OR($L753="BAIXADO",$L753="FURTADO"),0,INDEX(Listas!$J$2:$J$40,MATCH($B753,Listas!$I$2:$I$40,0))),""))</f>
        <v/>
      </c>
      <c r="P753" s="31" t="str">
        <f t="array" ref="P753">IF($A753="","",IFERROR(_xlfn.XLOOKUP($A753,'Movimentação'!$B$7:$B$1006,'Movimentação'!$F$7:$F$1006,"",0,-1),""))</f>
        <v/>
      </c>
      <c r="Q753" s="31">
        <f>IF(COUNTIFS('Manutenção'!$B$7:$B$1006,$A753,'Manutenção'!$H$7:$H$1006,"EM CONSERTO")&gt;0,1,0)</f>
        <v>0</v>
      </c>
    </row>
    <row r="754" ht="15.0" hidden="1" customHeight="1">
      <c r="A754" s="15"/>
      <c r="B754" s="17"/>
      <c r="C754" s="17"/>
      <c r="D754" s="17"/>
      <c r="E754" s="17"/>
      <c r="F754" s="17"/>
      <c r="G754" s="18"/>
      <c r="H754" s="15"/>
      <c r="I754" s="15"/>
      <c r="J754" s="24" t="str">
        <f t="array" ref="J754">IF($A754="","",IFERROR(_xlfn.XLOOKUP($A754,'Movimentação'!$B$7:$B$1006,'Movimentação'!$E$7:$E$1006,"",0,-1),""))</f>
        <v/>
      </c>
      <c r="K754" s="24" t="str">
        <f t="array" ref="K754">IF($A754="","",IFERROR(_xlfn.XLOOKUP($A754,'Movimentação'!$B$7:$B$1006,'Movimentação'!$G$7:$G$1006,"",0,-1),""))</f>
        <v/>
      </c>
      <c r="L754" s="24" t="str">
        <f t="shared" si="3"/>
        <v/>
      </c>
      <c r="M754" s="17"/>
      <c r="N754" s="30" t="str">
        <f t="array" ref="N754">IF($A754="","",IFERROR(IF(OR($L754="BAIXADO",$L754="FURTADO"),0,INDEX(Listas!$J$2:$J$40,MATCH($B754,Listas!$I$2:$I$40,0))),""))</f>
        <v/>
      </c>
      <c r="P754" s="31" t="str">
        <f t="array" ref="P754">IF($A754="","",IFERROR(_xlfn.XLOOKUP($A754,'Movimentação'!$B$7:$B$1006,'Movimentação'!$F$7:$F$1006,"",0,-1),""))</f>
        <v/>
      </c>
      <c r="Q754" s="31">
        <f>IF(COUNTIFS('Manutenção'!$B$7:$B$1006,$A754,'Manutenção'!$H$7:$H$1006,"EM CONSERTO")&gt;0,1,0)</f>
        <v>0</v>
      </c>
    </row>
    <row r="755" ht="15.0" hidden="1" customHeight="1">
      <c r="A755" s="15"/>
      <c r="B755" s="17"/>
      <c r="C755" s="17"/>
      <c r="D755" s="17"/>
      <c r="E755" s="17"/>
      <c r="F755" s="17"/>
      <c r="G755" s="18"/>
      <c r="H755" s="15"/>
      <c r="I755" s="15"/>
      <c r="J755" s="24" t="str">
        <f t="array" ref="J755">IF($A755="","",IFERROR(_xlfn.XLOOKUP($A755,'Movimentação'!$B$7:$B$1006,'Movimentação'!$E$7:$E$1006,"",0,-1),""))</f>
        <v/>
      </c>
      <c r="K755" s="24" t="str">
        <f t="array" ref="K755">IF($A755="","",IFERROR(_xlfn.XLOOKUP($A755,'Movimentação'!$B$7:$B$1006,'Movimentação'!$G$7:$G$1006,"",0,-1),""))</f>
        <v/>
      </c>
      <c r="L755" s="24" t="str">
        <f t="shared" si="3"/>
        <v/>
      </c>
      <c r="M755" s="17"/>
      <c r="N755" s="30" t="str">
        <f t="array" ref="N755">IF($A755="","",IFERROR(IF(OR($L755="BAIXADO",$L755="FURTADO"),0,INDEX(Listas!$J$2:$J$40,MATCH($B755,Listas!$I$2:$I$40,0))),""))</f>
        <v/>
      </c>
      <c r="P755" s="31" t="str">
        <f t="array" ref="P755">IF($A755="","",IFERROR(_xlfn.XLOOKUP($A755,'Movimentação'!$B$7:$B$1006,'Movimentação'!$F$7:$F$1006,"",0,-1),""))</f>
        <v/>
      </c>
      <c r="Q755" s="31">
        <f>IF(COUNTIFS('Manutenção'!$B$7:$B$1006,$A755,'Manutenção'!$H$7:$H$1006,"EM CONSERTO")&gt;0,1,0)</f>
        <v>0</v>
      </c>
    </row>
    <row r="756" ht="15.0" hidden="1" customHeight="1">
      <c r="A756" s="15"/>
      <c r="B756" s="17"/>
      <c r="C756" s="17"/>
      <c r="D756" s="17"/>
      <c r="E756" s="17"/>
      <c r="F756" s="17"/>
      <c r="G756" s="18"/>
      <c r="H756" s="15"/>
      <c r="I756" s="15"/>
      <c r="J756" s="24" t="str">
        <f t="array" ref="J756">IF($A756="","",IFERROR(_xlfn.XLOOKUP($A756,'Movimentação'!$B$7:$B$1006,'Movimentação'!$E$7:$E$1006,"",0,-1),""))</f>
        <v/>
      </c>
      <c r="K756" s="24" t="str">
        <f t="array" ref="K756">IF($A756="","",IFERROR(_xlfn.XLOOKUP($A756,'Movimentação'!$B$7:$B$1006,'Movimentação'!$G$7:$G$1006,"",0,-1),""))</f>
        <v/>
      </c>
      <c r="L756" s="24" t="str">
        <f t="shared" si="3"/>
        <v/>
      </c>
      <c r="M756" s="17"/>
      <c r="N756" s="30" t="str">
        <f t="array" ref="N756">IF($A756="","",IFERROR(IF(OR($L756="BAIXADO",$L756="FURTADO"),0,INDEX(Listas!$J$2:$J$40,MATCH($B756,Listas!$I$2:$I$40,0))),""))</f>
        <v/>
      </c>
      <c r="P756" s="31" t="str">
        <f t="array" ref="P756">IF($A756="","",IFERROR(_xlfn.XLOOKUP($A756,'Movimentação'!$B$7:$B$1006,'Movimentação'!$F$7:$F$1006,"",0,-1),""))</f>
        <v/>
      </c>
      <c r="Q756" s="31">
        <f>IF(COUNTIFS('Manutenção'!$B$7:$B$1006,$A756,'Manutenção'!$H$7:$H$1006,"EM CONSERTO")&gt;0,1,0)</f>
        <v>0</v>
      </c>
    </row>
    <row r="757" ht="15.0" hidden="1" customHeight="1">
      <c r="A757" s="15"/>
      <c r="B757" s="17"/>
      <c r="C757" s="17"/>
      <c r="D757" s="17"/>
      <c r="E757" s="17"/>
      <c r="F757" s="17"/>
      <c r="G757" s="18"/>
      <c r="H757" s="15"/>
      <c r="I757" s="15"/>
      <c r="J757" s="24" t="str">
        <f t="array" ref="J757">IF($A757="","",IFERROR(_xlfn.XLOOKUP($A757,'Movimentação'!$B$7:$B$1006,'Movimentação'!$E$7:$E$1006,"",0,-1),""))</f>
        <v/>
      </c>
      <c r="K757" s="24" t="str">
        <f t="array" ref="K757">IF($A757="","",IFERROR(_xlfn.XLOOKUP($A757,'Movimentação'!$B$7:$B$1006,'Movimentação'!$G$7:$G$1006,"",0,-1),""))</f>
        <v/>
      </c>
      <c r="L757" s="24" t="str">
        <f t="shared" si="3"/>
        <v/>
      </c>
      <c r="M757" s="17"/>
      <c r="N757" s="30" t="str">
        <f t="array" ref="N757">IF($A757="","",IFERROR(IF(OR($L757="BAIXADO",$L757="FURTADO"),0,INDEX(Listas!$J$2:$J$40,MATCH($B757,Listas!$I$2:$I$40,0))),""))</f>
        <v/>
      </c>
      <c r="P757" s="31" t="str">
        <f t="array" ref="P757">IF($A757="","",IFERROR(_xlfn.XLOOKUP($A757,'Movimentação'!$B$7:$B$1006,'Movimentação'!$F$7:$F$1006,"",0,-1),""))</f>
        <v/>
      </c>
      <c r="Q757" s="31">
        <f>IF(COUNTIFS('Manutenção'!$B$7:$B$1006,$A757,'Manutenção'!$H$7:$H$1006,"EM CONSERTO")&gt;0,1,0)</f>
        <v>0</v>
      </c>
    </row>
    <row r="758" ht="15.0" hidden="1" customHeight="1">
      <c r="A758" s="15"/>
      <c r="B758" s="17"/>
      <c r="C758" s="17"/>
      <c r="D758" s="17"/>
      <c r="E758" s="17"/>
      <c r="F758" s="17"/>
      <c r="G758" s="18"/>
      <c r="H758" s="15"/>
      <c r="I758" s="15"/>
      <c r="J758" s="24" t="str">
        <f t="array" ref="J758">IF($A758="","",IFERROR(_xlfn.XLOOKUP($A758,'Movimentação'!$B$7:$B$1006,'Movimentação'!$E$7:$E$1006,"",0,-1),""))</f>
        <v/>
      </c>
      <c r="K758" s="24" t="str">
        <f t="array" ref="K758">IF($A758="","",IFERROR(_xlfn.XLOOKUP($A758,'Movimentação'!$B$7:$B$1006,'Movimentação'!$G$7:$G$1006,"",0,-1),""))</f>
        <v/>
      </c>
      <c r="L758" s="24" t="str">
        <f t="shared" si="3"/>
        <v/>
      </c>
      <c r="M758" s="17"/>
      <c r="N758" s="30" t="str">
        <f t="array" ref="N758">IF($A758="","",IFERROR(IF(OR($L758="BAIXADO",$L758="FURTADO"),0,INDEX(Listas!$J$2:$J$40,MATCH($B758,Listas!$I$2:$I$40,0))),""))</f>
        <v/>
      </c>
      <c r="P758" s="31" t="str">
        <f t="array" ref="P758">IF($A758="","",IFERROR(_xlfn.XLOOKUP($A758,'Movimentação'!$B$7:$B$1006,'Movimentação'!$F$7:$F$1006,"",0,-1),""))</f>
        <v/>
      </c>
      <c r="Q758" s="31">
        <f>IF(COUNTIFS('Manutenção'!$B$7:$B$1006,$A758,'Manutenção'!$H$7:$H$1006,"EM CONSERTO")&gt;0,1,0)</f>
        <v>0</v>
      </c>
    </row>
    <row r="759" ht="15.0" hidden="1" customHeight="1">
      <c r="A759" s="15"/>
      <c r="B759" s="17"/>
      <c r="C759" s="17"/>
      <c r="D759" s="17"/>
      <c r="E759" s="17"/>
      <c r="F759" s="17"/>
      <c r="G759" s="18"/>
      <c r="H759" s="15"/>
      <c r="I759" s="15"/>
      <c r="J759" s="24" t="str">
        <f t="array" ref="J759">IF($A759="","",IFERROR(_xlfn.XLOOKUP($A759,'Movimentação'!$B$7:$B$1006,'Movimentação'!$E$7:$E$1006,"",0,-1),""))</f>
        <v/>
      </c>
      <c r="K759" s="24" t="str">
        <f t="array" ref="K759">IF($A759="","",IFERROR(_xlfn.XLOOKUP($A759,'Movimentação'!$B$7:$B$1006,'Movimentação'!$G$7:$G$1006,"",0,-1),""))</f>
        <v/>
      </c>
      <c r="L759" s="24" t="str">
        <f t="shared" si="3"/>
        <v/>
      </c>
      <c r="M759" s="17"/>
      <c r="N759" s="30" t="str">
        <f t="array" ref="N759">IF($A759="","",IFERROR(IF(OR($L759="BAIXADO",$L759="FURTADO"),0,INDEX(Listas!$J$2:$J$40,MATCH($B759,Listas!$I$2:$I$40,0))),""))</f>
        <v/>
      </c>
      <c r="P759" s="31" t="str">
        <f t="array" ref="P759">IF($A759="","",IFERROR(_xlfn.XLOOKUP($A759,'Movimentação'!$B$7:$B$1006,'Movimentação'!$F$7:$F$1006,"",0,-1),""))</f>
        <v/>
      </c>
      <c r="Q759" s="31">
        <f>IF(COUNTIFS('Manutenção'!$B$7:$B$1006,$A759,'Manutenção'!$H$7:$H$1006,"EM CONSERTO")&gt;0,1,0)</f>
        <v>0</v>
      </c>
    </row>
    <row r="760" ht="15.0" hidden="1" customHeight="1">
      <c r="A760" s="15"/>
      <c r="B760" s="17"/>
      <c r="C760" s="17"/>
      <c r="D760" s="17"/>
      <c r="E760" s="17"/>
      <c r="F760" s="17"/>
      <c r="G760" s="18"/>
      <c r="H760" s="15"/>
      <c r="I760" s="15"/>
      <c r="J760" s="24" t="str">
        <f t="array" ref="J760">IF($A760="","",IFERROR(_xlfn.XLOOKUP($A760,'Movimentação'!$B$7:$B$1006,'Movimentação'!$E$7:$E$1006,"",0,-1),""))</f>
        <v/>
      </c>
      <c r="K760" s="24" t="str">
        <f t="array" ref="K760">IF($A760="","",IFERROR(_xlfn.XLOOKUP($A760,'Movimentação'!$B$7:$B$1006,'Movimentação'!$G$7:$G$1006,"",0,-1),""))</f>
        <v/>
      </c>
      <c r="L760" s="24" t="str">
        <f t="shared" si="3"/>
        <v/>
      </c>
      <c r="M760" s="17"/>
      <c r="N760" s="30" t="str">
        <f t="array" ref="N760">IF($A760="","",IFERROR(IF(OR($L760="BAIXADO",$L760="FURTADO"),0,INDEX(Listas!$J$2:$J$40,MATCH($B760,Listas!$I$2:$I$40,0))),""))</f>
        <v/>
      </c>
      <c r="P760" s="31" t="str">
        <f t="array" ref="P760">IF($A760="","",IFERROR(_xlfn.XLOOKUP($A760,'Movimentação'!$B$7:$B$1006,'Movimentação'!$F$7:$F$1006,"",0,-1),""))</f>
        <v/>
      </c>
      <c r="Q760" s="31">
        <f>IF(COUNTIFS('Manutenção'!$B$7:$B$1006,$A760,'Manutenção'!$H$7:$H$1006,"EM CONSERTO")&gt;0,1,0)</f>
        <v>0</v>
      </c>
    </row>
    <row r="761" ht="15.0" hidden="1" customHeight="1">
      <c r="A761" s="15"/>
      <c r="B761" s="17"/>
      <c r="C761" s="17"/>
      <c r="D761" s="17"/>
      <c r="E761" s="17"/>
      <c r="F761" s="17"/>
      <c r="G761" s="18"/>
      <c r="H761" s="15"/>
      <c r="I761" s="15"/>
      <c r="J761" s="24" t="str">
        <f t="array" ref="J761">IF($A761="","",IFERROR(_xlfn.XLOOKUP($A761,'Movimentação'!$B$7:$B$1006,'Movimentação'!$E$7:$E$1006,"",0,-1),""))</f>
        <v/>
      </c>
      <c r="K761" s="24" t="str">
        <f t="array" ref="K761">IF($A761="","",IFERROR(_xlfn.XLOOKUP($A761,'Movimentação'!$B$7:$B$1006,'Movimentação'!$G$7:$G$1006,"",0,-1),""))</f>
        <v/>
      </c>
      <c r="L761" s="24" t="str">
        <f t="shared" si="3"/>
        <v/>
      </c>
      <c r="M761" s="17"/>
      <c r="N761" s="30" t="str">
        <f t="array" ref="N761">IF($A761="","",IFERROR(IF(OR($L761="BAIXADO",$L761="FURTADO"),0,INDEX(Listas!$J$2:$J$40,MATCH($B761,Listas!$I$2:$I$40,0))),""))</f>
        <v/>
      </c>
      <c r="P761" s="31" t="str">
        <f t="array" ref="P761">IF($A761="","",IFERROR(_xlfn.XLOOKUP($A761,'Movimentação'!$B$7:$B$1006,'Movimentação'!$F$7:$F$1006,"",0,-1),""))</f>
        <v/>
      </c>
      <c r="Q761" s="31">
        <f>IF(COUNTIFS('Manutenção'!$B$7:$B$1006,$A761,'Manutenção'!$H$7:$H$1006,"EM CONSERTO")&gt;0,1,0)</f>
        <v>0</v>
      </c>
    </row>
    <row r="762" ht="15.0" hidden="1" customHeight="1">
      <c r="A762" s="15"/>
      <c r="B762" s="17"/>
      <c r="C762" s="17"/>
      <c r="D762" s="17"/>
      <c r="E762" s="17"/>
      <c r="F762" s="17"/>
      <c r="G762" s="18"/>
      <c r="H762" s="15"/>
      <c r="I762" s="15"/>
      <c r="J762" s="24" t="str">
        <f t="array" ref="J762">IF($A762="","",IFERROR(_xlfn.XLOOKUP($A762,'Movimentação'!$B$7:$B$1006,'Movimentação'!$E$7:$E$1006,"",0,-1),""))</f>
        <v/>
      </c>
      <c r="K762" s="24" t="str">
        <f t="array" ref="K762">IF($A762="","",IFERROR(_xlfn.XLOOKUP($A762,'Movimentação'!$B$7:$B$1006,'Movimentação'!$G$7:$G$1006,"",0,-1),""))</f>
        <v/>
      </c>
      <c r="L762" s="24" t="str">
        <f t="shared" si="3"/>
        <v/>
      </c>
      <c r="M762" s="17"/>
      <c r="N762" s="30" t="str">
        <f t="array" ref="N762">IF($A762="","",IFERROR(IF(OR($L762="BAIXADO",$L762="FURTADO"),0,INDEX(Listas!$J$2:$J$40,MATCH($B762,Listas!$I$2:$I$40,0))),""))</f>
        <v/>
      </c>
      <c r="P762" s="31" t="str">
        <f t="array" ref="P762">IF($A762="","",IFERROR(_xlfn.XLOOKUP($A762,'Movimentação'!$B$7:$B$1006,'Movimentação'!$F$7:$F$1006,"",0,-1),""))</f>
        <v/>
      </c>
      <c r="Q762" s="31">
        <f>IF(COUNTIFS('Manutenção'!$B$7:$B$1006,$A762,'Manutenção'!$H$7:$H$1006,"EM CONSERTO")&gt;0,1,0)</f>
        <v>0</v>
      </c>
    </row>
    <row r="763" ht="15.0" hidden="1" customHeight="1">
      <c r="A763" s="15"/>
      <c r="B763" s="17"/>
      <c r="C763" s="17"/>
      <c r="D763" s="17"/>
      <c r="E763" s="17"/>
      <c r="F763" s="17"/>
      <c r="G763" s="18"/>
      <c r="H763" s="15"/>
      <c r="I763" s="15"/>
      <c r="J763" s="24" t="str">
        <f t="array" ref="J763">IF($A763="","",IFERROR(_xlfn.XLOOKUP($A763,'Movimentação'!$B$7:$B$1006,'Movimentação'!$E$7:$E$1006,"",0,-1),""))</f>
        <v/>
      </c>
      <c r="K763" s="24" t="str">
        <f t="array" ref="K763">IF($A763="","",IFERROR(_xlfn.XLOOKUP($A763,'Movimentação'!$B$7:$B$1006,'Movimentação'!$G$7:$G$1006,"",0,-1),""))</f>
        <v/>
      </c>
      <c r="L763" s="24" t="str">
        <f t="shared" si="3"/>
        <v/>
      </c>
      <c r="M763" s="17"/>
      <c r="N763" s="30" t="str">
        <f t="array" ref="N763">IF($A763="","",IFERROR(IF(OR($L763="BAIXADO",$L763="FURTADO"),0,INDEX(Listas!$J$2:$J$40,MATCH($B763,Listas!$I$2:$I$40,0))),""))</f>
        <v/>
      </c>
      <c r="P763" s="31" t="str">
        <f t="array" ref="P763">IF($A763="","",IFERROR(_xlfn.XLOOKUP($A763,'Movimentação'!$B$7:$B$1006,'Movimentação'!$F$7:$F$1006,"",0,-1),""))</f>
        <v/>
      </c>
      <c r="Q763" s="31">
        <f>IF(COUNTIFS('Manutenção'!$B$7:$B$1006,$A763,'Manutenção'!$H$7:$H$1006,"EM CONSERTO")&gt;0,1,0)</f>
        <v>0</v>
      </c>
    </row>
    <row r="764" ht="15.0" hidden="1" customHeight="1">
      <c r="A764" s="15"/>
      <c r="B764" s="17"/>
      <c r="C764" s="17"/>
      <c r="D764" s="17"/>
      <c r="E764" s="17"/>
      <c r="F764" s="17"/>
      <c r="G764" s="18"/>
      <c r="H764" s="15"/>
      <c r="I764" s="15"/>
      <c r="J764" s="24" t="str">
        <f t="array" ref="J764">IF($A764="","",IFERROR(_xlfn.XLOOKUP($A764,'Movimentação'!$B$7:$B$1006,'Movimentação'!$E$7:$E$1006,"",0,-1),""))</f>
        <v/>
      </c>
      <c r="K764" s="24" t="str">
        <f t="array" ref="K764">IF($A764="","",IFERROR(_xlfn.XLOOKUP($A764,'Movimentação'!$B$7:$B$1006,'Movimentação'!$G$7:$G$1006,"",0,-1),""))</f>
        <v/>
      </c>
      <c r="L764" s="24" t="str">
        <f t="shared" si="3"/>
        <v/>
      </c>
      <c r="M764" s="17"/>
      <c r="N764" s="30" t="str">
        <f t="array" ref="N764">IF($A764="","",IFERROR(IF(OR($L764="BAIXADO",$L764="FURTADO"),0,INDEX(Listas!$J$2:$J$40,MATCH($B764,Listas!$I$2:$I$40,0))),""))</f>
        <v/>
      </c>
      <c r="P764" s="31" t="str">
        <f t="array" ref="P764">IF($A764="","",IFERROR(_xlfn.XLOOKUP($A764,'Movimentação'!$B$7:$B$1006,'Movimentação'!$F$7:$F$1006,"",0,-1),""))</f>
        <v/>
      </c>
      <c r="Q764" s="31">
        <f>IF(COUNTIFS('Manutenção'!$B$7:$B$1006,$A764,'Manutenção'!$H$7:$H$1006,"EM CONSERTO")&gt;0,1,0)</f>
        <v>0</v>
      </c>
    </row>
    <row r="765" ht="15.0" hidden="1" customHeight="1">
      <c r="A765" s="15"/>
      <c r="B765" s="17"/>
      <c r="C765" s="17"/>
      <c r="D765" s="17"/>
      <c r="E765" s="17"/>
      <c r="F765" s="17"/>
      <c r="G765" s="18"/>
      <c r="H765" s="15"/>
      <c r="I765" s="15"/>
      <c r="J765" s="24" t="str">
        <f t="array" ref="J765">IF($A765="","",IFERROR(_xlfn.XLOOKUP($A765,'Movimentação'!$B$7:$B$1006,'Movimentação'!$E$7:$E$1006,"",0,-1),""))</f>
        <v/>
      </c>
      <c r="K765" s="24" t="str">
        <f t="array" ref="K765">IF($A765="","",IFERROR(_xlfn.XLOOKUP($A765,'Movimentação'!$B$7:$B$1006,'Movimentação'!$G$7:$G$1006,"",0,-1),""))</f>
        <v/>
      </c>
      <c r="L765" s="24" t="str">
        <f t="shared" si="3"/>
        <v/>
      </c>
      <c r="M765" s="17"/>
      <c r="N765" s="30" t="str">
        <f t="array" ref="N765">IF($A765="","",IFERROR(IF(OR($L765="BAIXADO",$L765="FURTADO"),0,INDEX(Listas!$J$2:$J$40,MATCH($B765,Listas!$I$2:$I$40,0))),""))</f>
        <v/>
      </c>
      <c r="P765" s="31" t="str">
        <f t="array" ref="P765">IF($A765="","",IFERROR(_xlfn.XLOOKUP($A765,'Movimentação'!$B$7:$B$1006,'Movimentação'!$F$7:$F$1006,"",0,-1),""))</f>
        <v/>
      </c>
      <c r="Q765" s="31">
        <f>IF(COUNTIFS('Manutenção'!$B$7:$B$1006,$A765,'Manutenção'!$H$7:$H$1006,"EM CONSERTO")&gt;0,1,0)</f>
        <v>0</v>
      </c>
    </row>
    <row r="766" ht="15.0" hidden="1" customHeight="1">
      <c r="A766" s="15"/>
      <c r="B766" s="17"/>
      <c r="C766" s="17"/>
      <c r="D766" s="17"/>
      <c r="E766" s="17"/>
      <c r="F766" s="17"/>
      <c r="G766" s="18"/>
      <c r="H766" s="15"/>
      <c r="I766" s="15"/>
      <c r="J766" s="24" t="str">
        <f t="array" ref="J766">IF($A766="","",IFERROR(_xlfn.XLOOKUP($A766,'Movimentação'!$B$7:$B$1006,'Movimentação'!$E$7:$E$1006,"",0,-1),""))</f>
        <v/>
      </c>
      <c r="K766" s="24" t="str">
        <f t="array" ref="K766">IF($A766="","",IFERROR(_xlfn.XLOOKUP($A766,'Movimentação'!$B$7:$B$1006,'Movimentação'!$G$7:$G$1006,"",0,-1),""))</f>
        <v/>
      </c>
      <c r="L766" s="24" t="str">
        <f t="shared" si="3"/>
        <v/>
      </c>
      <c r="M766" s="17"/>
      <c r="N766" s="30" t="str">
        <f t="array" ref="N766">IF($A766="","",IFERROR(IF(OR($L766="BAIXADO",$L766="FURTADO"),0,INDEX(Listas!$J$2:$J$40,MATCH($B766,Listas!$I$2:$I$40,0))),""))</f>
        <v/>
      </c>
      <c r="P766" s="31" t="str">
        <f t="array" ref="P766">IF($A766="","",IFERROR(_xlfn.XLOOKUP($A766,'Movimentação'!$B$7:$B$1006,'Movimentação'!$F$7:$F$1006,"",0,-1),""))</f>
        <v/>
      </c>
      <c r="Q766" s="31">
        <f>IF(COUNTIFS('Manutenção'!$B$7:$B$1006,$A766,'Manutenção'!$H$7:$H$1006,"EM CONSERTO")&gt;0,1,0)</f>
        <v>0</v>
      </c>
    </row>
    <row r="767" ht="15.0" hidden="1" customHeight="1">
      <c r="A767" s="15"/>
      <c r="B767" s="17"/>
      <c r="C767" s="17"/>
      <c r="D767" s="17"/>
      <c r="E767" s="17"/>
      <c r="F767" s="17"/>
      <c r="G767" s="18"/>
      <c r="H767" s="15"/>
      <c r="I767" s="15"/>
      <c r="J767" s="24" t="str">
        <f t="array" ref="J767">IF($A767="","",IFERROR(_xlfn.XLOOKUP($A767,'Movimentação'!$B$7:$B$1006,'Movimentação'!$E$7:$E$1006,"",0,-1),""))</f>
        <v/>
      </c>
      <c r="K767" s="24" t="str">
        <f t="array" ref="K767">IF($A767="","",IFERROR(_xlfn.XLOOKUP($A767,'Movimentação'!$B$7:$B$1006,'Movimentação'!$G$7:$G$1006,"",0,-1),""))</f>
        <v/>
      </c>
      <c r="L767" s="24" t="str">
        <f t="shared" si="3"/>
        <v/>
      </c>
      <c r="M767" s="17"/>
      <c r="N767" s="30" t="str">
        <f t="array" ref="N767">IF($A767="","",IFERROR(IF(OR($L767="BAIXADO",$L767="FURTADO"),0,INDEX(Listas!$J$2:$J$40,MATCH($B767,Listas!$I$2:$I$40,0))),""))</f>
        <v/>
      </c>
      <c r="P767" s="31" t="str">
        <f t="array" ref="P767">IF($A767="","",IFERROR(_xlfn.XLOOKUP($A767,'Movimentação'!$B$7:$B$1006,'Movimentação'!$F$7:$F$1006,"",0,-1),""))</f>
        <v/>
      </c>
      <c r="Q767" s="31">
        <f>IF(COUNTIFS('Manutenção'!$B$7:$B$1006,$A767,'Manutenção'!$H$7:$H$1006,"EM CONSERTO")&gt;0,1,0)</f>
        <v>0</v>
      </c>
    </row>
    <row r="768" ht="15.0" hidden="1" customHeight="1">
      <c r="A768" s="15"/>
      <c r="B768" s="17"/>
      <c r="C768" s="17"/>
      <c r="D768" s="17"/>
      <c r="E768" s="17"/>
      <c r="F768" s="17"/>
      <c r="G768" s="18"/>
      <c r="H768" s="15"/>
      <c r="I768" s="15"/>
      <c r="J768" s="24" t="str">
        <f t="array" ref="J768">IF($A768="","",IFERROR(_xlfn.XLOOKUP($A768,'Movimentação'!$B$7:$B$1006,'Movimentação'!$E$7:$E$1006,"",0,-1),""))</f>
        <v/>
      </c>
      <c r="K768" s="24" t="str">
        <f t="array" ref="K768">IF($A768="","",IFERROR(_xlfn.XLOOKUP($A768,'Movimentação'!$B$7:$B$1006,'Movimentação'!$G$7:$G$1006,"",0,-1),""))</f>
        <v/>
      </c>
      <c r="L768" s="24" t="str">
        <f t="shared" si="3"/>
        <v/>
      </c>
      <c r="M768" s="17"/>
      <c r="N768" s="30" t="str">
        <f t="array" ref="N768">IF($A768="","",IFERROR(IF(OR($L768="BAIXADO",$L768="FURTADO"),0,INDEX(Listas!$J$2:$J$40,MATCH($B768,Listas!$I$2:$I$40,0))),""))</f>
        <v/>
      </c>
      <c r="P768" s="31" t="str">
        <f t="array" ref="P768">IF($A768="","",IFERROR(_xlfn.XLOOKUP($A768,'Movimentação'!$B$7:$B$1006,'Movimentação'!$F$7:$F$1006,"",0,-1),""))</f>
        <v/>
      </c>
      <c r="Q768" s="31">
        <f>IF(COUNTIFS('Manutenção'!$B$7:$B$1006,$A768,'Manutenção'!$H$7:$H$1006,"EM CONSERTO")&gt;0,1,0)</f>
        <v>0</v>
      </c>
    </row>
    <row r="769" ht="15.0" hidden="1" customHeight="1">
      <c r="A769" s="15"/>
      <c r="B769" s="17"/>
      <c r="C769" s="17"/>
      <c r="D769" s="17"/>
      <c r="E769" s="17"/>
      <c r="F769" s="17"/>
      <c r="G769" s="18"/>
      <c r="H769" s="15"/>
      <c r="I769" s="15"/>
      <c r="J769" s="24" t="str">
        <f t="array" ref="J769">IF($A769="","",IFERROR(_xlfn.XLOOKUP($A769,'Movimentação'!$B$7:$B$1006,'Movimentação'!$E$7:$E$1006,"",0,-1),""))</f>
        <v/>
      </c>
      <c r="K769" s="24" t="str">
        <f t="array" ref="K769">IF($A769="","",IFERROR(_xlfn.XLOOKUP($A769,'Movimentação'!$B$7:$B$1006,'Movimentação'!$G$7:$G$1006,"",0,-1),""))</f>
        <v/>
      </c>
      <c r="L769" s="24" t="str">
        <f t="shared" si="3"/>
        <v/>
      </c>
      <c r="M769" s="17"/>
      <c r="N769" s="30" t="str">
        <f t="array" ref="N769">IF($A769="","",IFERROR(IF(OR($L769="BAIXADO",$L769="FURTADO"),0,INDEX(Listas!$J$2:$J$40,MATCH($B769,Listas!$I$2:$I$40,0))),""))</f>
        <v/>
      </c>
      <c r="P769" s="31" t="str">
        <f t="array" ref="P769">IF($A769="","",IFERROR(_xlfn.XLOOKUP($A769,'Movimentação'!$B$7:$B$1006,'Movimentação'!$F$7:$F$1006,"",0,-1),""))</f>
        <v/>
      </c>
      <c r="Q769" s="31">
        <f>IF(COUNTIFS('Manutenção'!$B$7:$B$1006,$A769,'Manutenção'!$H$7:$H$1006,"EM CONSERTO")&gt;0,1,0)</f>
        <v>0</v>
      </c>
    </row>
    <row r="770" ht="15.0" hidden="1" customHeight="1">
      <c r="A770" s="15"/>
      <c r="B770" s="17"/>
      <c r="C770" s="17"/>
      <c r="D770" s="17"/>
      <c r="E770" s="17"/>
      <c r="F770" s="17"/>
      <c r="G770" s="18"/>
      <c r="H770" s="15"/>
      <c r="I770" s="15"/>
      <c r="J770" s="24" t="str">
        <f t="array" ref="J770">IF($A770="","",IFERROR(_xlfn.XLOOKUP($A770,'Movimentação'!$B$7:$B$1006,'Movimentação'!$E$7:$E$1006,"",0,-1),""))</f>
        <v/>
      </c>
      <c r="K770" s="24" t="str">
        <f t="array" ref="K770">IF($A770="","",IFERROR(_xlfn.XLOOKUP($A770,'Movimentação'!$B$7:$B$1006,'Movimentação'!$G$7:$G$1006,"",0,-1),""))</f>
        <v/>
      </c>
      <c r="L770" s="24" t="str">
        <f t="shared" si="3"/>
        <v/>
      </c>
      <c r="M770" s="17"/>
      <c r="N770" s="30" t="str">
        <f t="array" ref="N770">IF($A770="","",IFERROR(IF(OR($L770="BAIXADO",$L770="FURTADO"),0,INDEX(Listas!$J$2:$J$40,MATCH($B770,Listas!$I$2:$I$40,0))),""))</f>
        <v/>
      </c>
      <c r="P770" s="31" t="str">
        <f t="array" ref="P770">IF($A770="","",IFERROR(_xlfn.XLOOKUP($A770,'Movimentação'!$B$7:$B$1006,'Movimentação'!$F$7:$F$1006,"",0,-1),""))</f>
        <v/>
      </c>
      <c r="Q770" s="31">
        <f>IF(COUNTIFS('Manutenção'!$B$7:$B$1006,$A770,'Manutenção'!$H$7:$H$1006,"EM CONSERTO")&gt;0,1,0)</f>
        <v>0</v>
      </c>
    </row>
    <row r="771" ht="15.0" hidden="1" customHeight="1">
      <c r="A771" s="15"/>
      <c r="B771" s="17"/>
      <c r="C771" s="17"/>
      <c r="D771" s="17"/>
      <c r="E771" s="17"/>
      <c r="F771" s="17"/>
      <c r="G771" s="18"/>
      <c r="H771" s="15"/>
      <c r="I771" s="15"/>
      <c r="J771" s="24" t="str">
        <f t="array" ref="J771">IF($A771="","",IFERROR(_xlfn.XLOOKUP($A771,'Movimentação'!$B$7:$B$1006,'Movimentação'!$E$7:$E$1006,"",0,-1),""))</f>
        <v/>
      </c>
      <c r="K771" s="24" t="str">
        <f t="array" ref="K771">IF($A771="","",IFERROR(_xlfn.XLOOKUP($A771,'Movimentação'!$B$7:$B$1006,'Movimentação'!$G$7:$G$1006,"",0,-1),""))</f>
        <v/>
      </c>
      <c r="L771" s="24" t="str">
        <f t="shared" si="3"/>
        <v/>
      </c>
      <c r="M771" s="17"/>
      <c r="N771" s="30" t="str">
        <f t="array" ref="N771">IF($A771="","",IFERROR(IF(OR($L771="BAIXADO",$L771="FURTADO"),0,INDEX(Listas!$J$2:$J$40,MATCH($B771,Listas!$I$2:$I$40,0))),""))</f>
        <v/>
      </c>
      <c r="P771" s="31" t="str">
        <f t="array" ref="P771">IF($A771="","",IFERROR(_xlfn.XLOOKUP($A771,'Movimentação'!$B$7:$B$1006,'Movimentação'!$F$7:$F$1006,"",0,-1),""))</f>
        <v/>
      </c>
      <c r="Q771" s="31">
        <f>IF(COUNTIFS('Manutenção'!$B$7:$B$1006,$A771,'Manutenção'!$H$7:$H$1006,"EM CONSERTO")&gt;0,1,0)</f>
        <v>0</v>
      </c>
    </row>
    <row r="772" ht="15.0" hidden="1" customHeight="1">
      <c r="A772" s="15"/>
      <c r="B772" s="17"/>
      <c r="C772" s="17"/>
      <c r="D772" s="17"/>
      <c r="E772" s="17"/>
      <c r="F772" s="17"/>
      <c r="G772" s="18"/>
      <c r="H772" s="15"/>
      <c r="I772" s="15"/>
      <c r="J772" s="24" t="str">
        <f t="array" ref="J772">IF($A772="","",IFERROR(_xlfn.XLOOKUP($A772,'Movimentação'!$B$7:$B$1006,'Movimentação'!$E$7:$E$1006,"",0,-1),""))</f>
        <v/>
      </c>
      <c r="K772" s="24" t="str">
        <f t="array" ref="K772">IF($A772="","",IFERROR(_xlfn.XLOOKUP($A772,'Movimentação'!$B$7:$B$1006,'Movimentação'!$G$7:$G$1006,"",0,-1),""))</f>
        <v/>
      </c>
      <c r="L772" s="24" t="str">
        <f t="shared" si="3"/>
        <v/>
      </c>
      <c r="M772" s="17"/>
      <c r="N772" s="30" t="str">
        <f t="array" ref="N772">IF($A772="","",IFERROR(IF(OR($L772="BAIXADO",$L772="FURTADO"),0,INDEX(Listas!$J$2:$J$40,MATCH($B772,Listas!$I$2:$I$40,0))),""))</f>
        <v/>
      </c>
      <c r="P772" s="31" t="str">
        <f t="array" ref="P772">IF($A772="","",IFERROR(_xlfn.XLOOKUP($A772,'Movimentação'!$B$7:$B$1006,'Movimentação'!$F$7:$F$1006,"",0,-1),""))</f>
        <v/>
      </c>
      <c r="Q772" s="31">
        <f>IF(COUNTIFS('Manutenção'!$B$7:$B$1006,$A772,'Manutenção'!$H$7:$H$1006,"EM CONSERTO")&gt;0,1,0)</f>
        <v>0</v>
      </c>
    </row>
    <row r="773" ht="15.0" hidden="1" customHeight="1">
      <c r="A773" s="15"/>
      <c r="B773" s="17"/>
      <c r="C773" s="17"/>
      <c r="D773" s="17"/>
      <c r="E773" s="17"/>
      <c r="F773" s="17"/>
      <c r="G773" s="18"/>
      <c r="H773" s="15"/>
      <c r="I773" s="15"/>
      <c r="J773" s="24" t="str">
        <f t="array" ref="J773">IF($A773="","",IFERROR(_xlfn.XLOOKUP($A773,'Movimentação'!$B$7:$B$1006,'Movimentação'!$E$7:$E$1006,"",0,-1),""))</f>
        <v/>
      </c>
      <c r="K773" s="24" t="str">
        <f t="array" ref="K773">IF($A773="","",IFERROR(_xlfn.XLOOKUP($A773,'Movimentação'!$B$7:$B$1006,'Movimentação'!$G$7:$G$1006,"",0,-1),""))</f>
        <v/>
      </c>
      <c r="L773" s="24" t="str">
        <f t="shared" si="3"/>
        <v/>
      </c>
      <c r="M773" s="17"/>
      <c r="N773" s="30" t="str">
        <f t="array" ref="N773">IF($A773="","",IFERROR(IF(OR($L773="BAIXADO",$L773="FURTADO"),0,INDEX(Listas!$J$2:$J$40,MATCH($B773,Listas!$I$2:$I$40,0))),""))</f>
        <v/>
      </c>
      <c r="P773" s="31" t="str">
        <f t="array" ref="P773">IF($A773="","",IFERROR(_xlfn.XLOOKUP($A773,'Movimentação'!$B$7:$B$1006,'Movimentação'!$F$7:$F$1006,"",0,-1),""))</f>
        <v/>
      </c>
      <c r="Q773" s="31">
        <f>IF(COUNTIFS('Manutenção'!$B$7:$B$1006,$A773,'Manutenção'!$H$7:$H$1006,"EM CONSERTO")&gt;0,1,0)</f>
        <v>0</v>
      </c>
    </row>
    <row r="774" ht="15.0" hidden="1" customHeight="1">
      <c r="A774" s="15"/>
      <c r="B774" s="17"/>
      <c r="C774" s="17"/>
      <c r="D774" s="17"/>
      <c r="E774" s="17"/>
      <c r="F774" s="17"/>
      <c r="G774" s="18"/>
      <c r="H774" s="15"/>
      <c r="I774" s="15"/>
      <c r="J774" s="24" t="str">
        <f t="array" ref="J774">IF($A774="","",IFERROR(_xlfn.XLOOKUP($A774,'Movimentação'!$B$7:$B$1006,'Movimentação'!$E$7:$E$1006,"",0,-1),""))</f>
        <v/>
      </c>
      <c r="K774" s="24" t="str">
        <f t="array" ref="K774">IF($A774="","",IFERROR(_xlfn.XLOOKUP($A774,'Movimentação'!$B$7:$B$1006,'Movimentação'!$G$7:$G$1006,"",0,-1),""))</f>
        <v/>
      </c>
      <c r="L774" s="24" t="str">
        <f t="shared" si="3"/>
        <v/>
      </c>
      <c r="M774" s="17"/>
      <c r="N774" s="30" t="str">
        <f t="array" ref="N774">IF($A774="","",IFERROR(IF(OR($L774="BAIXADO",$L774="FURTADO"),0,INDEX(Listas!$J$2:$J$40,MATCH($B774,Listas!$I$2:$I$40,0))),""))</f>
        <v/>
      </c>
      <c r="P774" s="31" t="str">
        <f t="array" ref="P774">IF($A774="","",IFERROR(_xlfn.XLOOKUP($A774,'Movimentação'!$B$7:$B$1006,'Movimentação'!$F$7:$F$1006,"",0,-1),""))</f>
        <v/>
      </c>
      <c r="Q774" s="31">
        <f>IF(COUNTIFS('Manutenção'!$B$7:$B$1006,$A774,'Manutenção'!$H$7:$H$1006,"EM CONSERTO")&gt;0,1,0)</f>
        <v>0</v>
      </c>
    </row>
    <row r="775" ht="15.0" hidden="1" customHeight="1">
      <c r="A775" s="15"/>
      <c r="B775" s="17"/>
      <c r="C775" s="17"/>
      <c r="D775" s="17"/>
      <c r="E775" s="17"/>
      <c r="F775" s="17"/>
      <c r="G775" s="18"/>
      <c r="H775" s="15"/>
      <c r="I775" s="15"/>
      <c r="J775" s="24" t="str">
        <f t="array" ref="J775">IF($A775="","",IFERROR(_xlfn.XLOOKUP($A775,'Movimentação'!$B$7:$B$1006,'Movimentação'!$E$7:$E$1006,"",0,-1),""))</f>
        <v/>
      </c>
      <c r="K775" s="24" t="str">
        <f t="array" ref="K775">IF($A775="","",IFERROR(_xlfn.XLOOKUP($A775,'Movimentação'!$B$7:$B$1006,'Movimentação'!$G$7:$G$1006,"",0,-1),""))</f>
        <v/>
      </c>
      <c r="L775" s="24" t="str">
        <f t="shared" si="3"/>
        <v/>
      </c>
      <c r="M775" s="17"/>
      <c r="N775" s="30" t="str">
        <f t="array" ref="N775">IF($A775="","",IFERROR(IF(OR($L775="BAIXADO",$L775="FURTADO"),0,INDEX(Listas!$J$2:$J$40,MATCH($B775,Listas!$I$2:$I$40,0))),""))</f>
        <v/>
      </c>
      <c r="P775" s="31" t="str">
        <f t="array" ref="P775">IF($A775="","",IFERROR(_xlfn.XLOOKUP($A775,'Movimentação'!$B$7:$B$1006,'Movimentação'!$F$7:$F$1006,"",0,-1),""))</f>
        <v/>
      </c>
      <c r="Q775" s="31">
        <f>IF(COUNTIFS('Manutenção'!$B$7:$B$1006,$A775,'Manutenção'!$H$7:$H$1006,"EM CONSERTO")&gt;0,1,0)</f>
        <v>0</v>
      </c>
    </row>
    <row r="776" ht="15.0" hidden="1" customHeight="1">
      <c r="A776" s="15"/>
      <c r="B776" s="17"/>
      <c r="C776" s="17"/>
      <c r="D776" s="17"/>
      <c r="E776" s="17"/>
      <c r="F776" s="17"/>
      <c r="G776" s="18"/>
      <c r="H776" s="15"/>
      <c r="I776" s="15"/>
      <c r="J776" s="24" t="str">
        <f t="array" ref="J776">IF($A776="","",IFERROR(_xlfn.XLOOKUP($A776,'Movimentação'!$B$7:$B$1006,'Movimentação'!$E$7:$E$1006,"",0,-1),""))</f>
        <v/>
      </c>
      <c r="K776" s="24" t="str">
        <f t="array" ref="K776">IF($A776="","",IFERROR(_xlfn.XLOOKUP($A776,'Movimentação'!$B$7:$B$1006,'Movimentação'!$G$7:$G$1006,"",0,-1),""))</f>
        <v/>
      </c>
      <c r="L776" s="24" t="str">
        <f t="shared" si="3"/>
        <v/>
      </c>
      <c r="M776" s="17"/>
      <c r="N776" s="30" t="str">
        <f t="array" ref="N776">IF($A776="","",IFERROR(IF(OR($L776="BAIXADO",$L776="FURTADO"),0,INDEX(Listas!$J$2:$J$40,MATCH($B776,Listas!$I$2:$I$40,0))),""))</f>
        <v/>
      </c>
      <c r="P776" s="31" t="str">
        <f t="array" ref="P776">IF($A776="","",IFERROR(_xlfn.XLOOKUP($A776,'Movimentação'!$B$7:$B$1006,'Movimentação'!$F$7:$F$1006,"",0,-1),""))</f>
        <v/>
      </c>
      <c r="Q776" s="31">
        <f>IF(COUNTIFS('Manutenção'!$B$7:$B$1006,$A776,'Manutenção'!$H$7:$H$1006,"EM CONSERTO")&gt;0,1,0)</f>
        <v>0</v>
      </c>
    </row>
    <row r="777" ht="15.0" hidden="1" customHeight="1">
      <c r="A777" s="15"/>
      <c r="B777" s="17"/>
      <c r="C777" s="17"/>
      <c r="D777" s="17"/>
      <c r="E777" s="17"/>
      <c r="F777" s="17"/>
      <c r="G777" s="18"/>
      <c r="H777" s="15"/>
      <c r="I777" s="15"/>
      <c r="J777" s="24" t="str">
        <f t="array" ref="J777">IF($A777="","",IFERROR(_xlfn.XLOOKUP($A777,'Movimentação'!$B$7:$B$1006,'Movimentação'!$E$7:$E$1006,"",0,-1),""))</f>
        <v/>
      </c>
      <c r="K777" s="24" t="str">
        <f t="array" ref="K777">IF($A777="","",IFERROR(_xlfn.XLOOKUP($A777,'Movimentação'!$B$7:$B$1006,'Movimentação'!$G$7:$G$1006,"",0,-1),""))</f>
        <v/>
      </c>
      <c r="L777" s="24" t="str">
        <f t="shared" si="3"/>
        <v/>
      </c>
      <c r="M777" s="17"/>
      <c r="N777" s="30" t="str">
        <f t="array" ref="N777">IF($A777="","",IFERROR(IF(OR($L777="BAIXADO",$L777="FURTADO"),0,INDEX(Listas!$J$2:$J$40,MATCH($B777,Listas!$I$2:$I$40,0))),""))</f>
        <v/>
      </c>
      <c r="P777" s="31" t="str">
        <f t="array" ref="P777">IF($A777="","",IFERROR(_xlfn.XLOOKUP($A777,'Movimentação'!$B$7:$B$1006,'Movimentação'!$F$7:$F$1006,"",0,-1),""))</f>
        <v/>
      </c>
      <c r="Q777" s="31">
        <f>IF(COUNTIFS('Manutenção'!$B$7:$B$1006,$A777,'Manutenção'!$H$7:$H$1006,"EM CONSERTO")&gt;0,1,0)</f>
        <v>0</v>
      </c>
    </row>
    <row r="778" ht="15.0" hidden="1" customHeight="1">
      <c r="A778" s="15"/>
      <c r="B778" s="17"/>
      <c r="C778" s="17"/>
      <c r="D778" s="17"/>
      <c r="E778" s="17"/>
      <c r="F778" s="17"/>
      <c r="G778" s="18"/>
      <c r="H778" s="15"/>
      <c r="I778" s="15"/>
      <c r="J778" s="24" t="str">
        <f t="array" ref="J778">IF($A778="","",IFERROR(_xlfn.XLOOKUP($A778,'Movimentação'!$B$7:$B$1006,'Movimentação'!$E$7:$E$1006,"",0,-1),""))</f>
        <v/>
      </c>
      <c r="K778" s="24" t="str">
        <f t="array" ref="K778">IF($A778="","",IFERROR(_xlfn.XLOOKUP($A778,'Movimentação'!$B$7:$B$1006,'Movimentação'!$G$7:$G$1006,"",0,-1),""))</f>
        <v/>
      </c>
      <c r="L778" s="24" t="str">
        <f t="shared" si="3"/>
        <v/>
      </c>
      <c r="M778" s="17"/>
      <c r="N778" s="30" t="str">
        <f t="array" ref="N778">IF($A778="","",IFERROR(IF(OR($L778="BAIXADO",$L778="FURTADO"),0,INDEX(Listas!$J$2:$J$40,MATCH($B778,Listas!$I$2:$I$40,0))),""))</f>
        <v/>
      </c>
      <c r="P778" s="31" t="str">
        <f t="array" ref="P778">IF($A778="","",IFERROR(_xlfn.XLOOKUP($A778,'Movimentação'!$B$7:$B$1006,'Movimentação'!$F$7:$F$1006,"",0,-1),""))</f>
        <v/>
      </c>
      <c r="Q778" s="31">
        <f>IF(COUNTIFS('Manutenção'!$B$7:$B$1006,$A778,'Manutenção'!$H$7:$H$1006,"EM CONSERTO")&gt;0,1,0)</f>
        <v>0</v>
      </c>
    </row>
    <row r="779" ht="15.0" hidden="1" customHeight="1">
      <c r="A779" s="15"/>
      <c r="B779" s="17"/>
      <c r="C779" s="17"/>
      <c r="D779" s="17"/>
      <c r="E779" s="17"/>
      <c r="F779" s="17"/>
      <c r="G779" s="18"/>
      <c r="H779" s="15"/>
      <c r="I779" s="15"/>
      <c r="J779" s="24" t="str">
        <f t="array" ref="J779">IF($A779="","",IFERROR(_xlfn.XLOOKUP($A779,'Movimentação'!$B$7:$B$1006,'Movimentação'!$E$7:$E$1006,"",0,-1),""))</f>
        <v/>
      </c>
      <c r="K779" s="24" t="str">
        <f t="array" ref="K779">IF($A779="","",IFERROR(_xlfn.XLOOKUP($A779,'Movimentação'!$B$7:$B$1006,'Movimentação'!$G$7:$G$1006,"",0,-1),""))</f>
        <v/>
      </c>
      <c r="L779" s="24" t="str">
        <f t="shared" si="3"/>
        <v/>
      </c>
      <c r="M779" s="17"/>
      <c r="N779" s="30" t="str">
        <f t="array" ref="N779">IF($A779="","",IFERROR(IF(OR($L779="BAIXADO",$L779="FURTADO"),0,INDEX(Listas!$J$2:$J$40,MATCH($B779,Listas!$I$2:$I$40,0))),""))</f>
        <v/>
      </c>
      <c r="P779" s="31" t="str">
        <f t="array" ref="P779">IF($A779="","",IFERROR(_xlfn.XLOOKUP($A779,'Movimentação'!$B$7:$B$1006,'Movimentação'!$F$7:$F$1006,"",0,-1),""))</f>
        <v/>
      </c>
      <c r="Q779" s="31">
        <f>IF(COUNTIFS('Manutenção'!$B$7:$B$1006,$A779,'Manutenção'!$H$7:$H$1006,"EM CONSERTO")&gt;0,1,0)</f>
        <v>0</v>
      </c>
    </row>
    <row r="780" ht="15.0" hidden="1" customHeight="1">
      <c r="A780" s="15"/>
      <c r="B780" s="17"/>
      <c r="C780" s="17"/>
      <c r="D780" s="17"/>
      <c r="E780" s="17"/>
      <c r="F780" s="17"/>
      <c r="G780" s="18"/>
      <c r="H780" s="15"/>
      <c r="I780" s="15"/>
      <c r="J780" s="24" t="str">
        <f t="array" ref="J780">IF($A780="","",IFERROR(_xlfn.XLOOKUP($A780,'Movimentação'!$B$7:$B$1006,'Movimentação'!$E$7:$E$1006,"",0,-1),""))</f>
        <v/>
      </c>
      <c r="K780" s="24" t="str">
        <f t="array" ref="K780">IF($A780="","",IFERROR(_xlfn.XLOOKUP($A780,'Movimentação'!$B$7:$B$1006,'Movimentação'!$G$7:$G$1006,"",0,-1),""))</f>
        <v/>
      </c>
      <c r="L780" s="24" t="str">
        <f t="shared" si="3"/>
        <v/>
      </c>
      <c r="M780" s="17"/>
      <c r="N780" s="30" t="str">
        <f t="array" ref="N780">IF($A780="","",IFERROR(IF(OR($L780="BAIXADO",$L780="FURTADO"),0,INDEX(Listas!$J$2:$J$40,MATCH($B780,Listas!$I$2:$I$40,0))),""))</f>
        <v/>
      </c>
      <c r="P780" s="31" t="str">
        <f t="array" ref="P780">IF($A780="","",IFERROR(_xlfn.XLOOKUP($A780,'Movimentação'!$B$7:$B$1006,'Movimentação'!$F$7:$F$1006,"",0,-1),""))</f>
        <v/>
      </c>
      <c r="Q780" s="31">
        <f>IF(COUNTIFS('Manutenção'!$B$7:$B$1006,$A780,'Manutenção'!$H$7:$H$1006,"EM CONSERTO")&gt;0,1,0)</f>
        <v>0</v>
      </c>
    </row>
    <row r="781" ht="15.0" hidden="1" customHeight="1">
      <c r="A781" s="15"/>
      <c r="B781" s="17"/>
      <c r="C781" s="17"/>
      <c r="D781" s="17"/>
      <c r="E781" s="17"/>
      <c r="F781" s="17"/>
      <c r="G781" s="18"/>
      <c r="H781" s="15"/>
      <c r="I781" s="15"/>
      <c r="J781" s="24" t="str">
        <f t="array" ref="J781">IF($A781="","",IFERROR(_xlfn.XLOOKUP($A781,'Movimentação'!$B$7:$B$1006,'Movimentação'!$E$7:$E$1006,"",0,-1),""))</f>
        <v/>
      </c>
      <c r="K781" s="24" t="str">
        <f t="array" ref="K781">IF($A781="","",IFERROR(_xlfn.XLOOKUP($A781,'Movimentação'!$B$7:$B$1006,'Movimentação'!$G$7:$G$1006,"",0,-1),""))</f>
        <v/>
      </c>
      <c r="L781" s="24" t="str">
        <f t="shared" si="3"/>
        <v/>
      </c>
      <c r="M781" s="17"/>
      <c r="N781" s="30" t="str">
        <f t="array" ref="N781">IF($A781="","",IFERROR(IF(OR($L781="BAIXADO",$L781="FURTADO"),0,INDEX(Listas!$J$2:$J$40,MATCH($B781,Listas!$I$2:$I$40,0))),""))</f>
        <v/>
      </c>
      <c r="P781" s="31" t="str">
        <f t="array" ref="P781">IF($A781="","",IFERROR(_xlfn.XLOOKUP($A781,'Movimentação'!$B$7:$B$1006,'Movimentação'!$F$7:$F$1006,"",0,-1),""))</f>
        <v/>
      </c>
      <c r="Q781" s="31">
        <f>IF(COUNTIFS('Manutenção'!$B$7:$B$1006,$A781,'Manutenção'!$H$7:$H$1006,"EM CONSERTO")&gt;0,1,0)</f>
        <v>0</v>
      </c>
    </row>
    <row r="782" ht="15.0" hidden="1" customHeight="1">
      <c r="A782" s="15"/>
      <c r="B782" s="17"/>
      <c r="C782" s="17"/>
      <c r="D782" s="17"/>
      <c r="E782" s="17"/>
      <c r="F782" s="17"/>
      <c r="G782" s="18"/>
      <c r="H782" s="15"/>
      <c r="I782" s="15"/>
      <c r="J782" s="24" t="str">
        <f t="array" ref="J782">IF($A782="","",IFERROR(_xlfn.XLOOKUP($A782,'Movimentação'!$B$7:$B$1006,'Movimentação'!$E$7:$E$1006,"",0,-1),""))</f>
        <v/>
      </c>
      <c r="K782" s="24" t="str">
        <f t="array" ref="K782">IF($A782="","",IFERROR(_xlfn.XLOOKUP($A782,'Movimentação'!$B$7:$B$1006,'Movimentação'!$G$7:$G$1006,"",0,-1),""))</f>
        <v/>
      </c>
      <c r="L782" s="24" t="str">
        <f t="shared" si="3"/>
        <v/>
      </c>
      <c r="M782" s="17"/>
      <c r="N782" s="30" t="str">
        <f t="array" ref="N782">IF($A782="","",IFERROR(IF(OR($L782="BAIXADO",$L782="FURTADO"),0,INDEX(Listas!$J$2:$J$40,MATCH($B782,Listas!$I$2:$I$40,0))),""))</f>
        <v/>
      </c>
      <c r="P782" s="31" t="str">
        <f t="array" ref="P782">IF($A782="","",IFERROR(_xlfn.XLOOKUP($A782,'Movimentação'!$B$7:$B$1006,'Movimentação'!$F$7:$F$1006,"",0,-1),""))</f>
        <v/>
      </c>
      <c r="Q782" s="31">
        <f>IF(COUNTIFS('Manutenção'!$B$7:$B$1006,$A782,'Manutenção'!$H$7:$H$1006,"EM CONSERTO")&gt;0,1,0)</f>
        <v>0</v>
      </c>
    </row>
    <row r="783" ht="15.0" hidden="1" customHeight="1">
      <c r="A783" s="15"/>
      <c r="B783" s="17"/>
      <c r="C783" s="17"/>
      <c r="D783" s="17"/>
      <c r="E783" s="17"/>
      <c r="F783" s="17"/>
      <c r="G783" s="18"/>
      <c r="H783" s="15"/>
      <c r="I783" s="15"/>
      <c r="J783" s="24" t="str">
        <f t="array" ref="J783">IF($A783="","",IFERROR(_xlfn.XLOOKUP($A783,'Movimentação'!$B$7:$B$1006,'Movimentação'!$E$7:$E$1006,"",0,-1),""))</f>
        <v/>
      </c>
      <c r="K783" s="24" t="str">
        <f t="array" ref="K783">IF($A783="","",IFERROR(_xlfn.XLOOKUP($A783,'Movimentação'!$B$7:$B$1006,'Movimentação'!$G$7:$G$1006,"",0,-1),""))</f>
        <v/>
      </c>
      <c r="L783" s="24" t="str">
        <f t="shared" si="3"/>
        <v/>
      </c>
      <c r="M783" s="17"/>
      <c r="N783" s="30" t="str">
        <f t="array" ref="N783">IF($A783="","",IFERROR(IF(OR($L783="BAIXADO",$L783="FURTADO"),0,INDEX(Listas!$J$2:$J$40,MATCH($B783,Listas!$I$2:$I$40,0))),""))</f>
        <v/>
      </c>
      <c r="P783" s="31" t="str">
        <f t="array" ref="P783">IF($A783="","",IFERROR(_xlfn.XLOOKUP($A783,'Movimentação'!$B$7:$B$1006,'Movimentação'!$F$7:$F$1006,"",0,-1),""))</f>
        <v/>
      </c>
      <c r="Q783" s="31">
        <f>IF(COUNTIFS('Manutenção'!$B$7:$B$1006,$A783,'Manutenção'!$H$7:$H$1006,"EM CONSERTO")&gt;0,1,0)</f>
        <v>0</v>
      </c>
    </row>
    <row r="784" ht="15.0" hidden="1" customHeight="1">
      <c r="A784" s="15"/>
      <c r="B784" s="17"/>
      <c r="C784" s="17"/>
      <c r="D784" s="17"/>
      <c r="E784" s="17"/>
      <c r="F784" s="17"/>
      <c r="G784" s="18"/>
      <c r="H784" s="15"/>
      <c r="I784" s="15"/>
      <c r="J784" s="24" t="str">
        <f t="array" ref="J784">IF($A784="","",IFERROR(_xlfn.XLOOKUP($A784,'Movimentação'!$B$7:$B$1006,'Movimentação'!$E$7:$E$1006,"",0,-1),""))</f>
        <v/>
      </c>
      <c r="K784" s="24" t="str">
        <f t="array" ref="K784">IF($A784="","",IFERROR(_xlfn.XLOOKUP($A784,'Movimentação'!$B$7:$B$1006,'Movimentação'!$G$7:$G$1006,"",0,-1),""))</f>
        <v/>
      </c>
      <c r="L784" s="24" t="str">
        <f t="shared" si="3"/>
        <v/>
      </c>
      <c r="M784" s="17"/>
      <c r="N784" s="30" t="str">
        <f t="array" ref="N784">IF($A784="","",IFERROR(IF(OR($L784="BAIXADO",$L784="FURTADO"),0,INDEX(Listas!$J$2:$J$40,MATCH($B784,Listas!$I$2:$I$40,0))),""))</f>
        <v/>
      </c>
      <c r="P784" s="31" t="str">
        <f t="array" ref="P784">IF($A784="","",IFERROR(_xlfn.XLOOKUP($A784,'Movimentação'!$B$7:$B$1006,'Movimentação'!$F$7:$F$1006,"",0,-1),""))</f>
        <v/>
      </c>
      <c r="Q784" s="31">
        <f>IF(COUNTIFS('Manutenção'!$B$7:$B$1006,$A784,'Manutenção'!$H$7:$H$1006,"EM CONSERTO")&gt;0,1,0)</f>
        <v>0</v>
      </c>
    </row>
    <row r="785" ht="15.0" hidden="1" customHeight="1">
      <c r="A785" s="15"/>
      <c r="B785" s="17"/>
      <c r="C785" s="17"/>
      <c r="D785" s="17"/>
      <c r="E785" s="17"/>
      <c r="F785" s="17"/>
      <c r="G785" s="18"/>
      <c r="H785" s="15"/>
      <c r="I785" s="15"/>
      <c r="J785" s="24" t="str">
        <f t="array" ref="J785">IF($A785="","",IFERROR(_xlfn.XLOOKUP($A785,'Movimentação'!$B$7:$B$1006,'Movimentação'!$E$7:$E$1006,"",0,-1),""))</f>
        <v/>
      </c>
      <c r="K785" s="24" t="str">
        <f t="array" ref="K785">IF($A785="","",IFERROR(_xlfn.XLOOKUP($A785,'Movimentação'!$B$7:$B$1006,'Movimentação'!$G$7:$G$1006,"",0,-1),""))</f>
        <v/>
      </c>
      <c r="L785" s="24" t="str">
        <f t="shared" si="3"/>
        <v/>
      </c>
      <c r="M785" s="17"/>
      <c r="N785" s="30" t="str">
        <f t="array" ref="N785">IF($A785="","",IFERROR(IF(OR($L785="BAIXADO",$L785="FURTADO"),0,INDEX(Listas!$J$2:$J$40,MATCH($B785,Listas!$I$2:$I$40,0))),""))</f>
        <v/>
      </c>
      <c r="P785" s="31" t="str">
        <f t="array" ref="P785">IF($A785="","",IFERROR(_xlfn.XLOOKUP($A785,'Movimentação'!$B$7:$B$1006,'Movimentação'!$F$7:$F$1006,"",0,-1),""))</f>
        <v/>
      </c>
      <c r="Q785" s="31">
        <f>IF(COUNTIFS('Manutenção'!$B$7:$B$1006,$A785,'Manutenção'!$H$7:$H$1006,"EM CONSERTO")&gt;0,1,0)</f>
        <v>0</v>
      </c>
    </row>
    <row r="786" ht="15.0" hidden="1" customHeight="1">
      <c r="A786" s="15"/>
      <c r="B786" s="17"/>
      <c r="C786" s="17"/>
      <c r="D786" s="17"/>
      <c r="E786" s="17"/>
      <c r="F786" s="17"/>
      <c r="G786" s="18"/>
      <c r="H786" s="15"/>
      <c r="I786" s="15"/>
      <c r="J786" s="24" t="str">
        <f t="array" ref="J786">IF($A786="","",IFERROR(_xlfn.XLOOKUP($A786,'Movimentação'!$B$7:$B$1006,'Movimentação'!$E$7:$E$1006,"",0,-1),""))</f>
        <v/>
      </c>
      <c r="K786" s="24" t="str">
        <f t="array" ref="K786">IF($A786="","",IFERROR(_xlfn.XLOOKUP($A786,'Movimentação'!$B$7:$B$1006,'Movimentação'!$G$7:$G$1006,"",0,-1),""))</f>
        <v/>
      </c>
      <c r="L786" s="24" t="str">
        <f t="shared" si="3"/>
        <v/>
      </c>
      <c r="M786" s="17"/>
      <c r="N786" s="30" t="str">
        <f t="array" ref="N786">IF($A786="","",IFERROR(IF(OR($L786="BAIXADO",$L786="FURTADO"),0,INDEX(Listas!$J$2:$J$40,MATCH($B786,Listas!$I$2:$I$40,0))),""))</f>
        <v/>
      </c>
      <c r="P786" s="31" t="str">
        <f t="array" ref="P786">IF($A786="","",IFERROR(_xlfn.XLOOKUP($A786,'Movimentação'!$B$7:$B$1006,'Movimentação'!$F$7:$F$1006,"",0,-1),""))</f>
        <v/>
      </c>
      <c r="Q786" s="31">
        <f>IF(COUNTIFS('Manutenção'!$B$7:$B$1006,$A786,'Manutenção'!$H$7:$H$1006,"EM CONSERTO")&gt;0,1,0)</f>
        <v>0</v>
      </c>
    </row>
    <row r="787" ht="15.0" hidden="1" customHeight="1">
      <c r="A787" s="15"/>
      <c r="B787" s="17"/>
      <c r="C787" s="17"/>
      <c r="D787" s="17"/>
      <c r="E787" s="17"/>
      <c r="F787" s="17"/>
      <c r="G787" s="18"/>
      <c r="H787" s="15"/>
      <c r="I787" s="15"/>
      <c r="J787" s="24" t="str">
        <f t="array" ref="J787">IF($A787="","",IFERROR(_xlfn.XLOOKUP($A787,'Movimentação'!$B$7:$B$1006,'Movimentação'!$E$7:$E$1006,"",0,-1),""))</f>
        <v/>
      </c>
      <c r="K787" s="24" t="str">
        <f t="array" ref="K787">IF($A787="","",IFERROR(_xlfn.XLOOKUP($A787,'Movimentação'!$B$7:$B$1006,'Movimentação'!$G$7:$G$1006,"",0,-1),""))</f>
        <v/>
      </c>
      <c r="L787" s="24" t="str">
        <f t="shared" si="3"/>
        <v/>
      </c>
      <c r="M787" s="17"/>
      <c r="N787" s="30" t="str">
        <f t="array" ref="N787">IF($A787="","",IFERROR(IF(OR($L787="BAIXADO",$L787="FURTADO"),0,INDEX(Listas!$J$2:$J$40,MATCH($B787,Listas!$I$2:$I$40,0))),""))</f>
        <v/>
      </c>
      <c r="P787" s="31" t="str">
        <f t="array" ref="P787">IF($A787="","",IFERROR(_xlfn.XLOOKUP($A787,'Movimentação'!$B$7:$B$1006,'Movimentação'!$F$7:$F$1006,"",0,-1),""))</f>
        <v/>
      </c>
      <c r="Q787" s="31">
        <f>IF(COUNTIFS('Manutenção'!$B$7:$B$1006,$A787,'Manutenção'!$H$7:$H$1006,"EM CONSERTO")&gt;0,1,0)</f>
        <v>0</v>
      </c>
    </row>
    <row r="788" ht="15.0" hidden="1" customHeight="1">
      <c r="A788" s="15"/>
      <c r="B788" s="17"/>
      <c r="C788" s="17"/>
      <c r="D788" s="17"/>
      <c r="E788" s="17"/>
      <c r="F788" s="17"/>
      <c r="G788" s="18"/>
      <c r="H788" s="15"/>
      <c r="I788" s="15"/>
      <c r="J788" s="24" t="str">
        <f t="array" ref="J788">IF($A788="","",IFERROR(_xlfn.XLOOKUP($A788,'Movimentação'!$B$7:$B$1006,'Movimentação'!$E$7:$E$1006,"",0,-1),""))</f>
        <v/>
      </c>
      <c r="K788" s="24" t="str">
        <f t="array" ref="K788">IF($A788="","",IFERROR(_xlfn.XLOOKUP($A788,'Movimentação'!$B$7:$B$1006,'Movimentação'!$G$7:$G$1006,"",0,-1),""))</f>
        <v/>
      </c>
      <c r="L788" s="24" t="str">
        <f t="shared" si="3"/>
        <v/>
      </c>
      <c r="M788" s="17"/>
      <c r="N788" s="30" t="str">
        <f t="array" ref="N788">IF($A788="","",IFERROR(IF(OR($L788="BAIXADO",$L788="FURTADO"),0,INDEX(Listas!$J$2:$J$40,MATCH($B788,Listas!$I$2:$I$40,0))),""))</f>
        <v/>
      </c>
      <c r="P788" s="31" t="str">
        <f t="array" ref="P788">IF($A788="","",IFERROR(_xlfn.XLOOKUP($A788,'Movimentação'!$B$7:$B$1006,'Movimentação'!$F$7:$F$1006,"",0,-1),""))</f>
        <v/>
      </c>
      <c r="Q788" s="31">
        <f>IF(COUNTIFS('Manutenção'!$B$7:$B$1006,$A788,'Manutenção'!$H$7:$H$1006,"EM CONSERTO")&gt;0,1,0)</f>
        <v>0</v>
      </c>
    </row>
    <row r="789" ht="15.0" hidden="1" customHeight="1">
      <c r="A789" s="15"/>
      <c r="B789" s="17"/>
      <c r="C789" s="17"/>
      <c r="D789" s="17"/>
      <c r="E789" s="17"/>
      <c r="F789" s="17"/>
      <c r="G789" s="18"/>
      <c r="H789" s="15"/>
      <c r="I789" s="15"/>
      <c r="J789" s="24" t="str">
        <f t="array" ref="J789">IF($A789="","",IFERROR(_xlfn.XLOOKUP($A789,'Movimentação'!$B$7:$B$1006,'Movimentação'!$E$7:$E$1006,"",0,-1),""))</f>
        <v/>
      </c>
      <c r="K789" s="24" t="str">
        <f t="array" ref="K789">IF($A789="","",IFERROR(_xlfn.XLOOKUP($A789,'Movimentação'!$B$7:$B$1006,'Movimentação'!$G$7:$G$1006,"",0,-1),""))</f>
        <v/>
      </c>
      <c r="L789" s="24" t="str">
        <f t="shared" si="3"/>
        <v/>
      </c>
      <c r="M789" s="17"/>
      <c r="N789" s="30" t="str">
        <f t="array" ref="N789">IF($A789="","",IFERROR(IF(OR($L789="BAIXADO",$L789="FURTADO"),0,INDEX(Listas!$J$2:$J$40,MATCH($B789,Listas!$I$2:$I$40,0))),""))</f>
        <v/>
      </c>
      <c r="P789" s="31" t="str">
        <f t="array" ref="P789">IF($A789="","",IFERROR(_xlfn.XLOOKUP($A789,'Movimentação'!$B$7:$B$1006,'Movimentação'!$F$7:$F$1006,"",0,-1),""))</f>
        <v/>
      </c>
      <c r="Q789" s="31">
        <f>IF(COUNTIFS('Manutenção'!$B$7:$B$1006,$A789,'Manutenção'!$H$7:$H$1006,"EM CONSERTO")&gt;0,1,0)</f>
        <v>0</v>
      </c>
    </row>
    <row r="790" ht="15.0" hidden="1" customHeight="1">
      <c r="A790" s="15"/>
      <c r="B790" s="17"/>
      <c r="C790" s="17"/>
      <c r="D790" s="17"/>
      <c r="E790" s="17"/>
      <c r="F790" s="17"/>
      <c r="G790" s="18"/>
      <c r="H790" s="15"/>
      <c r="I790" s="15"/>
      <c r="J790" s="24" t="str">
        <f t="array" ref="J790">IF($A790="","",IFERROR(_xlfn.XLOOKUP($A790,'Movimentação'!$B$7:$B$1006,'Movimentação'!$E$7:$E$1006,"",0,-1),""))</f>
        <v/>
      </c>
      <c r="K790" s="24" t="str">
        <f t="array" ref="K790">IF($A790="","",IFERROR(_xlfn.XLOOKUP($A790,'Movimentação'!$B$7:$B$1006,'Movimentação'!$G$7:$G$1006,"",0,-1),""))</f>
        <v/>
      </c>
      <c r="L790" s="24" t="str">
        <f t="shared" si="3"/>
        <v/>
      </c>
      <c r="M790" s="17"/>
      <c r="N790" s="30" t="str">
        <f t="array" ref="N790">IF($A790="","",IFERROR(IF(OR($L790="BAIXADO",$L790="FURTADO"),0,INDEX(Listas!$J$2:$J$40,MATCH($B790,Listas!$I$2:$I$40,0))),""))</f>
        <v/>
      </c>
      <c r="P790" s="31" t="str">
        <f t="array" ref="P790">IF($A790="","",IFERROR(_xlfn.XLOOKUP($A790,'Movimentação'!$B$7:$B$1006,'Movimentação'!$F$7:$F$1006,"",0,-1),""))</f>
        <v/>
      </c>
      <c r="Q790" s="31">
        <f>IF(COUNTIFS('Manutenção'!$B$7:$B$1006,$A790,'Manutenção'!$H$7:$H$1006,"EM CONSERTO")&gt;0,1,0)</f>
        <v>0</v>
      </c>
    </row>
    <row r="791" ht="15.0" hidden="1" customHeight="1">
      <c r="A791" s="15"/>
      <c r="B791" s="17"/>
      <c r="C791" s="17"/>
      <c r="D791" s="17"/>
      <c r="E791" s="17"/>
      <c r="F791" s="17"/>
      <c r="G791" s="18"/>
      <c r="H791" s="15"/>
      <c r="I791" s="15"/>
      <c r="J791" s="24" t="str">
        <f t="array" ref="J791">IF($A791="","",IFERROR(_xlfn.XLOOKUP($A791,'Movimentação'!$B$7:$B$1006,'Movimentação'!$E$7:$E$1006,"",0,-1),""))</f>
        <v/>
      </c>
      <c r="K791" s="24" t="str">
        <f t="array" ref="K791">IF($A791="","",IFERROR(_xlfn.XLOOKUP($A791,'Movimentação'!$B$7:$B$1006,'Movimentação'!$G$7:$G$1006,"",0,-1),""))</f>
        <v/>
      </c>
      <c r="L791" s="24" t="str">
        <f t="shared" si="3"/>
        <v/>
      </c>
      <c r="M791" s="17"/>
      <c r="N791" s="30" t="str">
        <f t="array" ref="N791">IF($A791="","",IFERROR(IF(OR($L791="BAIXADO",$L791="FURTADO"),0,INDEX(Listas!$J$2:$J$40,MATCH($B791,Listas!$I$2:$I$40,0))),""))</f>
        <v/>
      </c>
      <c r="P791" s="31" t="str">
        <f t="array" ref="P791">IF($A791="","",IFERROR(_xlfn.XLOOKUP($A791,'Movimentação'!$B$7:$B$1006,'Movimentação'!$F$7:$F$1006,"",0,-1),""))</f>
        <v/>
      </c>
      <c r="Q791" s="31">
        <f>IF(COUNTIFS('Manutenção'!$B$7:$B$1006,$A791,'Manutenção'!$H$7:$H$1006,"EM CONSERTO")&gt;0,1,0)</f>
        <v>0</v>
      </c>
    </row>
    <row r="792" ht="15.0" hidden="1" customHeight="1">
      <c r="A792" s="15"/>
      <c r="B792" s="17"/>
      <c r="C792" s="17"/>
      <c r="D792" s="17"/>
      <c r="E792" s="17"/>
      <c r="F792" s="17"/>
      <c r="G792" s="18"/>
      <c r="H792" s="15"/>
      <c r="I792" s="15"/>
      <c r="J792" s="24" t="str">
        <f t="array" ref="J792">IF($A792="","",IFERROR(_xlfn.XLOOKUP($A792,'Movimentação'!$B$7:$B$1006,'Movimentação'!$E$7:$E$1006,"",0,-1),""))</f>
        <v/>
      </c>
      <c r="K792" s="24" t="str">
        <f t="array" ref="K792">IF($A792="","",IFERROR(_xlfn.XLOOKUP($A792,'Movimentação'!$B$7:$B$1006,'Movimentação'!$G$7:$G$1006,"",0,-1),""))</f>
        <v/>
      </c>
      <c r="L792" s="24" t="str">
        <f t="shared" si="3"/>
        <v/>
      </c>
      <c r="M792" s="17"/>
      <c r="N792" s="30" t="str">
        <f t="array" ref="N792">IF($A792="","",IFERROR(IF(OR($L792="BAIXADO",$L792="FURTADO"),0,INDEX(Listas!$J$2:$J$40,MATCH($B792,Listas!$I$2:$I$40,0))),""))</f>
        <v/>
      </c>
      <c r="P792" s="31" t="str">
        <f t="array" ref="P792">IF($A792="","",IFERROR(_xlfn.XLOOKUP($A792,'Movimentação'!$B$7:$B$1006,'Movimentação'!$F$7:$F$1006,"",0,-1),""))</f>
        <v/>
      </c>
      <c r="Q792" s="31">
        <f>IF(COUNTIFS('Manutenção'!$B$7:$B$1006,$A792,'Manutenção'!$H$7:$H$1006,"EM CONSERTO")&gt;0,1,0)</f>
        <v>0</v>
      </c>
    </row>
    <row r="793" ht="15.0" hidden="1" customHeight="1">
      <c r="A793" s="15"/>
      <c r="B793" s="17"/>
      <c r="C793" s="17"/>
      <c r="D793" s="17"/>
      <c r="E793" s="17"/>
      <c r="F793" s="17"/>
      <c r="G793" s="18"/>
      <c r="H793" s="15"/>
      <c r="I793" s="15"/>
      <c r="J793" s="24" t="str">
        <f t="array" ref="J793">IF($A793="","",IFERROR(_xlfn.XLOOKUP($A793,'Movimentação'!$B$7:$B$1006,'Movimentação'!$E$7:$E$1006,"",0,-1),""))</f>
        <v/>
      </c>
      <c r="K793" s="24" t="str">
        <f t="array" ref="K793">IF($A793="","",IFERROR(_xlfn.XLOOKUP($A793,'Movimentação'!$B$7:$B$1006,'Movimentação'!$G$7:$G$1006,"",0,-1),""))</f>
        <v/>
      </c>
      <c r="L793" s="24" t="str">
        <f t="shared" si="3"/>
        <v/>
      </c>
      <c r="M793" s="17"/>
      <c r="N793" s="30" t="str">
        <f t="array" ref="N793">IF($A793="","",IFERROR(IF(OR($L793="BAIXADO",$L793="FURTADO"),0,INDEX(Listas!$J$2:$J$40,MATCH($B793,Listas!$I$2:$I$40,0))),""))</f>
        <v/>
      </c>
      <c r="P793" s="31" t="str">
        <f t="array" ref="P793">IF($A793="","",IFERROR(_xlfn.XLOOKUP($A793,'Movimentação'!$B$7:$B$1006,'Movimentação'!$F$7:$F$1006,"",0,-1),""))</f>
        <v/>
      </c>
      <c r="Q793" s="31">
        <f>IF(COUNTIFS('Manutenção'!$B$7:$B$1006,$A793,'Manutenção'!$H$7:$H$1006,"EM CONSERTO")&gt;0,1,0)</f>
        <v>0</v>
      </c>
    </row>
    <row r="794" ht="15.0" hidden="1" customHeight="1">
      <c r="A794" s="15"/>
      <c r="B794" s="17"/>
      <c r="C794" s="17"/>
      <c r="D794" s="17"/>
      <c r="E794" s="17"/>
      <c r="F794" s="17"/>
      <c r="G794" s="18"/>
      <c r="H794" s="15"/>
      <c r="I794" s="15"/>
      <c r="J794" s="24" t="str">
        <f t="array" ref="J794">IF($A794="","",IFERROR(_xlfn.XLOOKUP($A794,'Movimentação'!$B$7:$B$1006,'Movimentação'!$E$7:$E$1006,"",0,-1),""))</f>
        <v/>
      </c>
      <c r="K794" s="24" t="str">
        <f t="array" ref="K794">IF($A794="","",IFERROR(_xlfn.XLOOKUP($A794,'Movimentação'!$B$7:$B$1006,'Movimentação'!$G$7:$G$1006,"",0,-1),""))</f>
        <v/>
      </c>
      <c r="L794" s="24" t="str">
        <f t="shared" si="3"/>
        <v/>
      </c>
      <c r="M794" s="17"/>
      <c r="N794" s="30" t="str">
        <f t="array" ref="N794">IF($A794="","",IFERROR(IF(OR($L794="BAIXADO",$L794="FURTADO"),0,INDEX(Listas!$J$2:$J$40,MATCH($B794,Listas!$I$2:$I$40,0))),""))</f>
        <v/>
      </c>
      <c r="P794" s="31" t="str">
        <f t="array" ref="P794">IF($A794="","",IFERROR(_xlfn.XLOOKUP($A794,'Movimentação'!$B$7:$B$1006,'Movimentação'!$F$7:$F$1006,"",0,-1),""))</f>
        <v/>
      </c>
      <c r="Q794" s="31">
        <f>IF(COUNTIFS('Manutenção'!$B$7:$B$1006,$A794,'Manutenção'!$H$7:$H$1006,"EM CONSERTO")&gt;0,1,0)</f>
        <v>0</v>
      </c>
    </row>
    <row r="795" ht="15.0" hidden="1" customHeight="1">
      <c r="A795" s="15"/>
      <c r="B795" s="17"/>
      <c r="C795" s="17"/>
      <c r="D795" s="17"/>
      <c r="E795" s="17"/>
      <c r="F795" s="17"/>
      <c r="G795" s="18"/>
      <c r="H795" s="15"/>
      <c r="I795" s="15"/>
      <c r="J795" s="24" t="str">
        <f t="array" ref="J795">IF($A795="","",IFERROR(_xlfn.XLOOKUP($A795,'Movimentação'!$B$7:$B$1006,'Movimentação'!$E$7:$E$1006,"",0,-1),""))</f>
        <v/>
      </c>
      <c r="K795" s="24" t="str">
        <f t="array" ref="K795">IF($A795="","",IFERROR(_xlfn.XLOOKUP($A795,'Movimentação'!$B$7:$B$1006,'Movimentação'!$G$7:$G$1006,"",0,-1),""))</f>
        <v/>
      </c>
      <c r="L795" s="24" t="str">
        <f t="shared" si="3"/>
        <v/>
      </c>
      <c r="M795" s="17"/>
      <c r="N795" s="30" t="str">
        <f t="array" ref="N795">IF($A795="","",IFERROR(IF(OR($L795="BAIXADO",$L795="FURTADO"),0,INDEX(Listas!$J$2:$J$40,MATCH($B795,Listas!$I$2:$I$40,0))),""))</f>
        <v/>
      </c>
      <c r="P795" s="31" t="str">
        <f t="array" ref="P795">IF($A795="","",IFERROR(_xlfn.XLOOKUP($A795,'Movimentação'!$B$7:$B$1006,'Movimentação'!$F$7:$F$1006,"",0,-1),""))</f>
        <v/>
      </c>
      <c r="Q795" s="31">
        <f>IF(COUNTIFS('Manutenção'!$B$7:$B$1006,$A795,'Manutenção'!$H$7:$H$1006,"EM CONSERTO")&gt;0,1,0)</f>
        <v>0</v>
      </c>
    </row>
    <row r="796" ht="15.0" hidden="1" customHeight="1">
      <c r="A796" s="15"/>
      <c r="B796" s="17"/>
      <c r="C796" s="17"/>
      <c r="D796" s="17"/>
      <c r="E796" s="17"/>
      <c r="F796" s="17"/>
      <c r="G796" s="18"/>
      <c r="H796" s="15"/>
      <c r="I796" s="15"/>
      <c r="J796" s="24" t="str">
        <f t="array" ref="J796">IF($A796="","",IFERROR(_xlfn.XLOOKUP($A796,'Movimentação'!$B$7:$B$1006,'Movimentação'!$E$7:$E$1006,"",0,-1),""))</f>
        <v/>
      </c>
      <c r="K796" s="24" t="str">
        <f t="array" ref="K796">IF($A796="","",IFERROR(_xlfn.XLOOKUP($A796,'Movimentação'!$B$7:$B$1006,'Movimentação'!$G$7:$G$1006,"",0,-1),""))</f>
        <v/>
      </c>
      <c r="L796" s="24" t="str">
        <f t="shared" si="3"/>
        <v/>
      </c>
      <c r="M796" s="17"/>
      <c r="N796" s="30" t="str">
        <f t="array" ref="N796">IF($A796="","",IFERROR(IF(OR($L796="BAIXADO",$L796="FURTADO"),0,INDEX(Listas!$J$2:$J$40,MATCH($B796,Listas!$I$2:$I$40,0))),""))</f>
        <v/>
      </c>
      <c r="P796" s="31" t="str">
        <f t="array" ref="P796">IF($A796="","",IFERROR(_xlfn.XLOOKUP($A796,'Movimentação'!$B$7:$B$1006,'Movimentação'!$F$7:$F$1006,"",0,-1),""))</f>
        <v/>
      </c>
      <c r="Q796" s="31">
        <f>IF(COUNTIFS('Manutenção'!$B$7:$B$1006,$A796,'Manutenção'!$H$7:$H$1006,"EM CONSERTO")&gt;0,1,0)</f>
        <v>0</v>
      </c>
    </row>
    <row r="797" ht="15.0" hidden="1" customHeight="1">
      <c r="A797" s="15"/>
      <c r="B797" s="17"/>
      <c r="C797" s="17"/>
      <c r="D797" s="17"/>
      <c r="E797" s="17"/>
      <c r="F797" s="17"/>
      <c r="G797" s="18"/>
      <c r="H797" s="15"/>
      <c r="I797" s="15"/>
      <c r="J797" s="24" t="str">
        <f t="array" ref="J797">IF($A797="","",IFERROR(_xlfn.XLOOKUP($A797,'Movimentação'!$B$7:$B$1006,'Movimentação'!$E$7:$E$1006,"",0,-1),""))</f>
        <v/>
      </c>
      <c r="K797" s="24" t="str">
        <f t="array" ref="K797">IF($A797="","",IFERROR(_xlfn.XLOOKUP($A797,'Movimentação'!$B$7:$B$1006,'Movimentação'!$G$7:$G$1006,"",0,-1),""))</f>
        <v/>
      </c>
      <c r="L797" s="24" t="str">
        <f t="shared" si="3"/>
        <v/>
      </c>
      <c r="M797" s="17"/>
      <c r="N797" s="30" t="str">
        <f t="array" ref="N797">IF($A797="","",IFERROR(IF(OR($L797="BAIXADO",$L797="FURTADO"),0,INDEX(Listas!$J$2:$J$40,MATCH($B797,Listas!$I$2:$I$40,0))),""))</f>
        <v/>
      </c>
      <c r="P797" s="31" t="str">
        <f t="array" ref="P797">IF($A797="","",IFERROR(_xlfn.XLOOKUP($A797,'Movimentação'!$B$7:$B$1006,'Movimentação'!$F$7:$F$1006,"",0,-1),""))</f>
        <v/>
      </c>
      <c r="Q797" s="31">
        <f>IF(COUNTIFS('Manutenção'!$B$7:$B$1006,$A797,'Manutenção'!$H$7:$H$1006,"EM CONSERTO")&gt;0,1,0)</f>
        <v>0</v>
      </c>
    </row>
    <row r="798" ht="15.0" hidden="1" customHeight="1">
      <c r="A798" s="15"/>
      <c r="B798" s="17"/>
      <c r="C798" s="17"/>
      <c r="D798" s="17"/>
      <c r="E798" s="17"/>
      <c r="F798" s="17"/>
      <c r="G798" s="18"/>
      <c r="H798" s="15"/>
      <c r="I798" s="15"/>
      <c r="J798" s="24" t="str">
        <f t="array" ref="J798">IF($A798="","",IFERROR(_xlfn.XLOOKUP($A798,'Movimentação'!$B$7:$B$1006,'Movimentação'!$E$7:$E$1006,"",0,-1),""))</f>
        <v/>
      </c>
      <c r="K798" s="24" t="str">
        <f t="array" ref="K798">IF($A798="","",IFERROR(_xlfn.XLOOKUP($A798,'Movimentação'!$B$7:$B$1006,'Movimentação'!$G$7:$G$1006,"",0,-1),""))</f>
        <v/>
      </c>
      <c r="L798" s="24" t="str">
        <f t="shared" si="3"/>
        <v/>
      </c>
      <c r="M798" s="17"/>
      <c r="N798" s="30" t="str">
        <f t="array" ref="N798">IF($A798="","",IFERROR(IF(OR($L798="BAIXADO",$L798="FURTADO"),0,INDEX(Listas!$J$2:$J$40,MATCH($B798,Listas!$I$2:$I$40,0))),""))</f>
        <v/>
      </c>
      <c r="P798" s="31" t="str">
        <f t="array" ref="P798">IF($A798="","",IFERROR(_xlfn.XLOOKUP($A798,'Movimentação'!$B$7:$B$1006,'Movimentação'!$F$7:$F$1006,"",0,-1),""))</f>
        <v/>
      </c>
      <c r="Q798" s="31">
        <f>IF(COUNTIFS('Manutenção'!$B$7:$B$1006,$A798,'Manutenção'!$H$7:$H$1006,"EM CONSERTO")&gt;0,1,0)</f>
        <v>0</v>
      </c>
    </row>
    <row r="799" ht="15.0" hidden="1" customHeight="1">
      <c r="A799" s="15"/>
      <c r="B799" s="17"/>
      <c r="C799" s="17"/>
      <c r="D799" s="17"/>
      <c r="E799" s="17"/>
      <c r="F799" s="17"/>
      <c r="G799" s="18"/>
      <c r="H799" s="15"/>
      <c r="I799" s="15"/>
      <c r="J799" s="24" t="str">
        <f t="array" ref="J799">IF($A799="","",IFERROR(_xlfn.XLOOKUP($A799,'Movimentação'!$B$7:$B$1006,'Movimentação'!$E$7:$E$1006,"",0,-1),""))</f>
        <v/>
      </c>
      <c r="K799" s="24" t="str">
        <f t="array" ref="K799">IF($A799="","",IFERROR(_xlfn.XLOOKUP($A799,'Movimentação'!$B$7:$B$1006,'Movimentação'!$G$7:$G$1006,"",0,-1),""))</f>
        <v/>
      </c>
      <c r="L799" s="24" t="str">
        <f t="shared" si="3"/>
        <v/>
      </c>
      <c r="M799" s="17"/>
      <c r="N799" s="30" t="str">
        <f t="array" ref="N799">IF($A799="","",IFERROR(IF(OR($L799="BAIXADO",$L799="FURTADO"),0,INDEX(Listas!$J$2:$J$40,MATCH($B799,Listas!$I$2:$I$40,0))),""))</f>
        <v/>
      </c>
      <c r="P799" s="31" t="str">
        <f t="array" ref="P799">IF($A799="","",IFERROR(_xlfn.XLOOKUP($A799,'Movimentação'!$B$7:$B$1006,'Movimentação'!$F$7:$F$1006,"",0,-1),""))</f>
        <v/>
      </c>
      <c r="Q799" s="31">
        <f>IF(COUNTIFS('Manutenção'!$B$7:$B$1006,$A799,'Manutenção'!$H$7:$H$1006,"EM CONSERTO")&gt;0,1,0)</f>
        <v>0</v>
      </c>
    </row>
    <row r="800" ht="15.0" hidden="1" customHeight="1">
      <c r="A800" s="15"/>
      <c r="B800" s="17"/>
      <c r="C800" s="17"/>
      <c r="D800" s="17"/>
      <c r="E800" s="17"/>
      <c r="F800" s="17"/>
      <c r="G800" s="18"/>
      <c r="H800" s="15"/>
      <c r="I800" s="15"/>
      <c r="J800" s="24" t="str">
        <f t="array" ref="J800">IF($A800="","",IFERROR(_xlfn.XLOOKUP($A800,'Movimentação'!$B$7:$B$1006,'Movimentação'!$E$7:$E$1006,"",0,-1),""))</f>
        <v/>
      </c>
      <c r="K800" s="24" t="str">
        <f t="array" ref="K800">IF($A800="","",IFERROR(_xlfn.XLOOKUP($A800,'Movimentação'!$B$7:$B$1006,'Movimentação'!$G$7:$G$1006,"",0,-1),""))</f>
        <v/>
      </c>
      <c r="L800" s="24" t="str">
        <f t="shared" si="3"/>
        <v/>
      </c>
      <c r="M800" s="17"/>
      <c r="N800" s="30" t="str">
        <f t="array" ref="N800">IF($A800="","",IFERROR(IF(OR($L800="BAIXADO",$L800="FURTADO"),0,INDEX(Listas!$J$2:$J$40,MATCH($B800,Listas!$I$2:$I$40,0))),""))</f>
        <v/>
      </c>
      <c r="P800" s="31" t="str">
        <f t="array" ref="P800">IF($A800="","",IFERROR(_xlfn.XLOOKUP($A800,'Movimentação'!$B$7:$B$1006,'Movimentação'!$F$7:$F$1006,"",0,-1),""))</f>
        <v/>
      </c>
      <c r="Q800" s="31">
        <f>IF(COUNTIFS('Manutenção'!$B$7:$B$1006,$A800,'Manutenção'!$H$7:$H$1006,"EM CONSERTO")&gt;0,1,0)</f>
        <v>0</v>
      </c>
    </row>
    <row r="801" ht="15.0" hidden="1" customHeight="1">
      <c r="A801" s="15"/>
      <c r="B801" s="17"/>
      <c r="C801" s="17"/>
      <c r="D801" s="17"/>
      <c r="E801" s="17"/>
      <c r="F801" s="17"/>
      <c r="G801" s="18"/>
      <c r="H801" s="15"/>
      <c r="I801" s="15"/>
      <c r="J801" s="24" t="str">
        <f t="array" ref="J801">IF($A801="","",IFERROR(_xlfn.XLOOKUP($A801,'Movimentação'!$B$7:$B$1006,'Movimentação'!$E$7:$E$1006,"",0,-1),""))</f>
        <v/>
      </c>
      <c r="K801" s="24" t="str">
        <f t="array" ref="K801">IF($A801="","",IFERROR(_xlfn.XLOOKUP($A801,'Movimentação'!$B$7:$B$1006,'Movimentação'!$G$7:$G$1006,"",0,-1),""))</f>
        <v/>
      </c>
      <c r="L801" s="24" t="str">
        <f t="shared" si="3"/>
        <v/>
      </c>
      <c r="M801" s="17"/>
      <c r="N801" s="30" t="str">
        <f t="array" ref="N801">IF($A801="","",IFERROR(IF(OR($L801="BAIXADO",$L801="FURTADO"),0,INDEX(Listas!$J$2:$J$40,MATCH($B801,Listas!$I$2:$I$40,0))),""))</f>
        <v/>
      </c>
      <c r="P801" s="31" t="str">
        <f t="array" ref="P801">IF($A801="","",IFERROR(_xlfn.XLOOKUP($A801,'Movimentação'!$B$7:$B$1006,'Movimentação'!$F$7:$F$1006,"",0,-1),""))</f>
        <v/>
      </c>
      <c r="Q801" s="31">
        <f>IF(COUNTIFS('Manutenção'!$B$7:$B$1006,$A801,'Manutenção'!$H$7:$H$1006,"EM CONSERTO")&gt;0,1,0)</f>
        <v>0</v>
      </c>
    </row>
    <row r="802" ht="15.0" hidden="1" customHeight="1">
      <c r="A802" s="15"/>
      <c r="B802" s="17"/>
      <c r="C802" s="17"/>
      <c r="D802" s="17"/>
      <c r="E802" s="17"/>
      <c r="F802" s="17"/>
      <c r="G802" s="18"/>
      <c r="H802" s="15"/>
      <c r="I802" s="15"/>
      <c r="J802" s="24" t="str">
        <f t="array" ref="J802">IF($A802="","",IFERROR(_xlfn.XLOOKUP($A802,'Movimentação'!$B$7:$B$1006,'Movimentação'!$E$7:$E$1006,"",0,-1),""))</f>
        <v/>
      </c>
      <c r="K802" s="24" t="str">
        <f t="array" ref="K802">IF($A802="","",IFERROR(_xlfn.XLOOKUP($A802,'Movimentação'!$B$7:$B$1006,'Movimentação'!$G$7:$G$1006,"",0,-1),""))</f>
        <v/>
      </c>
      <c r="L802" s="24" t="str">
        <f t="shared" si="3"/>
        <v/>
      </c>
      <c r="M802" s="17"/>
      <c r="N802" s="30" t="str">
        <f t="array" ref="N802">IF($A802="","",IFERROR(IF(OR($L802="BAIXADO",$L802="FURTADO"),0,INDEX(Listas!$J$2:$J$40,MATCH($B802,Listas!$I$2:$I$40,0))),""))</f>
        <v/>
      </c>
      <c r="P802" s="31" t="str">
        <f t="array" ref="P802">IF($A802="","",IFERROR(_xlfn.XLOOKUP($A802,'Movimentação'!$B$7:$B$1006,'Movimentação'!$F$7:$F$1006,"",0,-1),""))</f>
        <v/>
      </c>
      <c r="Q802" s="31">
        <f>IF(COUNTIFS('Manutenção'!$B$7:$B$1006,$A802,'Manutenção'!$H$7:$H$1006,"EM CONSERTO")&gt;0,1,0)</f>
        <v>0</v>
      </c>
    </row>
    <row r="803" ht="15.0" hidden="1" customHeight="1">
      <c r="A803" s="15"/>
      <c r="B803" s="17"/>
      <c r="C803" s="17"/>
      <c r="D803" s="17"/>
      <c r="E803" s="17"/>
      <c r="F803" s="17"/>
      <c r="G803" s="18"/>
      <c r="H803" s="15"/>
      <c r="I803" s="15"/>
      <c r="J803" s="24" t="str">
        <f t="array" ref="J803">IF($A803="","",IFERROR(_xlfn.XLOOKUP($A803,'Movimentação'!$B$7:$B$1006,'Movimentação'!$E$7:$E$1006,"",0,-1),""))</f>
        <v/>
      </c>
      <c r="K803" s="24" t="str">
        <f t="array" ref="K803">IF($A803="","",IFERROR(_xlfn.XLOOKUP($A803,'Movimentação'!$B$7:$B$1006,'Movimentação'!$G$7:$G$1006,"",0,-1),""))</f>
        <v/>
      </c>
      <c r="L803" s="24" t="str">
        <f t="shared" si="3"/>
        <v/>
      </c>
      <c r="M803" s="17"/>
      <c r="N803" s="30" t="str">
        <f t="array" ref="N803">IF($A803="","",IFERROR(IF(OR($L803="BAIXADO",$L803="FURTADO"),0,INDEX(Listas!$J$2:$J$40,MATCH($B803,Listas!$I$2:$I$40,0))),""))</f>
        <v/>
      </c>
      <c r="P803" s="31" t="str">
        <f t="array" ref="P803">IF($A803="","",IFERROR(_xlfn.XLOOKUP($A803,'Movimentação'!$B$7:$B$1006,'Movimentação'!$F$7:$F$1006,"",0,-1),""))</f>
        <v/>
      </c>
      <c r="Q803" s="31">
        <f>IF(COUNTIFS('Manutenção'!$B$7:$B$1006,$A803,'Manutenção'!$H$7:$H$1006,"EM CONSERTO")&gt;0,1,0)</f>
        <v>0</v>
      </c>
    </row>
    <row r="804" ht="15.0" hidden="1" customHeight="1">
      <c r="A804" s="15"/>
      <c r="B804" s="17"/>
      <c r="C804" s="17"/>
      <c r="D804" s="17"/>
      <c r="E804" s="17"/>
      <c r="F804" s="17"/>
      <c r="G804" s="18"/>
      <c r="H804" s="15"/>
      <c r="I804" s="15"/>
      <c r="J804" s="24" t="str">
        <f t="array" ref="J804">IF($A804="","",IFERROR(_xlfn.XLOOKUP($A804,'Movimentação'!$B$7:$B$1006,'Movimentação'!$E$7:$E$1006,"",0,-1),""))</f>
        <v/>
      </c>
      <c r="K804" s="24" t="str">
        <f t="array" ref="K804">IF($A804="","",IFERROR(_xlfn.XLOOKUP($A804,'Movimentação'!$B$7:$B$1006,'Movimentação'!$G$7:$G$1006,"",0,-1),""))</f>
        <v/>
      </c>
      <c r="L804" s="24" t="str">
        <f t="shared" si="3"/>
        <v/>
      </c>
      <c r="M804" s="17"/>
      <c r="N804" s="30" t="str">
        <f t="array" ref="N804">IF($A804="","",IFERROR(IF(OR($L804="BAIXADO",$L804="FURTADO"),0,INDEX(Listas!$J$2:$J$40,MATCH($B804,Listas!$I$2:$I$40,0))),""))</f>
        <v/>
      </c>
      <c r="P804" s="31" t="str">
        <f t="array" ref="P804">IF($A804="","",IFERROR(_xlfn.XLOOKUP($A804,'Movimentação'!$B$7:$B$1006,'Movimentação'!$F$7:$F$1006,"",0,-1),""))</f>
        <v/>
      </c>
      <c r="Q804" s="31">
        <f>IF(COUNTIFS('Manutenção'!$B$7:$B$1006,$A804,'Manutenção'!$H$7:$H$1006,"EM CONSERTO")&gt;0,1,0)</f>
        <v>0</v>
      </c>
    </row>
    <row r="805" ht="15.0" hidden="1" customHeight="1">
      <c r="A805" s="15"/>
      <c r="B805" s="17"/>
      <c r="C805" s="17"/>
      <c r="D805" s="17"/>
      <c r="E805" s="17"/>
      <c r="F805" s="17"/>
      <c r="G805" s="18"/>
      <c r="H805" s="15"/>
      <c r="I805" s="15"/>
      <c r="J805" s="24" t="str">
        <f t="array" ref="J805">IF($A805="","",IFERROR(_xlfn.XLOOKUP($A805,'Movimentação'!$B$7:$B$1006,'Movimentação'!$E$7:$E$1006,"",0,-1),""))</f>
        <v/>
      </c>
      <c r="K805" s="24" t="str">
        <f t="array" ref="K805">IF($A805="","",IFERROR(_xlfn.XLOOKUP($A805,'Movimentação'!$B$7:$B$1006,'Movimentação'!$G$7:$G$1006,"",0,-1),""))</f>
        <v/>
      </c>
      <c r="L805" s="24" t="str">
        <f t="shared" si="3"/>
        <v/>
      </c>
      <c r="M805" s="17"/>
      <c r="N805" s="30" t="str">
        <f t="array" ref="N805">IF($A805="","",IFERROR(IF(OR($L805="BAIXADO",$L805="FURTADO"),0,INDEX(Listas!$J$2:$J$40,MATCH($B805,Listas!$I$2:$I$40,0))),""))</f>
        <v/>
      </c>
      <c r="P805" s="31" t="str">
        <f t="array" ref="P805">IF($A805="","",IFERROR(_xlfn.XLOOKUP($A805,'Movimentação'!$B$7:$B$1006,'Movimentação'!$F$7:$F$1006,"",0,-1),""))</f>
        <v/>
      </c>
      <c r="Q805" s="31">
        <f>IF(COUNTIFS('Manutenção'!$B$7:$B$1006,$A805,'Manutenção'!$H$7:$H$1006,"EM CONSERTO")&gt;0,1,0)</f>
        <v>0</v>
      </c>
    </row>
    <row r="806" ht="15.0" hidden="1" customHeight="1">
      <c r="A806" s="15"/>
      <c r="B806" s="17"/>
      <c r="C806" s="17"/>
      <c r="D806" s="17"/>
      <c r="E806" s="17"/>
      <c r="F806" s="17"/>
      <c r="G806" s="18"/>
      <c r="H806" s="15"/>
      <c r="I806" s="15"/>
      <c r="J806" s="24" t="str">
        <f t="array" ref="J806">IF($A806="","",IFERROR(_xlfn.XLOOKUP($A806,'Movimentação'!$B$7:$B$1006,'Movimentação'!$E$7:$E$1006,"",0,-1),""))</f>
        <v/>
      </c>
      <c r="K806" s="24" t="str">
        <f t="array" ref="K806">IF($A806="","",IFERROR(_xlfn.XLOOKUP($A806,'Movimentação'!$B$7:$B$1006,'Movimentação'!$G$7:$G$1006,"",0,-1),""))</f>
        <v/>
      </c>
      <c r="L806" s="24" t="str">
        <f t="shared" si="3"/>
        <v/>
      </c>
      <c r="M806" s="17"/>
      <c r="N806" s="30" t="str">
        <f t="array" ref="N806">IF($A806="","",IFERROR(IF(OR($L806="BAIXADO",$L806="FURTADO"),0,INDEX(Listas!$J$2:$J$40,MATCH($B806,Listas!$I$2:$I$40,0))),""))</f>
        <v/>
      </c>
      <c r="P806" s="31" t="str">
        <f t="array" ref="P806">IF($A806="","",IFERROR(_xlfn.XLOOKUP($A806,'Movimentação'!$B$7:$B$1006,'Movimentação'!$F$7:$F$1006,"",0,-1),""))</f>
        <v/>
      </c>
      <c r="Q806" s="31">
        <f>IF(COUNTIFS('Manutenção'!$B$7:$B$1006,$A806,'Manutenção'!$H$7:$H$1006,"EM CONSERTO")&gt;0,1,0)</f>
        <v>0</v>
      </c>
    </row>
    <row r="807" ht="15.0" hidden="1" customHeight="1">
      <c r="A807" s="15"/>
      <c r="B807" s="17"/>
      <c r="C807" s="17"/>
      <c r="D807" s="17"/>
      <c r="E807" s="17"/>
      <c r="F807" s="17"/>
      <c r="G807" s="18"/>
      <c r="H807" s="15"/>
      <c r="I807" s="15"/>
      <c r="J807" s="24" t="str">
        <f t="array" ref="J807">IF($A807="","",IFERROR(_xlfn.XLOOKUP($A807,'Movimentação'!$B$7:$B$1006,'Movimentação'!$E$7:$E$1006,"",0,-1),""))</f>
        <v/>
      </c>
      <c r="K807" s="24" t="str">
        <f t="array" ref="K807">IF($A807="","",IFERROR(_xlfn.XLOOKUP($A807,'Movimentação'!$B$7:$B$1006,'Movimentação'!$G$7:$G$1006,"",0,-1),""))</f>
        <v/>
      </c>
      <c r="L807" s="24" t="str">
        <f t="shared" si="3"/>
        <v/>
      </c>
      <c r="M807" s="17"/>
      <c r="N807" s="30" t="str">
        <f t="array" ref="N807">IF($A807="","",IFERROR(IF(OR($L807="BAIXADO",$L807="FURTADO"),0,INDEX(Listas!$J$2:$J$40,MATCH($B807,Listas!$I$2:$I$40,0))),""))</f>
        <v/>
      </c>
      <c r="P807" s="31" t="str">
        <f t="array" ref="P807">IF($A807="","",IFERROR(_xlfn.XLOOKUP($A807,'Movimentação'!$B$7:$B$1006,'Movimentação'!$F$7:$F$1006,"",0,-1),""))</f>
        <v/>
      </c>
      <c r="Q807" s="31">
        <f>IF(COUNTIFS('Manutenção'!$B$7:$B$1006,$A807,'Manutenção'!$H$7:$H$1006,"EM CONSERTO")&gt;0,1,0)</f>
        <v>0</v>
      </c>
    </row>
    <row r="808" ht="15.0" hidden="1" customHeight="1">
      <c r="A808" s="15"/>
      <c r="B808" s="17"/>
      <c r="C808" s="17"/>
      <c r="D808" s="17"/>
      <c r="E808" s="17"/>
      <c r="F808" s="17"/>
      <c r="G808" s="18"/>
      <c r="H808" s="15"/>
      <c r="I808" s="15"/>
      <c r="J808" s="24" t="str">
        <f t="array" ref="J808">IF($A808="","",IFERROR(_xlfn.XLOOKUP($A808,'Movimentação'!$B$7:$B$1006,'Movimentação'!$E$7:$E$1006,"",0,-1),""))</f>
        <v/>
      </c>
      <c r="K808" s="24" t="str">
        <f t="array" ref="K808">IF($A808="","",IFERROR(_xlfn.XLOOKUP($A808,'Movimentação'!$B$7:$B$1006,'Movimentação'!$G$7:$G$1006,"",0,-1),""))</f>
        <v/>
      </c>
      <c r="L808" s="24" t="str">
        <f t="shared" si="3"/>
        <v/>
      </c>
      <c r="M808" s="17"/>
      <c r="N808" s="30" t="str">
        <f t="array" ref="N808">IF($A808="","",IFERROR(IF(OR($L808="BAIXADO",$L808="FURTADO"),0,INDEX(Listas!$J$2:$J$40,MATCH($B808,Listas!$I$2:$I$40,0))),""))</f>
        <v/>
      </c>
      <c r="P808" s="31" t="str">
        <f t="array" ref="P808">IF($A808="","",IFERROR(_xlfn.XLOOKUP($A808,'Movimentação'!$B$7:$B$1006,'Movimentação'!$F$7:$F$1006,"",0,-1),""))</f>
        <v/>
      </c>
      <c r="Q808" s="31">
        <f>IF(COUNTIFS('Manutenção'!$B$7:$B$1006,$A808,'Manutenção'!$H$7:$H$1006,"EM CONSERTO")&gt;0,1,0)</f>
        <v>0</v>
      </c>
    </row>
    <row r="809" ht="15.0" hidden="1" customHeight="1">
      <c r="A809" s="15"/>
      <c r="B809" s="17"/>
      <c r="C809" s="17"/>
      <c r="D809" s="17"/>
      <c r="E809" s="17"/>
      <c r="F809" s="17"/>
      <c r="G809" s="18"/>
      <c r="H809" s="15"/>
      <c r="I809" s="15"/>
      <c r="J809" s="24" t="str">
        <f t="array" ref="J809">IF($A809="","",IFERROR(_xlfn.XLOOKUP($A809,'Movimentação'!$B$7:$B$1006,'Movimentação'!$E$7:$E$1006,"",0,-1),""))</f>
        <v/>
      </c>
      <c r="K809" s="24" t="str">
        <f t="array" ref="K809">IF($A809="","",IFERROR(_xlfn.XLOOKUP($A809,'Movimentação'!$B$7:$B$1006,'Movimentação'!$G$7:$G$1006,"",0,-1),""))</f>
        <v/>
      </c>
      <c r="L809" s="24" t="str">
        <f t="shared" si="3"/>
        <v/>
      </c>
      <c r="M809" s="17"/>
      <c r="N809" s="30" t="str">
        <f t="array" ref="N809">IF($A809="","",IFERROR(IF(OR($L809="BAIXADO",$L809="FURTADO"),0,INDEX(Listas!$J$2:$J$40,MATCH($B809,Listas!$I$2:$I$40,0))),""))</f>
        <v/>
      </c>
      <c r="P809" s="31" t="str">
        <f t="array" ref="P809">IF($A809="","",IFERROR(_xlfn.XLOOKUP($A809,'Movimentação'!$B$7:$B$1006,'Movimentação'!$F$7:$F$1006,"",0,-1),""))</f>
        <v/>
      </c>
      <c r="Q809" s="31">
        <f>IF(COUNTIFS('Manutenção'!$B$7:$B$1006,$A809,'Manutenção'!$H$7:$H$1006,"EM CONSERTO")&gt;0,1,0)</f>
        <v>0</v>
      </c>
    </row>
    <row r="810" ht="15.0" hidden="1" customHeight="1">
      <c r="A810" s="15"/>
      <c r="B810" s="17"/>
      <c r="C810" s="17"/>
      <c r="D810" s="17"/>
      <c r="E810" s="17"/>
      <c r="F810" s="17"/>
      <c r="G810" s="18"/>
      <c r="H810" s="15"/>
      <c r="I810" s="15"/>
      <c r="J810" s="24" t="str">
        <f t="array" ref="J810">IF($A810="","",IFERROR(_xlfn.XLOOKUP($A810,'Movimentação'!$B$7:$B$1006,'Movimentação'!$E$7:$E$1006,"",0,-1),""))</f>
        <v/>
      </c>
      <c r="K810" s="24" t="str">
        <f t="array" ref="K810">IF($A810="","",IFERROR(_xlfn.XLOOKUP($A810,'Movimentação'!$B$7:$B$1006,'Movimentação'!$G$7:$G$1006,"",0,-1),""))</f>
        <v/>
      </c>
      <c r="L810" s="24" t="str">
        <f t="shared" si="3"/>
        <v/>
      </c>
      <c r="M810" s="17"/>
      <c r="N810" s="30" t="str">
        <f t="array" ref="N810">IF($A810="","",IFERROR(IF(OR($L810="BAIXADO",$L810="FURTADO"),0,INDEX(Listas!$J$2:$J$40,MATCH($B810,Listas!$I$2:$I$40,0))),""))</f>
        <v/>
      </c>
      <c r="P810" s="31" t="str">
        <f t="array" ref="P810">IF($A810="","",IFERROR(_xlfn.XLOOKUP($A810,'Movimentação'!$B$7:$B$1006,'Movimentação'!$F$7:$F$1006,"",0,-1),""))</f>
        <v/>
      </c>
      <c r="Q810" s="31">
        <f>IF(COUNTIFS('Manutenção'!$B$7:$B$1006,$A810,'Manutenção'!$H$7:$H$1006,"EM CONSERTO")&gt;0,1,0)</f>
        <v>0</v>
      </c>
    </row>
    <row r="811" ht="15.0" hidden="1" customHeight="1">
      <c r="A811" s="15"/>
      <c r="B811" s="17"/>
      <c r="C811" s="17"/>
      <c r="D811" s="17"/>
      <c r="E811" s="17"/>
      <c r="F811" s="17"/>
      <c r="G811" s="18"/>
      <c r="H811" s="15"/>
      <c r="I811" s="15"/>
      <c r="J811" s="24" t="str">
        <f t="array" ref="J811">IF($A811="","",IFERROR(_xlfn.XLOOKUP($A811,'Movimentação'!$B$7:$B$1006,'Movimentação'!$E$7:$E$1006,"",0,-1),""))</f>
        <v/>
      </c>
      <c r="K811" s="24" t="str">
        <f t="array" ref="K811">IF($A811="","",IFERROR(_xlfn.XLOOKUP($A811,'Movimentação'!$B$7:$B$1006,'Movimentação'!$G$7:$G$1006,"",0,-1),""))</f>
        <v/>
      </c>
      <c r="L811" s="24" t="str">
        <f t="shared" si="3"/>
        <v/>
      </c>
      <c r="M811" s="17"/>
      <c r="N811" s="30" t="str">
        <f t="array" ref="N811">IF($A811="","",IFERROR(IF(OR($L811="BAIXADO",$L811="FURTADO"),0,INDEX(Listas!$J$2:$J$40,MATCH($B811,Listas!$I$2:$I$40,0))),""))</f>
        <v/>
      </c>
      <c r="P811" s="31" t="str">
        <f t="array" ref="P811">IF($A811="","",IFERROR(_xlfn.XLOOKUP($A811,'Movimentação'!$B$7:$B$1006,'Movimentação'!$F$7:$F$1006,"",0,-1),""))</f>
        <v/>
      </c>
      <c r="Q811" s="31">
        <f>IF(COUNTIFS('Manutenção'!$B$7:$B$1006,$A811,'Manutenção'!$H$7:$H$1006,"EM CONSERTO")&gt;0,1,0)</f>
        <v>0</v>
      </c>
    </row>
    <row r="812" ht="15.0" hidden="1" customHeight="1">
      <c r="A812" s="15"/>
      <c r="B812" s="17"/>
      <c r="C812" s="17"/>
      <c r="D812" s="17"/>
      <c r="E812" s="17"/>
      <c r="F812" s="17"/>
      <c r="G812" s="18"/>
      <c r="H812" s="15"/>
      <c r="I812" s="15"/>
      <c r="J812" s="24" t="str">
        <f t="array" ref="J812">IF($A812="","",IFERROR(_xlfn.XLOOKUP($A812,'Movimentação'!$B$7:$B$1006,'Movimentação'!$E$7:$E$1006,"",0,-1),""))</f>
        <v/>
      </c>
      <c r="K812" s="24" t="str">
        <f t="array" ref="K812">IF($A812="","",IFERROR(_xlfn.XLOOKUP($A812,'Movimentação'!$B$7:$B$1006,'Movimentação'!$G$7:$G$1006,"",0,-1),""))</f>
        <v/>
      </c>
      <c r="L812" s="24" t="str">
        <f t="shared" si="3"/>
        <v/>
      </c>
      <c r="M812" s="17"/>
      <c r="N812" s="30" t="str">
        <f t="array" ref="N812">IF($A812="","",IFERROR(IF(OR($L812="BAIXADO",$L812="FURTADO"),0,INDEX(Listas!$J$2:$J$40,MATCH($B812,Listas!$I$2:$I$40,0))),""))</f>
        <v/>
      </c>
      <c r="P812" s="31" t="str">
        <f t="array" ref="P812">IF($A812="","",IFERROR(_xlfn.XLOOKUP($A812,'Movimentação'!$B$7:$B$1006,'Movimentação'!$F$7:$F$1006,"",0,-1),""))</f>
        <v/>
      </c>
      <c r="Q812" s="31">
        <f>IF(COUNTIFS('Manutenção'!$B$7:$B$1006,$A812,'Manutenção'!$H$7:$H$1006,"EM CONSERTO")&gt;0,1,0)</f>
        <v>0</v>
      </c>
    </row>
    <row r="813" ht="15.0" hidden="1" customHeight="1">
      <c r="A813" s="15"/>
      <c r="B813" s="17"/>
      <c r="C813" s="17"/>
      <c r="D813" s="17"/>
      <c r="E813" s="17"/>
      <c r="F813" s="17"/>
      <c r="G813" s="18"/>
      <c r="H813" s="15"/>
      <c r="I813" s="15"/>
      <c r="J813" s="24" t="str">
        <f t="array" ref="J813">IF($A813="","",IFERROR(_xlfn.XLOOKUP($A813,'Movimentação'!$B$7:$B$1006,'Movimentação'!$E$7:$E$1006,"",0,-1),""))</f>
        <v/>
      </c>
      <c r="K813" s="24" t="str">
        <f t="array" ref="K813">IF($A813="","",IFERROR(_xlfn.XLOOKUP($A813,'Movimentação'!$B$7:$B$1006,'Movimentação'!$G$7:$G$1006,"",0,-1),""))</f>
        <v/>
      </c>
      <c r="L813" s="24" t="str">
        <f t="shared" si="3"/>
        <v/>
      </c>
      <c r="M813" s="17"/>
      <c r="N813" s="30" t="str">
        <f t="array" ref="N813">IF($A813="","",IFERROR(IF(OR($L813="BAIXADO",$L813="FURTADO"),0,INDEX(Listas!$J$2:$J$40,MATCH($B813,Listas!$I$2:$I$40,0))),""))</f>
        <v/>
      </c>
      <c r="P813" s="31" t="str">
        <f t="array" ref="P813">IF($A813="","",IFERROR(_xlfn.XLOOKUP($A813,'Movimentação'!$B$7:$B$1006,'Movimentação'!$F$7:$F$1006,"",0,-1),""))</f>
        <v/>
      </c>
      <c r="Q813" s="31">
        <f>IF(COUNTIFS('Manutenção'!$B$7:$B$1006,$A813,'Manutenção'!$H$7:$H$1006,"EM CONSERTO")&gt;0,1,0)</f>
        <v>0</v>
      </c>
    </row>
    <row r="814" ht="15.0" hidden="1" customHeight="1">
      <c r="A814" s="15"/>
      <c r="B814" s="17"/>
      <c r="C814" s="17"/>
      <c r="D814" s="17"/>
      <c r="E814" s="17"/>
      <c r="F814" s="17"/>
      <c r="G814" s="18"/>
      <c r="H814" s="15"/>
      <c r="I814" s="15"/>
      <c r="J814" s="24" t="str">
        <f t="array" ref="J814">IF($A814="","",IFERROR(_xlfn.XLOOKUP($A814,'Movimentação'!$B$7:$B$1006,'Movimentação'!$E$7:$E$1006,"",0,-1),""))</f>
        <v/>
      </c>
      <c r="K814" s="24" t="str">
        <f t="array" ref="K814">IF($A814="","",IFERROR(_xlfn.XLOOKUP($A814,'Movimentação'!$B$7:$B$1006,'Movimentação'!$G$7:$G$1006,"",0,-1),""))</f>
        <v/>
      </c>
      <c r="L814" s="24" t="str">
        <f t="shared" si="3"/>
        <v/>
      </c>
      <c r="M814" s="17"/>
      <c r="N814" s="30" t="str">
        <f t="array" ref="N814">IF($A814="","",IFERROR(IF(OR($L814="BAIXADO",$L814="FURTADO"),0,INDEX(Listas!$J$2:$J$40,MATCH($B814,Listas!$I$2:$I$40,0))),""))</f>
        <v/>
      </c>
      <c r="P814" s="31" t="str">
        <f t="array" ref="P814">IF($A814="","",IFERROR(_xlfn.XLOOKUP($A814,'Movimentação'!$B$7:$B$1006,'Movimentação'!$F$7:$F$1006,"",0,-1),""))</f>
        <v/>
      </c>
      <c r="Q814" s="31">
        <f>IF(COUNTIFS('Manutenção'!$B$7:$B$1006,$A814,'Manutenção'!$H$7:$H$1006,"EM CONSERTO")&gt;0,1,0)</f>
        <v>0</v>
      </c>
    </row>
    <row r="815" ht="15.0" hidden="1" customHeight="1">
      <c r="A815" s="15"/>
      <c r="B815" s="17"/>
      <c r="C815" s="17"/>
      <c r="D815" s="17"/>
      <c r="E815" s="17"/>
      <c r="F815" s="17"/>
      <c r="G815" s="18"/>
      <c r="H815" s="15"/>
      <c r="I815" s="15"/>
      <c r="J815" s="24" t="str">
        <f t="array" ref="J815">IF($A815="","",IFERROR(_xlfn.XLOOKUP($A815,'Movimentação'!$B$7:$B$1006,'Movimentação'!$E$7:$E$1006,"",0,-1),""))</f>
        <v/>
      </c>
      <c r="K815" s="24" t="str">
        <f t="array" ref="K815">IF($A815="","",IFERROR(_xlfn.XLOOKUP($A815,'Movimentação'!$B$7:$B$1006,'Movimentação'!$G$7:$G$1006,"",0,-1),""))</f>
        <v/>
      </c>
      <c r="L815" s="24" t="str">
        <f t="shared" si="3"/>
        <v/>
      </c>
      <c r="M815" s="17"/>
      <c r="N815" s="30" t="str">
        <f t="array" ref="N815">IF($A815="","",IFERROR(IF(OR($L815="BAIXADO",$L815="FURTADO"),0,INDEX(Listas!$J$2:$J$40,MATCH($B815,Listas!$I$2:$I$40,0))),""))</f>
        <v/>
      </c>
      <c r="P815" s="31" t="str">
        <f t="array" ref="P815">IF($A815="","",IFERROR(_xlfn.XLOOKUP($A815,'Movimentação'!$B$7:$B$1006,'Movimentação'!$F$7:$F$1006,"",0,-1),""))</f>
        <v/>
      </c>
      <c r="Q815" s="31">
        <f>IF(COUNTIFS('Manutenção'!$B$7:$B$1006,$A815,'Manutenção'!$H$7:$H$1006,"EM CONSERTO")&gt;0,1,0)</f>
        <v>0</v>
      </c>
    </row>
    <row r="816" ht="15.0" hidden="1" customHeight="1">
      <c r="A816" s="15"/>
      <c r="B816" s="17"/>
      <c r="C816" s="17"/>
      <c r="D816" s="17"/>
      <c r="E816" s="17"/>
      <c r="F816" s="17"/>
      <c r="G816" s="18"/>
      <c r="H816" s="15"/>
      <c r="I816" s="15"/>
      <c r="J816" s="24" t="str">
        <f t="array" ref="J816">IF($A816="","",IFERROR(_xlfn.XLOOKUP($A816,'Movimentação'!$B$7:$B$1006,'Movimentação'!$E$7:$E$1006,"",0,-1),""))</f>
        <v/>
      </c>
      <c r="K816" s="24" t="str">
        <f t="array" ref="K816">IF($A816="","",IFERROR(_xlfn.XLOOKUP($A816,'Movimentação'!$B$7:$B$1006,'Movimentação'!$G$7:$G$1006,"",0,-1),""))</f>
        <v/>
      </c>
      <c r="L816" s="24" t="str">
        <f t="shared" si="3"/>
        <v/>
      </c>
      <c r="M816" s="17"/>
      <c r="N816" s="30" t="str">
        <f t="array" ref="N816">IF($A816="","",IFERROR(IF(OR($L816="BAIXADO",$L816="FURTADO"),0,INDEX(Listas!$J$2:$J$40,MATCH($B816,Listas!$I$2:$I$40,0))),""))</f>
        <v/>
      </c>
      <c r="P816" s="31" t="str">
        <f t="array" ref="P816">IF($A816="","",IFERROR(_xlfn.XLOOKUP($A816,'Movimentação'!$B$7:$B$1006,'Movimentação'!$F$7:$F$1006,"",0,-1),""))</f>
        <v/>
      </c>
      <c r="Q816" s="31">
        <f>IF(COUNTIFS('Manutenção'!$B$7:$B$1006,$A816,'Manutenção'!$H$7:$H$1006,"EM CONSERTO")&gt;0,1,0)</f>
        <v>0</v>
      </c>
    </row>
    <row r="817" ht="15.0" hidden="1" customHeight="1">
      <c r="A817" s="15"/>
      <c r="B817" s="17"/>
      <c r="C817" s="17"/>
      <c r="D817" s="17"/>
      <c r="E817" s="17"/>
      <c r="F817" s="17"/>
      <c r="G817" s="18"/>
      <c r="H817" s="15"/>
      <c r="I817" s="15"/>
      <c r="J817" s="24" t="str">
        <f t="array" ref="J817">IF($A817="","",IFERROR(_xlfn.XLOOKUP($A817,'Movimentação'!$B$7:$B$1006,'Movimentação'!$E$7:$E$1006,"",0,-1),""))</f>
        <v/>
      </c>
      <c r="K817" s="24" t="str">
        <f t="array" ref="K817">IF($A817="","",IFERROR(_xlfn.XLOOKUP($A817,'Movimentação'!$B$7:$B$1006,'Movimentação'!$G$7:$G$1006,"",0,-1),""))</f>
        <v/>
      </c>
      <c r="L817" s="24" t="str">
        <f t="shared" si="3"/>
        <v/>
      </c>
      <c r="M817" s="17"/>
      <c r="N817" s="30" t="str">
        <f t="array" ref="N817">IF($A817="","",IFERROR(IF(OR($L817="BAIXADO",$L817="FURTADO"),0,INDEX(Listas!$J$2:$J$40,MATCH($B817,Listas!$I$2:$I$40,0))),""))</f>
        <v/>
      </c>
      <c r="P817" s="31" t="str">
        <f t="array" ref="P817">IF($A817="","",IFERROR(_xlfn.XLOOKUP($A817,'Movimentação'!$B$7:$B$1006,'Movimentação'!$F$7:$F$1006,"",0,-1),""))</f>
        <v/>
      </c>
      <c r="Q817" s="31">
        <f>IF(COUNTIFS('Manutenção'!$B$7:$B$1006,$A817,'Manutenção'!$H$7:$H$1006,"EM CONSERTO")&gt;0,1,0)</f>
        <v>0</v>
      </c>
    </row>
    <row r="818" ht="15.0" hidden="1" customHeight="1">
      <c r="A818" s="15"/>
      <c r="B818" s="17"/>
      <c r="C818" s="17"/>
      <c r="D818" s="17"/>
      <c r="E818" s="17"/>
      <c r="F818" s="17"/>
      <c r="G818" s="18"/>
      <c r="H818" s="15"/>
      <c r="I818" s="15"/>
      <c r="J818" s="24" t="str">
        <f t="array" ref="J818">IF($A818="","",IFERROR(_xlfn.XLOOKUP($A818,'Movimentação'!$B$7:$B$1006,'Movimentação'!$E$7:$E$1006,"",0,-1),""))</f>
        <v/>
      </c>
      <c r="K818" s="24" t="str">
        <f t="array" ref="K818">IF($A818="","",IFERROR(_xlfn.XLOOKUP($A818,'Movimentação'!$B$7:$B$1006,'Movimentação'!$G$7:$G$1006,"",0,-1),""))</f>
        <v/>
      </c>
      <c r="L818" s="24" t="str">
        <f t="shared" si="3"/>
        <v/>
      </c>
      <c r="M818" s="17"/>
      <c r="N818" s="30" t="str">
        <f t="array" ref="N818">IF($A818="","",IFERROR(IF(OR($L818="BAIXADO",$L818="FURTADO"),0,INDEX(Listas!$J$2:$J$40,MATCH($B818,Listas!$I$2:$I$40,0))),""))</f>
        <v/>
      </c>
      <c r="P818" s="31" t="str">
        <f t="array" ref="P818">IF($A818="","",IFERROR(_xlfn.XLOOKUP($A818,'Movimentação'!$B$7:$B$1006,'Movimentação'!$F$7:$F$1006,"",0,-1),""))</f>
        <v/>
      </c>
      <c r="Q818" s="31">
        <f>IF(COUNTIFS('Manutenção'!$B$7:$B$1006,$A818,'Manutenção'!$H$7:$H$1006,"EM CONSERTO")&gt;0,1,0)</f>
        <v>0</v>
      </c>
    </row>
    <row r="819" ht="15.0" hidden="1" customHeight="1">
      <c r="A819" s="15"/>
      <c r="B819" s="17"/>
      <c r="C819" s="17"/>
      <c r="D819" s="17"/>
      <c r="E819" s="17"/>
      <c r="F819" s="17"/>
      <c r="G819" s="18"/>
      <c r="H819" s="15"/>
      <c r="I819" s="15"/>
      <c r="J819" s="24" t="str">
        <f t="array" ref="J819">IF($A819="","",IFERROR(_xlfn.XLOOKUP($A819,'Movimentação'!$B$7:$B$1006,'Movimentação'!$E$7:$E$1006,"",0,-1),""))</f>
        <v/>
      </c>
      <c r="K819" s="24" t="str">
        <f t="array" ref="K819">IF($A819="","",IFERROR(_xlfn.XLOOKUP($A819,'Movimentação'!$B$7:$B$1006,'Movimentação'!$G$7:$G$1006,"",0,-1),""))</f>
        <v/>
      </c>
      <c r="L819" s="24" t="str">
        <f t="shared" si="3"/>
        <v/>
      </c>
      <c r="M819" s="17"/>
      <c r="N819" s="30" t="str">
        <f t="array" ref="N819">IF($A819="","",IFERROR(IF(OR($L819="BAIXADO",$L819="FURTADO"),0,INDEX(Listas!$J$2:$J$40,MATCH($B819,Listas!$I$2:$I$40,0))),""))</f>
        <v/>
      </c>
      <c r="P819" s="31" t="str">
        <f t="array" ref="P819">IF($A819="","",IFERROR(_xlfn.XLOOKUP($A819,'Movimentação'!$B$7:$B$1006,'Movimentação'!$F$7:$F$1006,"",0,-1),""))</f>
        <v/>
      </c>
      <c r="Q819" s="31">
        <f>IF(COUNTIFS('Manutenção'!$B$7:$B$1006,$A819,'Manutenção'!$H$7:$H$1006,"EM CONSERTO")&gt;0,1,0)</f>
        <v>0</v>
      </c>
    </row>
    <row r="820" ht="15.0" hidden="1" customHeight="1">
      <c r="A820" s="15"/>
      <c r="B820" s="17"/>
      <c r="C820" s="17"/>
      <c r="D820" s="17"/>
      <c r="E820" s="17"/>
      <c r="F820" s="17"/>
      <c r="G820" s="18"/>
      <c r="H820" s="15"/>
      <c r="I820" s="15"/>
      <c r="J820" s="24" t="str">
        <f t="array" ref="J820">IF($A820="","",IFERROR(_xlfn.XLOOKUP($A820,'Movimentação'!$B$7:$B$1006,'Movimentação'!$E$7:$E$1006,"",0,-1),""))</f>
        <v/>
      </c>
      <c r="K820" s="24" t="str">
        <f t="array" ref="K820">IF($A820="","",IFERROR(_xlfn.XLOOKUP($A820,'Movimentação'!$B$7:$B$1006,'Movimentação'!$G$7:$G$1006,"",0,-1),""))</f>
        <v/>
      </c>
      <c r="L820" s="24" t="str">
        <f t="shared" si="3"/>
        <v/>
      </c>
      <c r="M820" s="17"/>
      <c r="N820" s="30" t="str">
        <f t="array" ref="N820">IF($A820="","",IFERROR(IF(OR($L820="BAIXADO",$L820="FURTADO"),0,INDEX(Listas!$J$2:$J$40,MATCH($B820,Listas!$I$2:$I$40,0))),""))</f>
        <v/>
      </c>
      <c r="P820" s="31" t="str">
        <f t="array" ref="P820">IF($A820="","",IFERROR(_xlfn.XLOOKUP($A820,'Movimentação'!$B$7:$B$1006,'Movimentação'!$F$7:$F$1006,"",0,-1),""))</f>
        <v/>
      </c>
      <c r="Q820" s="31">
        <f>IF(COUNTIFS('Manutenção'!$B$7:$B$1006,$A820,'Manutenção'!$H$7:$H$1006,"EM CONSERTO")&gt;0,1,0)</f>
        <v>0</v>
      </c>
    </row>
    <row r="821" ht="15.0" hidden="1" customHeight="1">
      <c r="A821" s="15"/>
      <c r="B821" s="17"/>
      <c r="C821" s="17"/>
      <c r="D821" s="17"/>
      <c r="E821" s="17"/>
      <c r="F821" s="17"/>
      <c r="G821" s="18"/>
      <c r="H821" s="15"/>
      <c r="I821" s="15"/>
      <c r="J821" s="24" t="str">
        <f t="array" ref="J821">IF($A821="","",IFERROR(_xlfn.XLOOKUP($A821,'Movimentação'!$B$7:$B$1006,'Movimentação'!$E$7:$E$1006,"",0,-1),""))</f>
        <v/>
      </c>
      <c r="K821" s="24" t="str">
        <f t="array" ref="K821">IF($A821="","",IFERROR(_xlfn.XLOOKUP($A821,'Movimentação'!$B$7:$B$1006,'Movimentação'!$G$7:$G$1006,"",0,-1),""))</f>
        <v/>
      </c>
      <c r="L821" s="24" t="str">
        <f t="shared" si="3"/>
        <v/>
      </c>
      <c r="M821" s="17"/>
      <c r="N821" s="30" t="str">
        <f t="array" ref="N821">IF($A821="","",IFERROR(IF(OR($L821="BAIXADO",$L821="FURTADO"),0,INDEX(Listas!$J$2:$J$40,MATCH($B821,Listas!$I$2:$I$40,0))),""))</f>
        <v/>
      </c>
      <c r="P821" s="31" t="str">
        <f t="array" ref="P821">IF($A821="","",IFERROR(_xlfn.XLOOKUP($A821,'Movimentação'!$B$7:$B$1006,'Movimentação'!$F$7:$F$1006,"",0,-1),""))</f>
        <v/>
      </c>
      <c r="Q821" s="31">
        <f>IF(COUNTIFS('Manutenção'!$B$7:$B$1006,$A821,'Manutenção'!$H$7:$H$1006,"EM CONSERTO")&gt;0,1,0)</f>
        <v>0</v>
      </c>
    </row>
    <row r="822" ht="15.0" hidden="1" customHeight="1">
      <c r="A822" s="15"/>
      <c r="B822" s="17"/>
      <c r="C822" s="17"/>
      <c r="D822" s="17"/>
      <c r="E822" s="17"/>
      <c r="F822" s="17"/>
      <c r="G822" s="18"/>
      <c r="H822" s="15"/>
      <c r="I822" s="15"/>
      <c r="J822" s="24" t="str">
        <f t="array" ref="J822">IF($A822="","",IFERROR(_xlfn.XLOOKUP($A822,'Movimentação'!$B$7:$B$1006,'Movimentação'!$E$7:$E$1006,"",0,-1),""))</f>
        <v/>
      </c>
      <c r="K822" s="24" t="str">
        <f t="array" ref="K822">IF($A822="","",IFERROR(_xlfn.XLOOKUP($A822,'Movimentação'!$B$7:$B$1006,'Movimentação'!$G$7:$G$1006,"",0,-1),""))</f>
        <v/>
      </c>
      <c r="L822" s="24" t="str">
        <f t="shared" si="3"/>
        <v/>
      </c>
      <c r="M822" s="17"/>
      <c r="N822" s="30" t="str">
        <f t="array" ref="N822">IF($A822="","",IFERROR(IF(OR($L822="BAIXADO",$L822="FURTADO"),0,INDEX(Listas!$J$2:$J$40,MATCH($B822,Listas!$I$2:$I$40,0))),""))</f>
        <v/>
      </c>
      <c r="P822" s="31" t="str">
        <f t="array" ref="P822">IF($A822="","",IFERROR(_xlfn.XLOOKUP($A822,'Movimentação'!$B$7:$B$1006,'Movimentação'!$F$7:$F$1006,"",0,-1),""))</f>
        <v/>
      </c>
      <c r="Q822" s="31">
        <f>IF(COUNTIFS('Manutenção'!$B$7:$B$1006,$A822,'Manutenção'!$H$7:$H$1006,"EM CONSERTO")&gt;0,1,0)</f>
        <v>0</v>
      </c>
    </row>
    <row r="823" ht="15.0" hidden="1" customHeight="1">
      <c r="A823" s="15"/>
      <c r="B823" s="17"/>
      <c r="C823" s="17"/>
      <c r="D823" s="17"/>
      <c r="E823" s="17"/>
      <c r="F823" s="17"/>
      <c r="G823" s="18"/>
      <c r="H823" s="15"/>
      <c r="I823" s="15"/>
      <c r="J823" s="24" t="str">
        <f t="array" ref="J823">IF($A823="","",IFERROR(_xlfn.XLOOKUP($A823,'Movimentação'!$B$7:$B$1006,'Movimentação'!$E$7:$E$1006,"",0,-1),""))</f>
        <v/>
      </c>
      <c r="K823" s="24" t="str">
        <f t="array" ref="K823">IF($A823="","",IFERROR(_xlfn.XLOOKUP($A823,'Movimentação'!$B$7:$B$1006,'Movimentação'!$G$7:$G$1006,"",0,-1),""))</f>
        <v/>
      </c>
      <c r="L823" s="24" t="str">
        <f t="shared" si="3"/>
        <v/>
      </c>
      <c r="M823" s="17"/>
      <c r="N823" s="30" t="str">
        <f t="array" ref="N823">IF($A823="","",IFERROR(IF(OR($L823="BAIXADO",$L823="FURTADO"),0,INDEX(Listas!$J$2:$J$40,MATCH($B823,Listas!$I$2:$I$40,0))),""))</f>
        <v/>
      </c>
      <c r="P823" s="31" t="str">
        <f t="array" ref="P823">IF($A823="","",IFERROR(_xlfn.XLOOKUP($A823,'Movimentação'!$B$7:$B$1006,'Movimentação'!$F$7:$F$1006,"",0,-1),""))</f>
        <v/>
      </c>
      <c r="Q823" s="31">
        <f>IF(COUNTIFS('Manutenção'!$B$7:$B$1006,$A823,'Manutenção'!$H$7:$H$1006,"EM CONSERTO")&gt;0,1,0)</f>
        <v>0</v>
      </c>
    </row>
    <row r="824" ht="15.0" hidden="1" customHeight="1">
      <c r="A824" s="15"/>
      <c r="B824" s="17"/>
      <c r="C824" s="17"/>
      <c r="D824" s="17"/>
      <c r="E824" s="17"/>
      <c r="F824" s="17"/>
      <c r="G824" s="18"/>
      <c r="H824" s="15"/>
      <c r="I824" s="15"/>
      <c r="J824" s="24" t="str">
        <f t="array" ref="J824">IF($A824="","",IFERROR(_xlfn.XLOOKUP($A824,'Movimentação'!$B$7:$B$1006,'Movimentação'!$E$7:$E$1006,"",0,-1),""))</f>
        <v/>
      </c>
      <c r="K824" s="24" t="str">
        <f t="array" ref="K824">IF($A824="","",IFERROR(_xlfn.XLOOKUP($A824,'Movimentação'!$B$7:$B$1006,'Movimentação'!$G$7:$G$1006,"",0,-1),""))</f>
        <v/>
      </c>
      <c r="L824" s="24" t="str">
        <f t="shared" si="3"/>
        <v/>
      </c>
      <c r="M824" s="17"/>
      <c r="N824" s="30" t="str">
        <f t="array" ref="N824">IF($A824="","",IFERROR(IF(OR($L824="BAIXADO",$L824="FURTADO"),0,INDEX(Listas!$J$2:$J$40,MATCH($B824,Listas!$I$2:$I$40,0))),""))</f>
        <v/>
      </c>
      <c r="P824" s="31" t="str">
        <f t="array" ref="P824">IF($A824="","",IFERROR(_xlfn.XLOOKUP($A824,'Movimentação'!$B$7:$B$1006,'Movimentação'!$F$7:$F$1006,"",0,-1),""))</f>
        <v/>
      </c>
      <c r="Q824" s="31">
        <f>IF(COUNTIFS('Manutenção'!$B$7:$B$1006,$A824,'Manutenção'!$H$7:$H$1006,"EM CONSERTO")&gt;0,1,0)</f>
        <v>0</v>
      </c>
    </row>
    <row r="825" ht="15.0" hidden="1" customHeight="1">
      <c r="A825" s="15"/>
      <c r="B825" s="17"/>
      <c r="C825" s="17"/>
      <c r="D825" s="17"/>
      <c r="E825" s="17"/>
      <c r="F825" s="17"/>
      <c r="G825" s="18"/>
      <c r="H825" s="15"/>
      <c r="I825" s="15"/>
      <c r="J825" s="24" t="str">
        <f t="array" ref="J825">IF($A825="","",IFERROR(_xlfn.XLOOKUP($A825,'Movimentação'!$B$7:$B$1006,'Movimentação'!$E$7:$E$1006,"",0,-1),""))</f>
        <v/>
      </c>
      <c r="K825" s="24" t="str">
        <f t="array" ref="K825">IF($A825="","",IFERROR(_xlfn.XLOOKUP($A825,'Movimentação'!$B$7:$B$1006,'Movimentação'!$G$7:$G$1006,"",0,-1),""))</f>
        <v/>
      </c>
      <c r="L825" s="24" t="str">
        <f t="shared" si="3"/>
        <v/>
      </c>
      <c r="M825" s="17"/>
      <c r="N825" s="30" t="str">
        <f t="array" ref="N825">IF($A825="","",IFERROR(IF(OR($L825="BAIXADO",$L825="FURTADO"),0,INDEX(Listas!$J$2:$J$40,MATCH($B825,Listas!$I$2:$I$40,0))),""))</f>
        <v/>
      </c>
      <c r="P825" s="31" t="str">
        <f t="array" ref="P825">IF($A825="","",IFERROR(_xlfn.XLOOKUP($A825,'Movimentação'!$B$7:$B$1006,'Movimentação'!$F$7:$F$1006,"",0,-1),""))</f>
        <v/>
      </c>
      <c r="Q825" s="31">
        <f>IF(COUNTIFS('Manutenção'!$B$7:$B$1006,$A825,'Manutenção'!$H$7:$H$1006,"EM CONSERTO")&gt;0,1,0)</f>
        <v>0</v>
      </c>
    </row>
    <row r="826" ht="15.0" hidden="1" customHeight="1">
      <c r="A826" s="15"/>
      <c r="B826" s="17"/>
      <c r="C826" s="17"/>
      <c r="D826" s="17"/>
      <c r="E826" s="17"/>
      <c r="F826" s="17"/>
      <c r="G826" s="18"/>
      <c r="H826" s="15"/>
      <c r="I826" s="15"/>
      <c r="J826" s="24" t="str">
        <f t="array" ref="J826">IF($A826="","",IFERROR(_xlfn.XLOOKUP($A826,'Movimentação'!$B$7:$B$1006,'Movimentação'!$E$7:$E$1006,"",0,-1),""))</f>
        <v/>
      </c>
      <c r="K826" s="24" t="str">
        <f t="array" ref="K826">IF($A826="","",IFERROR(_xlfn.XLOOKUP($A826,'Movimentação'!$B$7:$B$1006,'Movimentação'!$G$7:$G$1006,"",0,-1),""))</f>
        <v/>
      </c>
      <c r="L826" s="24" t="str">
        <f t="shared" si="3"/>
        <v/>
      </c>
      <c r="M826" s="17"/>
      <c r="N826" s="30" t="str">
        <f t="array" ref="N826">IF($A826="","",IFERROR(IF(OR($L826="BAIXADO",$L826="FURTADO"),0,INDEX(Listas!$J$2:$J$40,MATCH($B826,Listas!$I$2:$I$40,0))),""))</f>
        <v/>
      </c>
      <c r="P826" s="31" t="str">
        <f t="array" ref="P826">IF($A826="","",IFERROR(_xlfn.XLOOKUP($A826,'Movimentação'!$B$7:$B$1006,'Movimentação'!$F$7:$F$1006,"",0,-1),""))</f>
        <v/>
      </c>
      <c r="Q826" s="31">
        <f>IF(COUNTIFS('Manutenção'!$B$7:$B$1006,$A826,'Manutenção'!$H$7:$H$1006,"EM CONSERTO")&gt;0,1,0)</f>
        <v>0</v>
      </c>
    </row>
    <row r="827" ht="15.0" hidden="1" customHeight="1">
      <c r="A827" s="15"/>
      <c r="B827" s="17"/>
      <c r="C827" s="17"/>
      <c r="D827" s="17"/>
      <c r="E827" s="17"/>
      <c r="F827" s="17"/>
      <c r="G827" s="18"/>
      <c r="H827" s="15"/>
      <c r="I827" s="15"/>
      <c r="J827" s="24" t="str">
        <f t="array" ref="J827">IF($A827="","",IFERROR(_xlfn.XLOOKUP($A827,'Movimentação'!$B$7:$B$1006,'Movimentação'!$E$7:$E$1006,"",0,-1),""))</f>
        <v/>
      </c>
      <c r="K827" s="24" t="str">
        <f t="array" ref="K827">IF($A827="","",IFERROR(_xlfn.XLOOKUP($A827,'Movimentação'!$B$7:$B$1006,'Movimentação'!$G$7:$G$1006,"",0,-1),""))</f>
        <v/>
      </c>
      <c r="L827" s="24" t="str">
        <f t="shared" si="3"/>
        <v/>
      </c>
      <c r="M827" s="17"/>
      <c r="N827" s="30" t="str">
        <f t="array" ref="N827">IF($A827="","",IFERROR(IF(OR($L827="BAIXADO",$L827="FURTADO"),0,INDEX(Listas!$J$2:$J$40,MATCH($B827,Listas!$I$2:$I$40,0))),""))</f>
        <v/>
      </c>
      <c r="P827" s="31" t="str">
        <f t="array" ref="P827">IF($A827="","",IFERROR(_xlfn.XLOOKUP($A827,'Movimentação'!$B$7:$B$1006,'Movimentação'!$F$7:$F$1006,"",0,-1),""))</f>
        <v/>
      </c>
      <c r="Q827" s="31">
        <f>IF(COUNTIFS('Manutenção'!$B$7:$B$1006,$A827,'Manutenção'!$H$7:$H$1006,"EM CONSERTO")&gt;0,1,0)</f>
        <v>0</v>
      </c>
    </row>
    <row r="828" ht="15.0" hidden="1" customHeight="1">
      <c r="A828" s="15"/>
      <c r="B828" s="17"/>
      <c r="C828" s="17"/>
      <c r="D828" s="17"/>
      <c r="E828" s="17"/>
      <c r="F828" s="17"/>
      <c r="G828" s="18"/>
      <c r="H828" s="15"/>
      <c r="I828" s="15"/>
      <c r="J828" s="24" t="str">
        <f t="array" ref="J828">IF($A828="","",IFERROR(_xlfn.XLOOKUP($A828,'Movimentação'!$B$7:$B$1006,'Movimentação'!$E$7:$E$1006,"",0,-1),""))</f>
        <v/>
      </c>
      <c r="K828" s="24" t="str">
        <f t="array" ref="K828">IF($A828="","",IFERROR(_xlfn.XLOOKUP($A828,'Movimentação'!$B$7:$B$1006,'Movimentação'!$G$7:$G$1006,"",0,-1),""))</f>
        <v/>
      </c>
      <c r="L828" s="24" t="str">
        <f t="shared" si="3"/>
        <v/>
      </c>
      <c r="M828" s="17"/>
      <c r="N828" s="30" t="str">
        <f t="array" ref="N828">IF($A828="","",IFERROR(IF(OR($L828="BAIXADO",$L828="FURTADO"),0,INDEX(Listas!$J$2:$J$40,MATCH($B828,Listas!$I$2:$I$40,0))),""))</f>
        <v/>
      </c>
      <c r="P828" s="31" t="str">
        <f t="array" ref="P828">IF($A828="","",IFERROR(_xlfn.XLOOKUP($A828,'Movimentação'!$B$7:$B$1006,'Movimentação'!$F$7:$F$1006,"",0,-1),""))</f>
        <v/>
      </c>
      <c r="Q828" s="31">
        <f>IF(COUNTIFS('Manutenção'!$B$7:$B$1006,$A828,'Manutenção'!$H$7:$H$1006,"EM CONSERTO")&gt;0,1,0)</f>
        <v>0</v>
      </c>
    </row>
    <row r="829" ht="15.0" hidden="1" customHeight="1">
      <c r="A829" s="15"/>
      <c r="B829" s="17"/>
      <c r="C829" s="17"/>
      <c r="D829" s="17"/>
      <c r="E829" s="17"/>
      <c r="F829" s="17"/>
      <c r="G829" s="18"/>
      <c r="H829" s="15"/>
      <c r="I829" s="15"/>
      <c r="J829" s="24" t="str">
        <f t="array" ref="J829">IF($A829="","",IFERROR(_xlfn.XLOOKUP($A829,'Movimentação'!$B$7:$B$1006,'Movimentação'!$E$7:$E$1006,"",0,-1),""))</f>
        <v/>
      </c>
      <c r="K829" s="24" t="str">
        <f t="array" ref="K829">IF($A829="","",IFERROR(_xlfn.XLOOKUP($A829,'Movimentação'!$B$7:$B$1006,'Movimentação'!$G$7:$G$1006,"",0,-1),""))</f>
        <v/>
      </c>
      <c r="L829" s="24" t="str">
        <f t="shared" si="3"/>
        <v/>
      </c>
      <c r="M829" s="17"/>
      <c r="N829" s="30" t="str">
        <f t="array" ref="N829">IF($A829="","",IFERROR(IF(OR($L829="BAIXADO",$L829="FURTADO"),0,INDEX(Listas!$J$2:$J$40,MATCH($B829,Listas!$I$2:$I$40,0))),""))</f>
        <v/>
      </c>
      <c r="P829" s="31" t="str">
        <f t="array" ref="P829">IF($A829="","",IFERROR(_xlfn.XLOOKUP($A829,'Movimentação'!$B$7:$B$1006,'Movimentação'!$F$7:$F$1006,"",0,-1),""))</f>
        <v/>
      </c>
      <c r="Q829" s="31">
        <f>IF(COUNTIFS('Manutenção'!$B$7:$B$1006,$A829,'Manutenção'!$H$7:$H$1006,"EM CONSERTO")&gt;0,1,0)</f>
        <v>0</v>
      </c>
    </row>
    <row r="830" ht="15.0" hidden="1" customHeight="1">
      <c r="A830" s="15"/>
      <c r="B830" s="17"/>
      <c r="C830" s="17"/>
      <c r="D830" s="17"/>
      <c r="E830" s="17"/>
      <c r="F830" s="17"/>
      <c r="G830" s="18"/>
      <c r="H830" s="15"/>
      <c r="I830" s="15"/>
      <c r="J830" s="24" t="str">
        <f t="array" ref="J830">IF($A830="","",IFERROR(_xlfn.XLOOKUP($A830,'Movimentação'!$B$7:$B$1006,'Movimentação'!$E$7:$E$1006,"",0,-1),""))</f>
        <v/>
      </c>
      <c r="K830" s="24" t="str">
        <f t="array" ref="K830">IF($A830="","",IFERROR(_xlfn.XLOOKUP($A830,'Movimentação'!$B$7:$B$1006,'Movimentação'!$G$7:$G$1006,"",0,-1),""))</f>
        <v/>
      </c>
      <c r="L830" s="24" t="str">
        <f t="shared" si="3"/>
        <v/>
      </c>
      <c r="M830" s="17"/>
      <c r="N830" s="30" t="str">
        <f t="array" ref="N830">IF($A830="","",IFERROR(IF(OR($L830="BAIXADO",$L830="FURTADO"),0,INDEX(Listas!$J$2:$J$40,MATCH($B830,Listas!$I$2:$I$40,0))),""))</f>
        <v/>
      </c>
      <c r="P830" s="31" t="str">
        <f t="array" ref="P830">IF($A830="","",IFERROR(_xlfn.XLOOKUP($A830,'Movimentação'!$B$7:$B$1006,'Movimentação'!$F$7:$F$1006,"",0,-1),""))</f>
        <v/>
      </c>
      <c r="Q830" s="31">
        <f>IF(COUNTIFS('Manutenção'!$B$7:$B$1006,$A830,'Manutenção'!$H$7:$H$1006,"EM CONSERTO")&gt;0,1,0)</f>
        <v>0</v>
      </c>
    </row>
    <row r="831" ht="15.0" hidden="1" customHeight="1">
      <c r="A831" s="15"/>
      <c r="B831" s="17"/>
      <c r="C831" s="17"/>
      <c r="D831" s="17"/>
      <c r="E831" s="17"/>
      <c r="F831" s="17"/>
      <c r="G831" s="18"/>
      <c r="H831" s="15"/>
      <c r="I831" s="15"/>
      <c r="J831" s="24" t="str">
        <f t="array" ref="J831">IF($A831="","",IFERROR(_xlfn.XLOOKUP($A831,'Movimentação'!$B$7:$B$1006,'Movimentação'!$E$7:$E$1006,"",0,-1),""))</f>
        <v/>
      </c>
      <c r="K831" s="24" t="str">
        <f t="array" ref="K831">IF($A831="","",IFERROR(_xlfn.XLOOKUP($A831,'Movimentação'!$B$7:$B$1006,'Movimentação'!$G$7:$G$1006,"",0,-1),""))</f>
        <v/>
      </c>
      <c r="L831" s="24" t="str">
        <f t="shared" si="3"/>
        <v/>
      </c>
      <c r="M831" s="17"/>
      <c r="N831" s="30" t="str">
        <f t="array" ref="N831">IF($A831="","",IFERROR(IF(OR($L831="BAIXADO",$L831="FURTADO"),0,INDEX(Listas!$J$2:$J$40,MATCH($B831,Listas!$I$2:$I$40,0))),""))</f>
        <v/>
      </c>
      <c r="P831" s="31" t="str">
        <f t="array" ref="P831">IF($A831="","",IFERROR(_xlfn.XLOOKUP($A831,'Movimentação'!$B$7:$B$1006,'Movimentação'!$F$7:$F$1006,"",0,-1),""))</f>
        <v/>
      </c>
      <c r="Q831" s="31">
        <f>IF(COUNTIFS('Manutenção'!$B$7:$B$1006,$A831,'Manutenção'!$H$7:$H$1006,"EM CONSERTO")&gt;0,1,0)</f>
        <v>0</v>
      </c>
    </row>
    <row r="832" ht="15.0" hidden="1" customHeight="1">
      <c r="A832" s="15"/>
      <c r="B832" s="17"/>
      <c r="C832" s="17"/>
      <c r="D832" s="17"/>
      <c r="E832" s="17"/>
      <c r="F832" s="17"/>
      <c r="G832" s="18"/>
      <c r="H832" s="15"/>
      <c r="I832" s="15"/>
      <c r="J832" s="24" t="str">
        <f t="array" ref="J832">IF($A832="","",IFERROR(_xlfn.XLOOKUP($A832,'Movimentação'!$B$7:$B$1006,'Movimentação'!$E$7:$E$1006,"",0,-1),""))</f>
        <v/>
      </c>
      <c r="K832" s="24" t="str">
        <f t="array" ref="K832">IF($A832="","",IFERROR(_xlfn.XLOOKUP($A832,'Movimentação'!$B$7:$B$1006,'Movimentação'!$G$7:$G$1006,"",0,-1),""))</f>
        <v/>
      </c>
      <c r="L832" s="24" t="str">
        <f t="shared" si="3"/>
        <v/>
      </c>
      <c r="M832" s="17"/>
      <c r="N832" s="30" t="str">
        <f t="array" ref="N832">IF($A832="","",IFERROR(IF(OR($L832="BAIXADO",$L832="FURTADO"),0,INDEX(Listas!$J$2:$J$40,MATCH($B832,Listas!$I$2:$I$40,0))),""))</f>
        <v/>
      </c>
      <c r="P832" s="31" t="str">
        <f t="array" ref="P832">IF($A832="","",IFERROR(_xlfn.XLOOKUP($A832,'Movimentação'!$B$7:$B$1006,'Movimentação'!$F$7:$F$1006,"",0,-1),""))</f>
        <v/>
      </c>
      <c r="Q832" s="31">
        <f>IF(COUNTIFS('Manutenção'!$B$7:$B$1006,$A832,'Manutenção'!$H$7:$H$1006,"EM CONSERTO")&gt;0,1,0)</f>
        <v>0</v>
      </c>
    </row>
    <row r="833" ht="15.0" hidden="1" customHeight="1">
      <c r="A833" s="15"/>
      <c r="B833" s="17"/>
      <c r="C833" s="17"/>
      <c r="D833" s="17"/>
      <c r="E833" s="17"/>
      <c r="F833" s="17"/>
      <c r="G833" s="18"/>
      <c r="H833" s="15"/>
      <c r="I833" s="15"/>
      <c r="J833" s="24" t="str">
        <f t="array" ref="J833">IF($A833="","",IFERROR(_xlfn.XLOOKUP($A833,'Movimentação'!$B$7:$B$1006,'Movimentação'!$E$7:$E$1006,"",0,-1),""))</f>
        <v/>
      </c>
      <c r="K833" s="24" t="str">
        <f t="array" ref="K833">IF($A833="","",IFERROR(_xlfn.XLOOKUP($A833,'Movimentação'!$B$7:$B$1006,'Movimentação'!$G$7:$G$1006,"",0,-1),""))</f>
        <v/>
      </c>
      <c r="L833" s="24" t="str">
        <f t="shared" si="3"/>
        <v/>
      </c>
      <c r="M833" s="17"/>
      <c r="N833" s="30" t="str">
        <f t="array" ref="N833">IF($A833="","",IFERROR(IF(OR($L833="BAIXADO",$L833="FURTADO"),0,INDEX(Listas!$J$2:$J$40,MATCH($B833,Listas!$I$2:$I$40,0))),""))</f>
        <v/>
      </c>
      <c r="P833" s="31" t="str">
        <f t="array" ref="P833">IF($A833="","",IFERROR(_xlfn.XLOOKUP($A833,'Movimentação'!$B$7:$B$1006,'Movimentação'!$F$7:$F$1006,"",0,-1),""))</f>
        <v/>
      </c>
      <c r="Q833" s="31">
        <f>IF(COUNTIFS('Manutenção'!$B$7:$B$1006,$A833,'Manutenção'!$H$7:$H$1006,"EM CONSERTO")&gt;0,1,0)</f>
        <v>0</v>
      </c>
    </row>
    <row r="834" ht="15.0" hidden="1" customHeight="1">
      <c r="A834" s="15"/>
      <c r="B834" s="17"/>
      <c r="C834" s="17"/>
      <c r="D834" s="17"/>
      <c r="E834" s="17"/>
      <c r="F834" s="17"/>
      <c r="G834" s="18"/>
      <c r="H834" s="15"/>
      <c r="I834" s="15"/>
      <c r="J834" s="24" t="str">
        <f t="array" ref="J834">IF($A834="","",IFERROR(_xlfn.XLOOKUP($A834,'Movimentação'!$B$7:$B$1006,'Movimentação'!$E$7:$E$1006,"",0,-1),""))</f>
        <v/>
      </c>
      <c r="K834" s="24" t="str">
        <f t="array" ref="K834">IF($A834="","",IFERROR(_xlfn.XLOOKUP($A834,'Movimentação'!$B$7:$B$1006,'Movimentação'!$G$7:$G$1006,"",0,-1),""))</f>
        <v/>
      </c>
      <c r="L834" s="24" t="str">
        <f t="shared" si="3"/>
        <v/>
      </c>
      <c r="M834" s="17"/>
      <c r="N834" s="30" t="str">
        <f t="array" ref="N834">IF($A834="","",IFERROR(IF(OR($L834="BAIXADO",$L834="FURTADO"),0,INDEX(Listas!$J$2:$J$40,MATCH($B834,Listas!$I$2:$I$40,0))),""))</f>
        <v/>
      </c>
      <c r="P834" s="31" t="str">
        <f t="array" ref="P834">IF($A834="","",IFERROR(_xlfn.XLOOKUP($A834,'Movimentação'!$B$7:$B$1006,'Movimentação'!$F$7:$F$1006,"",0,-1),""))</f>
        <v/>
      </c>
      <c r="Q834" s="31">
        <f>IF(COUNTIFS('Manutenção'!$B$7:$B$1006,$A834,'Manutenção'!$H$7:$H$1006,"EM CONSERTO")&gt;0,1,0)</f>
        <v>0</v>
      </c>
    </row>
    <row r="835" ht="15.0" hidden="1" customHeight="1">
      <c r="A835" s="15"/>
      <c r="B835" s="17"/>
      <c r="C835" s="17"/>
      <c r="D835" s="17"/>
      <c r="E835" s="17"/>
      <c r="F835" s="17"/>
      <c r="G835" s="18"/>
      <c r="H835" s="15"/>
      <c r="I835" s="15"/>
      <c r="J835" s="24" t="str">
        <f t="array" ref="J835">IF($A835="","",IFERROR(_xlfn.XLOOKUP($A835,'Movimentação'!$B$7:$B$1006,'Movimentação'!$E$7:$E$1006,"",0,-1),""))</f>
        <v/>
      </c>
      <c r="K835" s="24" t="str">
        <f t="array" ref="K835">IF($A835="","",IFERROR(_xlfn.XLOOKUP($A835,'Movimentação'!$B$7:$B$1006,'Movimentação'!$G$7:$G$1006,"",0,-1),""))</f>
        <v/>
      </c>
      <c r="L835" s="24" t="str">
        <f t="shared" si="3"/>
        <v/>
      </c>
      <c r="M835" s="17"/>
      <c r="N835" s="30" t="str">
        <f t="array" ref="N835">IF($A835="","",IFERROR(IF(OR($L835="BAIXADO",$L835="FURTADO"),0,INDEX(Listas!$J$2:$J$40,MATCH($B835,Listas!$I$2:$I$40,0))),""))</f>
        <v/>
      </c>
      <c r="P835" s="31" t="str">
        <f t="array" ref="P835">IF($A835="","",IFERROR(_xlfn.XLOOKUP($A835,'Movimentação'!$B$7:$B$1006,'Movimentação'!$F$7:$F$1006,"",0,-1),""))</f>
        <v/>
      </c>
      <c r="Q835" s="31">
        <f>IF(COUNTIFS('Manutenção'!$B$7:$B$1006,$A835,'Manutenção'!$H$7:$H$1006,"EM CONSERTO")&gt;0,1,0)</f>
        <v>0</v>
      </c>
    </row>
    <row r="836" ht="15.0" hidden="1" customHeight="1">
      <c r="A836" s="15"/>
      <c r="B836" s="17"/>
      <c r="C836" s="17"/>
      <c r="D836" s="17"/>
      <c r="E836" s="17"/>
      <c r="F836" s="17"/>
      <c r="G836" s="18"/>
      <c r="H836" s="15"/>
      <c r="I836" s="15"/>
      <c r="J836" s="24" t="str">
        <f t="array" ref="J836">IF($A836="","",IFERROR(_xlfn.XLOOKUP($A836,'Movimentação'!$B$7:$B$1006,'Movimentação'!$E$7:$E$1006,"",0,-1),""))</f>
        <v/>
      </c>
      <c r="K836" s="24" t="str">
        <f t="array" ref="K836">IF($A836="","",IFERROR(_xlfn.XLOOKUP($A836,'Movimentação'!$B$7:$B$1006,'Movimentação'!$G$7:$G$1006,"",0,-1),""))</f>
        <v/>
      </c>
      <c r="L836" s="24" t="str">
        <f t="shared" si="3"/>
        <v/>
      </c>
      <c r="M836" s="17"/>
      <c r="N836" s="30" t="str">
        <f t="array" ref="N836">IF($A836="","",IFERROR(IF(OR($L836="BAIXADO",$L836="FURTADO"),0,INDEX(Listas!$J$2:$J$40,MATCH($B836,Listas!$I$2:$I$40,0))),""))</f>
        <v/>
      </c>
      <c r="P836" s="31" t="str">
        <f t="array" ref="P836">IF($A836="","",IFERROR(_xlfn.XLOOKUP($A836,'Movimentação'!$B$7:$B$1006,'Movimentação'!$F$7:$F$1006,"",0,-1),""))</f>
        <v/>
      </c>
      <c r="Q836" s="31">
        <f>IF(COUNTIFS('Manutenção'!$B$7:$B$1006,$A836,'Manutenção'!$H$7:$H$1006,"EM CONSERTO")&gt;0,1,0)</f>
        <v>0</v>
      </c>
    </row>
    <row r="837" ht="15.0" hidden="1" customHeight="1">
      <c r="A837" s="15"/>
      <c r="B837" s="17"/>
      <c r="C837" s="17"/>
      <c r="D837" s="17"/>
      <c r="E837" s="17"/>
      <c r="F837" s="17"/>
      <c r="G837" s="18"/>
      <c r="H837" s="15"/>
      <c r="I837" s="15"/>
      <c r="J837" s="24" t="str">
        <f t="array" ref="J837">IF($A837="","",IFERROR(_xlfn.XLOOKUP($A837,'Movimentação'!$B$7:$B$1006,'Movimentação'!$E$7:$E$1006,"",0,-1),""))</f>
        <v/>
      </c>
      <c r="K837" s="24" t="str">
        <f t="array" ref="K837">IF($A837="","",IFERROR(_xlfn.XLOOKUP($A837,'Movimentação'!$B$7:$B$1006,'Movimentação'!$G$7:$G$1006,"",0,-1),""))</f>
        <v/>
      </c>
      <c r="L837" s="24" t="str">
        <f t="shared" si="3"/>
        <v/>
      </c>
      <c r="M837" s="17"/>
      <c r="N837" s="30" t="str">
        <f t="array" ref="N837">IF($A837="","",IFERROR(IF(OR($L837="BAIXADO",$L837="FURTADO"),0,INDEX(Listas!$J$2:$J$40,MATCH($B837,Listas!$I$2:$I$40,0))),""))</f>
        <v/>
      </c>
      <c r="P837" s="31" t="str">
        <f t="array" ref="P837">IF($A837="","",IFERROR(_xlfn.XLOOKUP($A837,'Movimentação'!$B$7:$B$1006,'Movimentação'!$F$7:$F$1006,"",0,-1),""))</f>
        <v/>
      </c>
      <c r="Q837" s="31">
        <f>IF(COUNTIFS('Manutenção'!$B$7:$B$1006,$A837,'Manutenção'!$H$7:$H$1006,"EM CONSERTO")&gt;0,1,0)</f>
        <v>0</v>
      </c>
    </row>
    <row r="838" ht="15.0" hidden="1" customHeight="1">
      <c r="A838" s="15"/>
      <c r="B838" s="17"/>
      <c r="C838" s="17"/>
      <c r="D838" s="17"/>
      <c r="E838" s="17"/>
      <c r="F838" s="17"/>
      <c r="G838" s="18"/>
      <c r="H838" s="15"/>
      <c r="I838" s="15"/>
      <c r="J838" s="24" t="str">
        <f t="array" ref="J838">IF($A838="","",IFERROR(_xlfn.XLOOKUP($A838,'Movimentação'!$B$7:$B$1006,'Movimentação'!$E$7:$E$1006,"",0,-1),""))</f>
        <v/>
      </c>
      <c r="K838" s="24" t="str">
        <f t="array" ref="K838">IF($A838="","",IFERROR(_xlfn.XLOOKUP($A838,'Movimentação'!$B$7:$B$1006,'Movimentação'!$G$7:$G$1006,"",0,-1),""))</f>
        <v/>
      </c>
      <c r="L838" s="24" t="str">
        <f t="shared" si="3"/>
        <v/>
      </c>
      <c r="M838" s="17"/>
      <c r="N838" s="30" t="str">
        <f t="array" ref="N838">IF($A838="","",IFERROR(IF(OR($L838="BAIXADO",$L838="FURTADO"),0,INDEX(Listas!$J$2:$J$40,MATCH($B838,Listas!$I$2:$I$40,0))),""))</f>
        <v/>
      </c>
      <c r="P838" s="31" t="str">
        <f t="array" ref="P838">IF($A838="","",IFERROR(_xlfn.XLOOKUP($A838,'Movimentação'!$B$7:$B$1006,'Movimentação'!$F$7:$F$1006,"",0,-1),""))</f>
        <v/>
      </c>
      <c r="Q838" s="31">
        <f>IF(COUNTIFS('Manutenção'!$B$7:$B$1006,$A838,'Manutenção'!$H$7:$H$1006,"EM CONSERTO")&gt;0,1,0)</f>
        <v>0</v>
      </c>
    </row>
    <row r="839" ht="15.0" hidden="1" customHeight="1">
      <c r="A839" s="15"/>
      <c r="B839" s="17"/>
      <c r="C839" s="17"/>
      <c r="D839" s="17"/>
      <c r="E839" s="17"/>
      <c r="F839" s="17"/>
      <c r="G839" s="18"/>
      <c r="H839" s="15"/>
      <c r="I839" s="15"/>
      <c r="J839" s="24" t="str">
        <f t="array" ref="J839">IF($A839="","",IFERROR(_xlfn.XLOOKUP($A839,'Movimentação'!$B$7:$B$1006,'Movimentação'!$E$7:$E$1006,"",0,-1),""))</f>
        <v/>
      </c>
      <c r="K839" s="24" t="str">
        <f t="array" ref="K839">IF($A839="","",IFERROR(_xlfn.XLOOKUP($A839,'Movimentação'!$B$7:$B$1006,'Movimentação'!$G$7:$G$1006,"",0,-1),""))</f>
        <v/>
      </c>
      <c r="L839" s="24" t="str">
        <f t="shared" si="3"/>
        <v/>
      </c>
      <c r="M839" s="17"/>
      <c r="N839" s="30" t="str">
        <f t="array" ref="N839">IF($A839="","",IFERROR(IF(OR($L839="BAIXADO",$L839="FURTADO"),0,INDEX(Listas!$J$2:$J$40,MATCH($B839,Listas!$I$2:$I$40,0))),""))</f>
        <v/>
      </c>
      <c r="P839" s="31" t="str">
        <f t="array" ref="P839">IF($A839="","",IFERROR(_xlfn.XLOOKUP($A839,'Movimentação'!$B$7:$B$1006,'Movimentação'!$F$7:$F$1006,"",0,-1),""))</f>
        <v/>
      </c>
      <c r="Q839" s="31">
        <f>IF(COUNTIFS('Manutenção'!$B$7:$B$1006,$A839,'Manutenção'!$H$7:$H$1006,"EM CONSERTO")&gt;0,1,0)</f>
        <v>0</v>
      </c>
    </row>
    <row r="840" ht="15.0" hidden="1" customHeight="1">
      <c r="A840" s="15"/>
      <c r="B840" s="17"/>
      <c r="C840" s="17"/>
      <c r="D840" s="17"/>
      <c r="E840" s="17"/>
      <c r="F840" s="17"/>
      <c r="G840" s="18"/>
      <c r="H840" s="15"/>
      <c r="I840" s="15"/>
      <c r="J840" s="24" t="str">
        <f t="array" ref="J840">IF($A840="","",IFERROR(_xlfn.XLOOKUP($A840,'Movimentação'!$B$7:$B$1006,'Movimentação'!$E$7:$E$1006,"",0,-1),""))</f>
        <v/>
      </c>
      <c r="K840" s="24" t="str">
        <f t="array" ref="K840">IF($A840="","",IFERROR(_xlfn.XLOOKUP($A840,'Movimentação'!$B$7:$B$1006,'Movimentação'!$G$7:$G$1006,"",0,-1),""))</f>
        <v/>
      </c>
      <c r="L840" s="24" t="str">
        <f t="shared" si="3"/>
        <v/>
      </c>
      <c r="M840" s="17"/>
      <c r="N840" s="30" t="str">
        <f t="array" ref="N840">IF($A840="","",IFERROR(IF(OR($L840="BAIXADO",$L840="FURTADO"),0,INDEX(Listas!$J$2:$J$40,MATCH($B840,Listas!$I$2:$I$40,0))),""))</f>
        <v/>
      </c>
      <c r="P840" s="31" t="str">
        <f t="array" ref="P840">IF($A840="","",IFERROR(_xlfn.XLOOKUP($A840,'Movimentação'!$B$7:$B$1006,'Movimentação'!$F$7:$F$1006,"",0,-1),""))</f>
        <v/>
      </c>
      <c r="Q840" s="31">
        <f>IF(COUNTIFS('Manutenção'!$B$7:$B$1006,$A840,'Manutenção'!$H$7:$H$1006,"EM CONSERTO")&gt;0,1,0)</f>
        <v>0</v>
      </c>
    </row>
    <row r="841" ht="15.0" hidden="1" customHeight="1">
      <c r="A841" s="15"/>
      <c r="B841" s="17"/>
      <c r="C841" s="17"/>
      <c r="D841" s="17"/>
      <c r="E841" s="17"/>
      <c r="F841" s="17"/>
      <c r="G841" s="18"/>
      <c r="H841" s="15"/>
      <c r="I841" s="15"/>
      <c r="J841" s="24" t="str">
        <f t="array" ref="J841">IF($A841="","",IFERROR(_xlfn.XLOOKUP($A841,'Movimentação'!$B$7:$B$1006,'Movimentação'!$E$7:$E$1006,"",0,-1),""))</f>
        <v/>
      </c>
      <c r="K841" s="24" t="str">
        <f t="array" ref="K841">IF($A841="","",IFERROR(_xlfn.XLOOKUP($A841,'Movimentação'!$B$7:$B$1006,'Movimentação'!$G$7:$G$1006,"",0,-1),""))</f>
        <v/>
      </c>
      <c r="L841" s="24" t="str">
        <f t="shared" si="3"/>
        <v/>
      </c>
      <c r="M841" s="17"/>
      <c r="N841" s="30" t="str">
        <f t="array" ref="N841">IF($A841="","",IFERROR(IF(OR($L841="BAIXADO",$L841="FURTADO"),0,INDEX(Listas!$J$2:$J$40,MATCH($B841,Listas!$I$2:$I$40,0))),""))</f>
        <v/>
      </c>
      <c r="P841" s="31" t="str">
        <f t="array" ref="P841">IF($A841="","",IFERROR(_xlfn.XLOOKUP($A841,'Movimentação'!$B$7:$B$1006,'Movimentação'!$F$7:$F$1006,"",0,-1),""))</f>
        <v/>
      </c>
      <c r="Q841" s="31">
        <f>IF(COUNTIFS('Manutenção'!$B$7:$B$1006,$A841,'Manutenção'!$H$7:$H$1006,"EM CONSERTO")&gt;0,1,0)</f>
        <v>0</v>
      </c>
    </row>
    <row r="842" ht="15.0" hidden="1" customHeight="1">
      <c r="A842" s="15"/>
      <c r="B842" s="17"/>
      <c r="C842" s="17"/>
      <c r="D842" s="17"/>
      <c r="E842" s="17"/>
      <c r="F842" s="17"/>
      <c r="G842" s="18"/>
      <c r="H842" s="15"/>
      <c r="I842" s="15"/>
      <c r="J842" s="24" t="str">
        <f t="array" ref="J842">IF($A842="","",IFERROR(_xlfn.XLOOKUP($A842,'Movimentação'!$B$7:$B$1006,'Movimentação'!$E$7:$E$1006,"",0,-1),""))</f>
        <v/>
      </c>
      <c r="K842" s="24" t="str">
        <f t="array" ref="K842">IF($A842="","",IFERROR(_xlfn.XLOOKUP($A842,'Movimentação'!$B$7:$B$1006,'Movimentação'!$G$7:$G$1006,"",0,-1),""))</f>
        <v/>
      </c>
      <c r="L842" s="24" t="str">
        <f t="shared" si="3"/>
        <v/>
      </c>
      <c r="M842" s="17"/>
      <c r="N842" s="30" t="str">
        <f t="array" ref="N842">IF($A842="","",IFERROR(IF(OR($L842="BAIXADO",$L842="FURTADO"),0,INDEX(Listas!$J$2:$J$40,MATCH($B842,Listas!$I$2:$I$40,0))),""))</f>
        <v/>
      </c>
      <c r="P842" s="31" t="str">
        <f t="array" ref="P842">IF($A842="","",IFERROR(_xlfn.XLOOKUP($A842,'Movimentação'!$B$7:$B$1006,'Movimentação'!$F$7:$F$1006,"",0,-1),""))</f>
        <v/>
      </c>
      <c r="Q842" s="31">
        <f>IF(COUNTIFS('Manutenção'!$B$7:$B$1006,$A842,'Manutenção'!$H$7:$H$1006,"EM CONSERTO")&gt;0,1,0)</f>
        <v>0</v>
      </c>
    </row>
    <row r="843" ht="15.0" hidden="1" customHeight="1">
      <c r="A843" s="15"/>
      <c r="B843" s="17"/>
      <c r="C843" s="17"/>
      <c r="D843" s="17"/>
      <c r="E843" s="17"/>
      <c r="F843" s="17"/>
      <c r="G843" s="18"/>
      <c r="H843" s="15"/>
      <c r="I843" s="15"/>
      <c r="J843" s="24" t="str">
        <f t="array" ref="J843">IF($A843="","",IFERROR(_xlfn.XLOOKUP($A843,'Movimentação'!$B$7:$B$1006,'Movimentação'!$E$7:$E$1006,"",0,-1),""))</f>
        <v/>
      </c>
      <c r="K843" s="24" t="str">
        <f t="array" ref="K843">IF($A843="","",IFERROR(_xlfn.XLOOKUP($A843,'Movimentação'!$B$7:$B$1006,'Movimentação'!$G$7:$G$1006,"",0,-1),""))</f>
        <v/>
      </c>
      <c r="L843" s="24" t="str">
        <f t="shared" si="3"/>
        <v/>
      </c>
      <c r="M843" s="17"/>
      <c r="N843" s="30" t="str">
        <f t="array" ref="N843">IF($A843="","",IFERROR(IF(OR($L843="BAIXADO",$L843="FURTADO"),0,INDEX(Listas!$J$2:$J$40,MATCH($B843,Listas!$I$2:$I$40,0))),""))</f>
        <v/>
      </c>
      <c r="P843" s="31" t="str">
        <f t="array" ref="P843">IF($A843="","",IFERROR(_xlfn.XLOOKUP($A843,'Movimentação'!$B$7:$B$1006,'Movimentação'!$F$7:$F$1006,"",0,-1),""))</f>
        <v/>
      </c>
      <c r="Q843" s="31">
        <f>IF(COUNTIFS('Manutenção'!$B$7:$B$1006,$A843,'Manutenção'!$H$7:$H$1006,"EM CONSERTO")&gt;0,1,0)</f>
        <v>0</v>
      </c>
    </row>
    <row r="844" ht="15.0" hidden="1" customHeight="1">
      <c r="A844" s="15"/>
      <c r="B844" s="17"/>
      <c r="C844" s="17"/>
      <c r="D844" s="17"/>
      <c r="E844" s="17"/>
      <c r="F844" s="17"/>
      <c r="G844" s="18"/>
      <c r="H844" s="15"/>
      <c r="I844" s="15"/>
      <c r="J844" s="24" t="str">
        <f t="array" ref="J844">IF($A844="","",IFERROR(_xlfn.XLOOKUP($A844,'Movimentação'!$B$7:$B$1006,'Movimentação'!$E$7:$E$1006,"",0,-1),""))</f>
        <v/>
      </c>
      <c r="K844" s="24" t="str">
        <f t="array" ref="K844">IF($A844="","",IFERROR(_xlfn.XLOOKUP($A844,'Movimentação'!$B$7:$B$1006,'Movimentação'!$G$7:$G$1006,"",0,-1),""))</f>
        <v/>
      </c>
      <c r="L844" s="24" t="str">
        <f t="shared" si="3"/>
        <v/>
      </c>
      <c r="M844" s="17"/>
      <c r="N844" s="30" t="str">
        <f t="array" ref="N844">IF($A844="","",IFERROR(IF(OR($L844="BAIXADO",$L844="FURTADO"),0,INDEX(Listas!$J$2:$J$40,MATCH($B844,Listas!$I$2:$I$40,0))),""))</f>
        <v/>
      </c>
      <c r="P844" s="31" t="str">
        <f t="array" ref="P844">IF($A844="","",IFERROR(_xlfn.XLOOKUP($A844,'Movimentação'!$B$7:$B$1006,'Movimentação'!$F$7:$F$1006,"",0,-1),""))</f>
        <v/>
      </c>
      <c r="Q844" s="31">
        <f>IF(COUNTIFS('Manutenção'!$B$7:$B$1006,$A844,'Manutenção'!$H$7:$H$1006,"EM CONSERTO")&gt;0,1,0)</f>
        <v>0</v>
      </c>
    </row>
    <row r="845" ht="15.0" hidden="1" customHeight="1">
      <c r="A845" s="15"/>
      <c r="B845" s="17"/>
      <c r="C845" s="17"/>
      <c r="D845" s="17"/>
      <c r="E845" s="17"/>
      <c r="F845" s="17"/>
      <c r="G845" s="18"/>
      <c r="H845" s="15"/>
      <c r="I845" s="15"/>
      <c r="J845" s="24" t="str">
        <f t="array" ref="J845">IF($A845="","",IFERROR(_xlfn.XLOOKUP($A845,'Movimentação'!$B$7:$B$1006,'Movimentação'!$E$7:$E$1006,"",0,-1),""))</f>
        <v/>
      </c>
      <c r="K845" s="24" t="str">
        <f t="array" ref="K845">IF($A845="","",IFERROR(_xlfn.XLOOKUP($A845,'Movimentação'!$B$7:$B$1006,'Movimentação'!$G$7:$G$1006,"",0,-1),""))</f>
        <v/>
      </c>
      <c r="L845" s="24" t="str">
        <f t="shared" si="3"/>
        <v/>
      </c>
      <c r="M845" s="17"/>
      <c r="N845" s="30" t="str">
        <f t="array" ref="N845">IF($A845="","",IFERROR(IF(OR($L845="BAIXADO",$L845="FURTADO"),0,INDEX(Listas!$J$2:$J$40,MATCH($B845,Listas!$I$2:$I$40,0))),""))</f>
        <v/>
      </c>
      <c r="P845" s="31" t="str">
        <f t="array" ref="P845">IF($A845="","",IFERROR(_xlfn.XLOOKUP($A845,'Movimentação'!$B$7:$B$1006,'Movimentação'!$F$7:$F$1006,"",0,-1),""))</f>
        <v/>
      </c>
      <c r="Q845" s="31">
        <f>IF(COUNTIFS('Manutenção'!$B$7:$B$1006,$A845,'Manutenção'!$H$7:$H$1006,"EM CONSERTO")&gt;0,1,0)</f>
        <v>0</v>
      </c>
    </row>
    <row r="846" ht="15.0" hidden="1" customHeight="1">
      <c r="A846" s="15"/>
      <c r="B846" s="17"/>
      <c r="C846" s="17"/>
      <c r="D846" s="17"/>
      <c r="E846" s="17"/>
      <c r="F846" s="17"/>
      <c r="G846" s="18"/>
      <c r="H846" s="15"/>
      <c r="I846" s="15"/>
      <c r="J846" s="24" t="str">
        <f t="array" ref="J846">IF($A846="","",IFERROR(_xlfn.XLOOKUP($A846,'Movimentação'!$B$7:$B$1006,'Movimentação'!$E$7:$E$1006,"",0,-1),""))</f>
        <v/>
      </c>
      <c r="K846" s="24" t="str">
        <f t="array" ref="K846">IF($A846="","",IFERROR(_xlfn.XLOOKUP($A846,'Movimentação'!$B$7:$B$1006,'Movimentação'!$G$7:$G$1006,"",0,-1),""))</f>
        <v/>
      </c>
      <c r="L846" s="24" t="str">
        <f t="shared" si="3"/>
        <v/>
      </c>
      <c r="M846" s="17"/>
      <c r="N846" s="30" t="str">
        <f t="array" ref="N846">IF($A846="","",IFERROR(IF(OR($L846="BAIXADO",$L846="FURTADO"),0,INDEX(Listas!$J$2:$J$40,MATCH($B846,Listas!$I$2:$I$40,0))),""))</f>
        <v/>
      </c>
      <c r="P846" s="31" t="str">
        <f t="array" ref="P846">IF($A846="","",IFERROR(_xlfn.XLOOKUP($A846,'Movimentação'!$B$7:$B$1006,'Movimentação'!$F$7:$F$1006,"",0,-1),""))</f>
        <v/>
      </c>
      <c r="Q846" s="31">
        <f>IF(COUNTIFS('Manutenção'!$B$7:$B$1006,$A846,'Manutenção'!$H$7:$H$1006,"EM CONSERTO")&gt;0,1,0)</f>
        <v>0</v>
      </c>
    </row>
    <row r="847" ht="15.0" hidden="1" customHeight="1">
      <c r="A847" s="15"/>
      <c r="B847" s="17"/>
      <c r="C847" s="17"/>
      <c r="D847" s="17"/>
      <c r="E847" s="17"/>
      <c r="F847" s="17"/>
      <c r="G847" s="18"/>
      <c r="H847" s="15"/>
      <c r="I847" s="15"/>
      <c r="J847" s="24" t="str">
        <f t="array" ref="J847">IF($A847="","",IFERROR(_xlfn.XLOOKUP($A847,'Movimentação'!$B$7:$B$1006,'Movimentação'!$E$7:$E$1006,"",0,-1),""))</f>
        <v/>
      </c>
      <c r="K847" s="24" t="str">
        <f t="array" ref="K847">IF($A847="","",IFERROR(_xlfn.XLOOKUP($A847,'Movimentação'!$B$7:$B$1006,'Movimentação'!$G$7:$G$1006,"",0,-1),""))</f>
        <v/>
      </c>
      <c r="L847" s="24" t="str">
        <f t="shared" si="3"/>
        <v/>
      </c>
      <c r="M847" s="17"/>
      <c r="N847" s="30" t="str">
        <f t="array" ref="N847">IF($A847="","",IFERROR(IF(OR($L847="BAIXADO",$L847="FURTADO"),0,INDEX(Listas!$J$2:$J$40,MATCH($B847,Listas!$I$2:$I$40,0))),""))</f>
        <v/>
      </c>
      <c r="P847" s="31" t="str">
        <f t="array" ref="P847">IF($A847="","",IFERROR(_xlfn.XLOOKUP($A847,'Movimentação'!$B$7:$B$1006,'Movimentação'!$F$7:$F$1006,"",0,-1),""))</f>
        <v/>
      </c>
      <c r="Q847" s="31">
        <f>IF(COUNTIFS('Manutenção'!$B$7:$B$1006,$A847,'Manutenção'!$H$7:$H$1006,"EM CONSERTO")&gt;0,1,0)</f>
        <v>0</v>
      </c>
    </row>
    <row r="848" ht="15.0" hidden="1" customHeight="1">
      <c r="A848" s="15"/>
      <c r="B848" s="17"/>
      <c r="C848" s="17"/>
      <c r="D848" s="17"/>
      <c r="E848" s="17"/>
      <c r="F848" s="17"/>
      <c r="G848" s="18"/>
      <c r="H848" s="15"/>
      <c r="I848" s="15"/>
      <c r="J848" s="24" t="str">
        <f t="array" ref="J848">IF($A848="","",IFERROR(_xlfn.XLOOKUP($A848,'Movimentação'!$B$7:$B$1006,'Movimentação'!$E$7:$E$1006,"",0,-1),""))</f>
        <v/>
      </c>
      <c r="K848" s="24" t="str">
        <f t="array" ref="K848">IF($A848="","",IFERROR(_xlfn.XLOOKUP($A848,'Movimentação'!$B$7:$B$1006,'Movimentação'!$G$7:$G$1006,"",0,-1),""))</f>
        <v/>
      </c>
      <c r="L848" s="24" t="str">
        <f t="shared" si="3"/>
        <v/>
      </c>
      <c r="M848" s="17"/>
      <c r="N848" s="30" t="str">
        <f t="array" ref="N848">IF($A848="","",IFERROR(IF(OR($L848="BAIXADO",$L848="FURTADO"),0,INDEX(Listas!$J$2:$J$40,MATCH($B848,Listas!$I$2:$I$40,0))),""))</f>
        <v/>
      </c>
      <c r="P848" s="31" t="str">
        <f t="array" ref="P848">IF($A848="","",IFERROR(_xlfn.XLOOKUP($A848,'Movimentação'!$B$7:$B$1006,'Movimentação'!$F$7:$F$1006,"",0,-1),""))</f>
        <v/>
      </c>
      <c r="Q848" s="31">
        <f>IF(COUNTIFS('Manutenção'!$B$7:$B$1006,$A848,'Manutenção'!$H$7:$H$1006,"EM CONSERTO")&gt;0,1,0)</f>
        <v>0</v>
      </c>
    </row>
    <row r="849" ht="15.0" hidden="1" customHeight="1">
      <c r="A849" s="15"/>
      <c r="B849" s="17"/>
      <c r="C849" s="17"/>
      <c r="D849" s="17"/>
      <c r="E849" s="17"/>
      <c r="F849" s="17"/>
      <c r="G849" s="18"/>
      <c r="H849" s="15"/>
      <c r="I849" s="15"/>
      <c r="J849" s="24" t="str">
        <f t="array" ref="J849">IF($A849="","",IFERROR(_xlfn.XLOOKUP($A849,'Movimentação'!$B$7:$B$1006,'Movimentação'!$E$7:$E$1006,"",0,-1),""))</f>
        <v/>
      </c>
      <c r="K849" s="24" t="str">
        <f t="array" ref="K849">IF($A849="","",IFERROR(_xlfn.XLOOKUP($A849,'Movimentação'!$B$7:$B$1006,'Movimentação'!$G$7:$G$1006,"",0,-1),""))</f>
        <v/>
      </c>
      <c r="L849" s="24" t="str">
        <f t="shared" si="3"/>
        <v/>
      </c>
      <c r="M849" s="17"/>
      <c r="N849" s="30" t="str">
        <f t="array" ref="N849">IF($A849="","",IFERROR(IF(OR($L849="BAIXADO",$L849="FURTADO"),0,INDEX(Listas!$J$2:$J$40,MATCH($B849,Listas!$I$2:$I$40,0))),""))</f>
        <v/>
      </c>
      <c r="P849" s="31" t="str">
        <f t="array" ref="P849">IF($A849="","",IFERROR(_xlfn.XLOOKUP($A849,'Movimentação'!$B$7:$B$1006,'Movimentação'!$F$7:$F$1006,"",0,-1),""))</f>
        <v/>
      </c>
      <c r="Q849" s="31">
        <f>IF(COUNTIFS('Manutenção'!$B$7:$B$1006,$A849,'Manutenção'!$H$7:$H$1006,"EM CONSERTO")&gt;0,1,0)</f>
        <v>0</v>
      </c>
    </row>
    <row r="850" ht="15.0" hidden="1" customHeight="1">
      <c r="A850" s="15"/>
      <c r="B850" s="17"/>
      <c r="C850" s="17"/>
      <c r="D850" s="17"/>
      <c r="E850" s="17"/>
      <c r="F850" s="17"/>
      <c r="G850" s="18"/>
      <c r="H850" s="15"/>
      <c r="I850" s="15"/>
      <c r="J850" s="24" t="str">
        <f t="array" ref="J850">IF($A850="","",IFERROR(_xlfn.XLOOKUP($A850,'Movimentação'!$B$7:$B$1006,'Movimentação'!$E$7:$E$1006,"",0,-1),""))</f>
        <v/>
      </c>
      <c r="K850" s="24" t="str">
        <f t="array" ref="K850">IF($A850="","",IFERROR(_xlfn.XLOOKUP($A850,'Movimentação'!$B$7:$B$1006,'Movimentação'!$G$7:$G$1006,"",0,-1),""))</f>
        <v/>
      </c>
      <c r="L850" s="24" t="str">
        <f t="shared" si="3"/>
        <v/>
      </c>
      <c r="M850" s="17"/>
      <c r="N850" s="30" t="str">
        <f t="array" ref="N850">IF($A850="","",IFERROR(IF(OR($L850="BAIXADO",$L850="FURTADO"),0,INDEX(Listas!$J$2:$J$40,MATCH($B850,Listas!$I$2:$I$40,0))),""))</f>
        <v/>
      </c>
      <c r="P850" s="31" t="str">
        <f t="array" ref="P850">IF($A850="","",IFERROR(_xlfn.XLOOKUP($A850,'Movimentação'!$B$7:$B$1006,'Movimentação'!$F$7:$F$1006,"",0,-1),""))</f>
        <v/>
      </c>
      <c r="Q850" s="31">
        <f>IF(COUNTIFS('Manutenção'!$B$7:$B$1006,$A850,'Manutenção'!$H$7:$H$1006,"EM CONSERTO")&gt;0,1,0)</f>
        <v>0</v>
      </c>
    </row>
    <row r="851" ht="15.0" hidden="1" customHeight="1">
      <c r="A851" s="15"/>
      <c r="B851" s="17"/>
      <c r="C851" s="17"/>
      <c r="D851" s="17"/>
      <c r="E851" s="17"/>
      <c r="F851" s="17"/>
      <c r="G851" s="18"/>
      <c r="H851" s="15"/>
      <c r="I851" s="15"/>
      <c r="J851" s="24" t="str">
        <f t="array" ref="J851">IF($A851="","",IFERROR(_xlfn.XLOOKUP($A851,'Movimentação'!$B$7:$B$1006,'Movimentação'!$E$7:$E$1006,"",0,-1),""))</f>
        <v/>
      </c>
      <c r="K851" s="24" t="str">
        <f t="array" ref="K851">IF($A851="","",IFERROR(_xlfn.XLOOKUP($A851,'Movimentação'!$B$7:$B$1006,'Movimentação'!$G$7:$G$1006,"",0,-1),""))</f>
        <v/>
      </c>
      <c r="L851" s="24" t="str">
        <f t="shared" si="3"/>
        <v/>
      </c>
      <c r="M851" s="17"/>
      <c r="N851" s="30" t="str">
        <f t="array" ref="N851">IF($A851="","",IFERROR(IF(OR($L851="BAIXADO",$L851="FURTADO"),0,INDEX(Listas!$J$2:$J$40,MATCH($B851,Listas!$I$2:$I$40,0))),""))</f>
        <v/>
      </c>
      <c r="P851" s="31" t="str">
        <f t="array" ref="P851">IF($A851="","",IFERROR(_xlfn.XLOOKUP($A851,'Movimentação'!$B$7:$B$1006,'Movimentação'!$F$7:$F$1006,"",0,-1),""))</f>
        <v/>
      </c>
      <c r="Q851" s="31">
        <f>IF(COUNTIFS('Manutenção'!$B$7:$B$1006,$A851,'Manutenção'!$H$7:$H$1006,"EM CONSERTO")&gt;0,1,0)</f>
        <v>0</v>
      </c>
    </row>
    <row r="852" ht="15.0" hidden="1" customHeight="1">
      <c r="A852" s="15"/>
      <c r="B852" s="17"/>
      <c r="C852" s="17"/>
      <c r="D852" s="17"/>
      <c r="E852" s="17"/>
      <c r="F852" s="17"/>
      <c r="G852" s="18"/>
      <c r="H852" s="15"/>
      <c r="I852" s="15"/>
      <c r="J852" s="24" t="str">
        <f t="array" ref="J852">IF($A852="","",IFERROR(_xlfn.XLOOKUP($A852,'Movimentação'!$B$7:$B$1006,'Movimentação'!$E$7:$E$1006,"",0,-1),""))</f>
        <v/>
      </c>
      <c r="K852" s="24" t="str">
        <f t="array" ref="K852">IF($A852="","",IFERROR(_xlfn.XLOOKUP($A852,'Movimentação'!$B$7:$B$1006,'Movimentação'!$G$7:$G$1006,"",0,-1),""))</f>
        <v/>
      </c>
      <c r="L852" s="24" t="str">
        <f t="shared" si="3"/>
        <v/>
      </c>
      <c r="M852" s="17"/>
      <c r="N852" s="30" t="str">
        <f t="array" ref="N852">IF($A852="","",IFERROR(IF(OR($L852="BAIXADO",$L852="FURTADO"),0,INDEX(Listas!$J$2:$J$40,MATCH($B852,Listas!$I$2:$I$40,0))),""))</f>
        <v/>
      </c>
      <c r="P852" s="31" t="str">
        <f t="array" ref="P852">IF($A852="","",IFERROR(_xlfn.XLOOKUP($A852,'Movimentação'!$B$7:$B$1006,'Movimentação'!$F$7:$F$1006,"",0,-1),""))</f>
        <v/>
      </c>
      <c r="Q852" s="31">
        <f>IF(COUNTIFS('Manutenção'!$B$7:$B$1006,$A852,'Manutenção'!$H$7:$H$1006,"EM CONSERTO")&gt;0,1,0)</f>
        <v>0</v>
      </c>
    </row>
    <row r="853" ht="15.0" hidden="1" customHeight="1">
      <c r="A853" s="15"/>
      <c r="B853" s="17"/>
      <c r="C853" s="17"/>
      <c r="D853" s="17"/>
      <c r="E853" s="17"/>
      <c r="F853" s="17"/>
      <c r="G853" s="18"/>
      <c r="H853" s="15"/>
      <c r="I853" s="15"/>
      <c r="J853" s="24" t="str">
        <f t="array" ref="J853">IF($A853="","",IFERROR(_xlfn.XLOOKUP($A853,'Movimentação'!$B$7:$B$1006,'Movimentação'!$E$7:$E$1006,"",0,-1),""))</f>
        <v/>
      </c>
      <c r="K853" s="24" t="str">
        <f t="array" ref="K853">IF($A853="","",IFERROR(_xlfn.XLOOKUP($A853,'Movimentação'!$B$7:$B$1006,'Movimentação'!$G$7:$G$1006,"",0,-1),""))</f>
        <v/>
      </c>
      <c r="L853" s="24" t="str">
        <f t="shared" si="3"/>
        <v/>
      </c>
      <c r="M853" s="17"/>
      <c r="N853" s="30" t="str">
        <f t="array" ref="N853">IF($A853="","",IFERROR(IF(OR($L853="BAIXADO",$L853="FURTADO"),0,INDEX(Listas!$J$2:$J$40,MATCH($B853,Listas!$I$2:$I$40,0))),""))</f>
        <v/>
      </c>
      <c r="P853" s="31" t="str">
        <f t="array" ref="P853">IF($A853="","",IFERROR(_xlfn.XLOOKUP($A853,'Movimentação'!$B$7:$B$1006,'Movimentação'!$F$7:$F$1006,"",0,-1),""))</f>
        <v/>
      </c>
      <c r="Q853" s="31">
        <f>IF(COUNTIFS('Manutenção'!$B$7:$B$1006,$A853,'Manutenção'!$H$7:$H$1006,"EM CONSERTO")&gt;0,1,0)</f>
        <v>0</v>
      </c>
    </row>
    <row r="854" ht="15.0" hidden="1" customHeight="1">
      <c r="A854" s="15"/>
      <c r="B854" s="17"/>
      <c r="C854" s="17"/>
      <c r="D854" s="17"/>
      <c r="E854" s="17"/>
      <c r="F854" s="17"/>
      <c r="G854" s="18"/>
      <c r="H854" s="15"/>
      <c r="I854" s="15"/>
      <c r="J854" s="24" t="str">
        <f t="array" ref="J854">IF($A854="","",IFERROR(_xlfn.XLOOKUP($A854,'Movimentação'!$B$7:$B$1006,'Movimentação'!$E$7:$E$1006,"",0,-1),""))</f>
        <v/>
      </c>
      <c r="K854" s="24" t="str">
        <f t="array" ref="K854">IF($A854="","",IFERROR(_xlfn.XLOOKUP($A854,'Movimentação'!$B$7:$B$1006,'Movimentação'!$G$7:$G$1006,"",0,-1),""))</f>
        <v/>
      </c>
      <c r="L854" s="24" t="str">
        <f t="shared" si="3"/>
        <v/>
      </c>
      <c r="M854" s="17"/>
      <c r="N854" s="30" t="str">
        <f t="array" ref="N854">IF($A854="","",IFERROR(IF(OR($L854="BAIXADO",$L854="FURTADO"),0,INDEX(Listas!$J$2:$J$40,MATCH($B854,Listas!$I$2:$I$40,0))),""))</f>
        <v/>
      </c>
      <c r="P854" s="31" t="str">
        <f t="array" ref="P854">IF($A854="","",IFERROR(_xlfn.XLOOKUP($A854,'Movimentação'!$B$7:$B$1006,'Movimentação'!$F$7:$F$1006,"",0,-1),""))</f>
        <v/>
      </c>
      <c r="Q854" s="31">
        <f>IF(COUNTIFS('Manutenção'!$B$7:$B$1006,$A854,'Manutenção'!$H$7:$H$1006,"EM CONSERTO")&gt;0,1,0)</f>
        <v>0</v>
      </c>
    </row>
    <row r="855" ht="15.0" hidden="1" customHeight="1">
      <c r="A855" s="15"/>
      <c r="B855" s="17"/>
      <c r="C855" s="17"/>
      <c r="D855" s="17"/>
      <c r="E855" s="17"/>
      <c r="F855" s="17"/>
      <c r="G855" s="18"/>
      <c r="H855" s="15"/>
      <c r="I855" s="15"/>
      <c r="J855" s="24" t="str">
        <f t="array" ref="J855">IF($A855="","",IFERROR(_xlfn.XLOOKUP($A855,'Movimentação'!$B$7:$B$1006,'Movimentação'!$E$7:$E$1006,"",0,-1),""))</f>
        <v/>
      </c>
      <c r="K855" s="24" t="str">
        <f t="array" ref="K855">IF($A855="","",IFERROR(_xlfn.XLOOKUP($A855,'Movimentação'!$B$7:$B$1006,'Movimentação'!$G$7:$G$1006,"",0,-1),""))</f>
        <v/>
      </c>
      <c r="L855" s="24" t="str">
        <f t="shared" si="3"/>
        <v/>
      </c>
      <c r="M855" s="17"/>
      <c r="N855" s="30" t="str">
        <f t="array" ref="N855">IF($A855="","",IFERROR(IF(OR($L855="BAIXADO",$L855="FURTADO"),0,INDEX(Listas!$J$2:$J$40,MATCH($B855,Listas!$I$2:$I$40,0))),""))</f>
        <v/>
      </c>
      <c r="P855" s="31" t="str">
        <f t="array" ref="P855">IF($A855="","",IFERROR(_xlfn.XLOOKUP($A855,'Movimentação'!$B$7:$B$1006,'Movimentação'!$F$7:$F$1006,"",0,-1),""))</f>
        <v/>
      </c>
      <c r="Q855" s="31">
        <f>IF(COUNTIFS('Manutenção'!$B$7:$B$1006,$A855,'Manutenção'!$H$7:$H$1006,"EM CONSERTO")&gt;0,1,0)</f>
        <v>0</v>
      </c>
    </row>
    <row r="856" ht="15.0" hidden="1" customHeight="1">
      <c r="A856" s="15"/>
      <c r="B856" s="17"/>
      <c r="C856" s="17"/>
      <c r="D856" s="17"/>
      <c r="E856" s="17"/>
      <c r="F856" s="17"/>
      <c r="G856" s="18"/>
      <c r="H856" s="15"/>
      <c r="I856" s="15"/>
      <c r="J856" s="24" t="str">
        <f t="array" ref="J856">IF($A856="","",IFERROR(_xlfn.XLOOKUP($A856,'Movimentação'!$B$7:$B$1006,'Movimentação'!$E$7:$E$1006,"",0,-1),""))</f>
        <v/>
      </c>
      <c r="K856" s="24" t="str">
        <f t="array" ref="K856">IF($A856="","",IFERROR(_xlfn.XLOOKUP($A856,'Movimentação'!$B$7:$B$1006,'Movimentação'!$G$7:$G$1006,"",0,-1),""))</f>
        <v/>
      </c>
      <c r="L856" s="24" t="str">
        <f t="shared" si="3"/>
        <v/>
      </c>
      <c r="M856" s="17"/>
      <c r="N856" s="30" t="str">
        <f t="array" ref="N856">IF($A856="","",IFERROR(IF(OR($L856="BAIXADO",$L856="FURTADO"),0,INDEX(Listas!$J$2:$J$40,MATCH($B856,Listas!$I$2:$I$40,0))),""))</f>
        <v/>
      </c>
      <c r="P856" s="31" t="str">
        <f t="array" ref="P856">IF($A856="","",IFERROR(_xlfn.XLOOKUP($A856,'Movimentação'!$B$7:$B$1006,'Movimentação'!$F$7:$F$1006,"",0,-1),""))</f>
        <v/>
      </c>
      <c r="Q856" s="31">
        <f>IF(COUNTIFS('Manutenção'!$B$7:$B$1006,$A856,'Manutenção'!$H$7:$H$1006,"EM CONSERTO")&gt;0,1,0)</f>
        <v>0</v>
      </c>
    </row>
    <row r="857" ht="15.0" hidden="1" customHeight="1">
      <c r="A857" s="15"/>
      <c r="B857" s="17"/>
      <c r="C857" s="17"/>
      <c r="D857" s="17"/>
      <c r="E857" s="17"/>
      <c r="F857" s="17"/>
      <c r="G857" s="18"/>
      <c r="H857" s="15"/>
      <c r="I857" s="15"/>
      <c r="J857" s="24" t="str">
        <f t="array" ref="J857">IF($A857="","",IFERROR(_xlfn.XLOOKUP($A857,'Movimentação'!$B$7:$B$1006,'Movimentação'!$E$7:$E$1006,"",0,-1),""))</f>
        <v/>
      </c>
      <c r="K857" s="24" t="str">
        <f t="array" ref="K857">IF($A857="","",IFERROR(_xlfn.XLOOKUP($A857,'Movimentação'!$B$7:$B$1006,'Movimentação'!$G$7:$G$1006,"",0,-1),""))</f>
        <v/>
      </c>
      <c r="L857" s="24" t="str">
        <f t="shared" si="3"/>
        <v/>
      </c>
      <c r="M857" s="17"/>
      <c r="N857" s="30" t="str">
        <f t="array" ref="N857">IF($A857="","",IFERROR(IF(OR($L857="BAIXADO",$L857="FURTADO"),0,INDEX(Listas!$J$2:$J$40,MATCH($B857,Listas!$I$2:$I$40,0))),""))</f>
        <v/>
      </c>
      <c r="P857" s="31" t="str">
        <f t="array" ref="P857">IF($A857="","",IFERROR(_xlfn.XLOOKUP($A857,'Movimentação'!$B$7:$B$1006,'Movimentação'!$F$7:$F$1006,"",0,-1),""))</f>
        <v/>
      </c>
      <c r="Q857" s="31">
        <f>IF(COUNTIFS('Manutenção'!$B$7:$B$1006,$A857,'Manutenção'!$H$7:$H$1006,"EM CONSERTO")&gt;0,1,0)</f>
        <v>0</v>
      </c>
    </row>
    <row r="858" ht="15.0" hidden="1" customHeight="1">
      <c r="A858" s="15"/>
      <c r="B858" s="17"/>
      <c r="C858" s="17"/>
      <c r="D858" s="17"/>
      <c r="E858" s="17"/>
      <c r="F858" s="17"/>
      <c r="G858" s="18"/>
      <c r="H858" s="15"/>
      <c r="I858" s="15"/>
      <c r="J858" s="24" t="str">
        <f t="array" ref="J858">IF($A858="","",IFERROR(_xlfn.XLOOKUP($A858,'Movimentação'!$B$7:$B$1006,'Movimentação'!$E$7:$E$1006,"",0,-1),""))</f>
        <v/>
      </c>
      <c r="K858" s="24" t="str">
        <f t="array" ref="K858">IF($A858="","",IFERROR(_xlfn.XLOOKUP($A858,'Movimentação'!$B$7:$B$1006,'Movimentação'!$G$7:$G$1006,"",0,-1),""))</f>
        <v/>
      </c>
      <c r="L858" s="24" t="str">
        <f t="shared" si="3"/>
        <v/>
      </c>
      <c r="M858" s="17"/>
      <c r="N858" s="30" t="str">
        <f t="array" ref="N858">IF($A858="","",IFERROR(IF(OR($L858="BAIXADO",$L858="FURTADO"),0,INDEX(Listas!$J$2:$J$40,MATCH($B858,Listas!$I$2:$I$40,0))),""))</f>
        <v/>
      </c>
      <c r="P858" s="31" t="str">
        <f t="array" ref="P858">IF($A858="","",IFERROR(_xlfn.XLOOKUP($A858,'Movimentação'!$B$7:$B$1006,'Movimentação'!$F$7:$F$1006,"",0,-1),""))</f>
        <v/>
      </c>
      <c r="Q858" s="31">
        <f>IF(COUNTIFS('Manutenção'!$B$7:$B$1006,$A858,'Manutenção'!$H$7:$H$1006,"EM CONSERTO")&gt;0,1,0)</f>
        <v>0</v>
      </c>
    </row>
    <row r="859" ht="15.0" hidden="1" customHeight="1">
      <c r="A859" s="15"/>
      <c r="B859" s="17"/>
      <c r="C859" s="17"/>
      <c r="D859" s="17"/>
      <c r="E859" s="17"/>
      <c r="F859" s="17"/>
      <c r="G859" s="18"/>
      <c r="H859" s="15"/>
      <c r="I859" s="15"/>
      <c r="J859" s="24" t="str">
        <f t="array" ref="J859">IF($A859="","",IFERROR(_xlfn.XLOOKUP($A859,'Movimentação'!$B$7:$B$1006,'Movimentação'!$E$7:$E$1006,"",0,-1),""))</f>
        <v/>
      </c>
      <c r="K859" s="24" t="str">
        <f t="array" ref="K859">IF($A859="","",IFERROR(_xlfn.XLOOKUP($A859,'Movimentação'!$B$7:$B$1006,'Movimentação'!$G$7:$G$1006,"",0,-1),""))</f>
        <v/>
      </c>
      <c r="L859" s="24" t="str">
        <f t="shared" si="3"/>
        <v/>
      </c>
      <c r="M859" s="17"/>
      <c r="N859" s="30" t="str">
        <f t="array" ref="N859">IF($A859="","",IFERROR(IF(OR($L859="BAIXADO",$L859="FURTADO"),0,INDEX(Listas!$J$2:$J$40,MATCH($B859,Listas!$I$2:$I$40,0))),""))</f>
        <v/>
      </c>
      <c r="P859" s="31" t="str">
        <f t="array" ref="P859">IF($A859="","",IFERROR(_xlfn.XLOOKUP($A859,'Movimentação'!$B$7:$B$1006,'Movimentação'!$F$7:$F$1006,"",0,-1),""))</f>
        <v/>
      </c>
      <c r="Q859" s="31">
        <f>IF(COUNTIFS('Manutenção'!$B$7:$B$1006,$A859,'Manutenção'!$H$7:$H$1006,"EM CONSERTO")&gt;0,1,0)</f>
        <v>0</v>
      </c>
    </row>
    <row r="860" ht="15.0" hidden="1" customHeight="1">
      <c r="A860" s="15"/>
      <c r="B860" s="17"/>
      <c r="C860" s="17"/>
      <c r="D860" s="17"/>
      <c r="E860" s="17"/>
      <c r="F860" s="17"/>
      <c r="G860" s="18"/>
      <c r="H860" s="15"/>
      <c r="I860" s="15"/>
      <c r="J860" s="24" t="str">
        <f t="array" ref="J860">IF($A860="","",IFERROR(_xlfn.XLOOKUP($A860,'Movimentação'!$B$7:$B$1006,'Movimentação'!$E$7:$E$1006,"",0,-1),""))</f>
        <v/>
      </c>
      <c r="K860" s="24" t="str">
        <f t="array" ref="K860">IF($A860="","",IFERROR(_xlfn.XLOOKUP($A860,'Movimentação'!$B$7:$B$1006,'Movimentação'!$G$7:$G$1006,"",0,-1),""))</f>
        <v/>
      </c>
      <c r="L860" s="24" t="str">
        <f t="shared" si="3"/>
        <v/>
      </c>
      <c r="M860" s="17"/>
      <c r="N860" s="30" t="str">
        <f t="array" ref="N860">IF($A860="","",IFERROR(IF(OR($L860="BAIXADO",$L860="FURTADO"),0,INDEX(Listas!$J$2:$J$40,MATCH($B860,Listas!$I$2:$I$40,0))),""))</f>
        <v/>
      </c>
      <c r="P860" s="31" t="str">
        <f t="array" ref="P860">IF($A860="","",IFERROR(_xlfn.XLOOKUP($A860,'Movimentação'!$B$7:$B$1006,'Movimentação'!$F$7:$F$1006,"",0,-1),""))</f>
        <v/>
      </c>
      <c r="Q860" s="31">
        <f>IF(COUNTIFS('Manutenção'!$B$7:$B$1006,$A860,'Manutenção'!$H$7:$H$1006,"EM CONSERTO")&gt;0,1,0)</f>
        <v>0</v>
      </c>
    </row>
    <row r="861" ht="15.0" hidden="1" customHeight="1">
      <c r="A861" s="15"/>
      <c r="B861" s="17"/>
      <c r="C861" s="17"/>
      <c r="D861" s="17"/>
      <c r="E861" s="17"/>
      <c r="F861" s="17"/>
      <c r="G861" s="18"/>
      <c r="H861" s="15"/>
      <c r="I861" s="15"/>
      <c r="J861" s="24" t="str">
        <f t="array" ref="J861">IF($A861="","",IFERROR(_xlfn.XLOOKUP($A861,'Movimentação'!$B$7:$B$1006,'Movimentação'!$E$7:$E$1006,"",0,-1),""))</f>
        <v/>
      </c>
      <c r="K861" s="24" t="str">
        <f t="array" ref="K861">IF($A861="","",IFERROR(_xlfn.XLOOKUP($A861,'Movimentação'!$B$7:$B$1006,'Movimentação'!$G$7:$G$1006,"",0,-1),""))</f>
        <v/>
      </c>
      <c r="L861" s="24" t="str">
        <f t="shared" si="3"/>
        <v/>
      </c>
      <c r="M861" s="17"/>
      <c r="N861" s="30" t="str">
        <f t="array" ref="N861">IF($A861="","",IFERROR(IF(OR($L861="BAIXADO",$L861="FURTADO"),0,INDEX(Listas!$J$2:$J$40,MATCH($B861,Listas!$I$2:$I$40,0))),""))</f>
        <v/>
      </c>
      <c r="P861" s="31" t="str">
        <f t="array" ref="P861">IF($A861="","",IFERROR(_xlfn.XLOOKUP($A861,'Movimentação'!$B$7:$B$1006,'Movimentação'!$F$7:$F$1006,"",0,-1),""))</f>
        <v/>
      </c>
      <c r="Q861" s="31">
        <f>IF(COUNTIFS('Manutenção'!$B$7:$B$1006,$A861,'Manutenção'!$H$7:$H$1006,"EM CONSERTO")&gt;0,1,0)</f>
        <v>0</v>
      </c>
    </row>
    <row r="862" ht="15.0" hidden="1" customHeight="1">
      <c r="A862" s="15"/>
      <c r="B862" s="17"/>
      <c r="C862" s="17"/>
      <c r="D862" s="17"/>
      <c r="E862" s="17"/>
      <c r="F862" s="17"/>
      <c r="G862" s="18"/>
      <c r="H862" s="15"/>
      <c r="I862" s="15"/>
      <c r="J862" s="24" t="str">
        <f t="array" ref="J862">IF($A862="","",IFERROR(_xlfn.XLOOKUP($A862,'Movimentação'!$B$7:$B$1006,'Movimentação'!$E$7:$E$1006,"",0,-1),""))</f>
        <v/>
      </c>
      <c r="K862" s="24" t="str">
        <f t="array" ref="K862">IF($A862="","",IFERROR(_xlfn.XLOOKUP($A862,'Movimentação'!$B$7:$B$1006,'Movimentação'!$G$7:$G$1006,"",0,-1),""))</f>
        <v/>
      </c>
      <c r="L862" s="24" t="str">
        <f t="shared" si="3"/>
        <v/>
      </c>
      <c r="M862" s="17"/>
      <c r="N862" s="30" t="str">
        <f t="array" ref="N862">IF($A862="","",IFERROR(IF(OR($L862="BAIXADO",$L862="FURTADO"),0,INDEX(Listas!$J$2:$J$40,MATCH($B862,Listas!$I$2:$I$40,0))),""))</f>
        <v/>
      </c>
      <c r="P862" s="31" t="str">
        <f t="array" ref="P862">IF($A862="","",IFERROR(_xlfn.XLOOKUP($A862,'Movimentação'!$B$7:$B$1006,'Movimentação'!$F$7:$F$1006,"",0,-1),""))</f>
        <v/>
      </c>
      <c r="Q862" s="31">
        <f>IF(COUNTIFS('Manutenção'!$B$7:$B$1006,$A862,'Manutenção'!$H$7:$H$1006,"EM CONSERTO")&gt;0,1,0)</f>
        <v>0</v>
      </c>
    </row>
    <row r="863" ht="15.0" hidden="1" customHeight="1">
      <c r="A863" s="15"/>
      <c r="B863" s="17"/>
      <c r="C863" s="17"/>
      <c r="D863" s="17"/>
      <c r="E863" s="17"/>
      <c r="F863" s="17"/>
      <c r="G863" s="18"/>
      <c r="H863" s="15"/>
      <c r="I863" s="15"/>
      <c r="J863" s="24" t="str">
        <f t="array" ref="J863">IF($A863="","",IFERROR(_xlfn.XLOOKUP($A863,'Movimentação'!$B$7:$B$1006,'Movimentação'!$E$7:$E$1006,"",0,-1),""))</f>
        <v/>
      </c>
      <c r="K863" s="24" t="str">
        <f t="array" ref="K863">IF($A863="","",IFERROR(_xlfn.XLOOKUP($A863,'Movimentação'!$B$7:$B$1006,'Movimentação'!$G$7:$G$1006,"",0,-1),""))</f>
        <v/>
      </c>
      <c r="L863" s="24" t="str">
        <f t="shared" si="3"/>
        <v/>
      </c>
      <c r="M863" s="17"/>
      <c r="N863" s="30" t="str">
        <f t="array" ref="N863">IF($A863="","",IFERROR(IF(OR($L863="BAIXADO",$L863="FURTADO"),0,INDEX(Listas!$J$2:$J$40,MATCH($B863,Listas!$I$2:$I$40,0))),""))</f>
        <v/>
      </c>
      <c r="P863" s="31" t="str">
        <f t="array" ref="P863">IF($A863="","",IFERROR(_xlfn.XLOOKUP($A863,'Movimentação'!$B$7:$B$1006,'Movimentação'!$F$7:$F$1006,"",0,-1),""))</f>
        <v/>
      </c>
      <c r="Q863" s="31">
        <f>IF(COUNTIFS('Manutenção'!$B$7:$B$1006,$A863,'Manutenção'!$H$7:$H$1006,"EM CONSERTO")&gt;0,1,0)</f>
        <v>0</v>
      </c>
    </row>
    <row r="864" ht="15.0" hidden="1" customHeight="1">
      <c r="A864" s="15"/>
      <c r="B864" s="17"/>
      <c r="C864" s="17"/>
      <c r="D864" s="17"/>
      <c r="E864" s="17"/>
      <c r="F864" s="17"/>
      <c r="G864" s="18"/>
      <c r="H864" s="15"/>
      <c r="I864" s="15"/>
      <c r="J864" s="24" t="str">
        <f t="array" ref="J864">IF($A864="","",IFERROR(_xlfn.XLOOKUP($A864,'Movimentação'!$B$7:$B$1006,'Movimentação'!$E$7:$E$1006,"",0,-1),""))</f>
        <v/>
      </c>
      <c r="K864" s="24" t="str">
        <f t="array" ref="K864">IF($A864="","",IFERROR(_xlfn.XLOOKUP($A864,'Movimentação'!$B$7:$B$1006,'Movimentação'!$G$7:$G$1006,"",0,-1),""))</f>
        <v/>
      </c>
      <c r="L864" s="24" t="str">
        <f t="shared" si="3"/>
        <v/>
      </c>
      <c r="M864" s="17"/>
      <c r="N864" s="30" t="str">
        <f t="array" ref="N864">IF($A864="","",IFERROR(IF(OR($L864="BAIXADO",$L864="FURTADO"),0,INDEX(Listas!$J$2:$J$40,MATCH($B864,Listas!$I$2:$I$40,0))),""))</f>
        <v/>
      </c>
      <c r="P864" s="31" t="str">
        <f t="array" ref="P864">IF($A864="","",IFERROR(_xlfn.XLOOKUP($A864,'Movimentação'!$B$7:$B$1006,'Movimentação'!$F$7:$F$1006,"",0,-1),""))</f>
        <v/>
      </c>
      <c r="Q864" s="31">
        <f>IF(COUNTIFS('Manutenção'!$B$7:$B$1006,$A864,'Manutenção'!$H$7:$H$1006,"EM CONSERTO")&gt;0,1,0)</f>
        <v>0</v>
      </c>
    </row>
    <row r="865" ht="15.0" hidden="1" customHeight="1">
      <c r="A865" s="15"/>
      <c r="B865" s="17"/>
      <c r="C865" s="17"/>
      <c r="D865" s="17"/>
      <c r="E865" s="17"/>
      <c r="F865" s="17"/>
      <c r="G865" s="18"/>
      <c r="H865" s="15"/>
      <c r="I865" s="15"/>
      <c r="J865" s="24" t="str">
        <f t="array" ref="J865">IF($A865="","",IFERROR(_xlfn.XLOOKUP($A865,'Movimentação'!$B$7:$B$1006,'Movimentação'!$E$7:$E$1006,"",0,-1),""))</f>
        <v/>
      </c>
      <c r="K865" s="24" t="str">
        <f t="array" ref="K865">IF($A865="","",IFERROR(_xlfn.XLOOKUP($A865,'Movimentação'!$B$7:$B$1006,'Movimentação'!$G$7:$G$1006,"",0,-1),""))</f>
        <v/>
      </c>
      <c r="L865" s="24" t="str">
        <f t="shared" si="3"/>
        <v/>
      </c>
      <c r="M865" s="17"/>
      <c r="N865" s="30" t="str">
        <f t="array" ref="N865">IF($A865="","",IFERROR(IF(OR($L865="BAIXADO",$L865="FURTADO"),0,INDEX(Listas!$J$2:$J$40,MATCH($B865,Listas!$I$2:$I$40,0))),""))</f>
        <v/>
      </c>
      <c r="P865" s="31" t="str">
        <f t="array" ref="P865">IF($A865="","",IFERROR(_xlfn.XLOOKUP($A865,'Movimentação'!$B$7:$B$1006,'Movimentação'!$F$7:$F$1006,"",0,-1),""))</f>
        <v/>
      </c>
      <c r="Q865" s="31">
        <f>IF(COUNTIFS('Manutenção'!$B$7:$B$1006,$A865,'Manutenção'!$H$7:$H$1006,"EM CONSERTO")&gt;0,1,0)</f>
        <v>0</v>
      </c>
    </row>
    <row r="866" ht="15.0" hidden="1" customHeight="1">
      <c r="A866" s="15"/>
      <c r="B866" s="17"/>
      <c r="C866" s="17"/>
      <c r="D866" s="17"/>
      <c r="E866" s="17"/>
      <c r="F866" s="17"/>
      <c r="G866" s="18"/>
      <c r="H866" s="15"/>
      <c r="I866" s="15"/>
      <c r="J866" s="24" t="str">
        <f t="array" ref="J866">IF($A866="","",IFERROR(_xlfn.XLOOKUP($A866,'Movimentação'!$B$7:$B$1006,'Movimentação'!$E$7:$E$1006,"",0,-1),""))</f>
        <v/>
      </c>
      <c r="K866" s="24" t="str">
        <f t="array" ref="K866">IF($A866="","",IFERROR(_xlfn.XLOOKUP($A866,'Movimentação'!$B$7:$B$1006,'Movimentação'!$G$7:$G$1006,"",0,-1),""))</f>
        <v/>
      </c>
      <c r="L866" s="24" t="str">
        <f t="shared" si="3"/>
        <v/>
      </c>
      <c r="M866" s="17"/>
      <c r="N866" s="30" t="str">
        <f t="array" ref="N866">IF($A866="","",IFERROR(IF(OR($L866="BAIXADO",$L866="FURTADO"),0,INDEX(Listas!$J$2:$J$40,MATCH($B866,Listas!$I$2:$I$40,0))),""))</f>
        <v/>
      </c>
      <c r="P866" s="31" t="str">
        <f t="array" ref="P866">IF($A866="","",IFERROR(_xlfn.XLOOKUP($A866,'Movimentação'!$B$7:$B$1006,'Movimentação'!$F$7:$F$1006,"",0,-1),""))</f>
        <v/>
      </c>
      <c r="Q866" s="31">
        <f>IF(COUNTIFS('Manutenção'!$B$7:$B$1006,$A866,'Manutenção'!$H$7:$H$1006,"EM CONSERTO")&gt;0,1,0)</f>
        <v>0</v>
      </c>
    </row>
    <row r="867" ht="15.0" hidden="1" customHeight="1">
      <c r="A867" s="15"/>
      <c r="B867" s="17"/>
      <c r="C867" s="17"/>
      <c r="D867" s="17"/>
      <c r="E867" s="17"/>
      <c r="F867" s="17"/>
      <c r="G867" s="18"/>
      <c r="H867" s="15"/>
      <c r="I867" s="15"/>
      <c r="J867" s="24" t="str">
        <f t="array" ref="J867">IF($A867="","",IFERROR(_xlfn.XLOOKUP($A867,'Movimentação'!$B$7:$B$1006,'Movimentação'!$E$7:$E$1006,"",0,-1),""))</f>
        <v/>
      </c>
      <c r="K867" s="24" t="str">
        <f t="array" ref="K867">IF($A867="","",IFERROR(_xlfn.XLOOKUP($A867,'Movimentação'!$B$7:$B$1006,'Movimentação'!$G$7:$G$1006,"",0,-1),""))</f>
        <v/>
      </c>
      <c r="L867" s="24" t="str">
        <f t="shared" si="3"/>
        <v/>
      </c>
      <c r="M867" s="17"/>
      <c r="N867" s="30" t="str">
        <f t="array" ref="N867">IF($A867="","",IFERROR(IF(OR($L867="BAIXADO",$L867="FURTADO"),0,INDEX(Listas!$J$2:$J$40,MATCH($B867,Listas!$I$2:$I$40,0))),""))</f>
        <v/>
      </c>
      <c r="P867" s="31" t="str">
        <f t="array" ref="P867">IF($A867="","",IFERROR(_xlfn.XLOOKUP($A867,'Movimentação'!$B$7:$B$1006,'Movimentação'!$F$7:$F$1006,"",0,-1),""))</f>
        <v/>
      </c>
      <c r="Q867" s="31">
        <f>IF(COUNTIFS('Manutenção'!$B$7:$B$1006,$A867,'Manutenção'!$H$7:$H$1006,"EM CONSERTO")&gt;0,1,0)</f>
        <v>0</v>
      </c>
    </row>
    <row r="868" ht="15.0" hidden="1" customHeight="1">
      <c r="A868" s="15"/>
      <c r="B868" s="17"/>
      <c r="C868" s="17"/>
      <c r="D868" s="17"/>
      <c r="E868" s="17"/>
      <c r="F868" s="17"/>
      <c r="G868" s="18"/>
      <c r="H868" s="15"/>
      <c r="I868" s="15"/>
      <c r="J868" s="24" t="str">
        <f t="array" ref="J868">IF($A868="","",IFERROR(_xlfn.XLOOKUP($A868,'Movimentação'!$B$7:$B$1006,'Movimentação'!$E$7:$E$1006,"",0,-1),""))</f>
        <v/>
      </c>
      <c r="K868" s="24" t="str">
        <f t="array" ref="K868">IF($A868="","",IFERROR(_xlfn.XLOOKUP($A868,'Movimentação'!$B$7:$B$1006,'Movimentação'!$G$7:$G$1006,"",0,-1),""))</f>
        <v/>
      </c>
      <c r="L868" s="24" t="str">
        <f t="shared" si="3"/>
        <v/>
      </c>
      <c r="M868" s="17"/>
      <c r="N868" s="30" t="str">
        <f t="array" ref="N868">IF($A868="","",IFERROR(IF(OR($L868="BAIXADO",$L868="FURTADO"),0,INDEX(Listas!$J$2:$J$40,MATCH($B868,Listas!$I$2:$I$40,0))),""))</f>
        <v/>
      </c>
      <c r="P868" s="31" t="str">
        <f t="array" ref="P868">IF($A868="","",IFERROR(_xlfn.XLOOKUP($A868,'Movimentação'!$B$7:$B$1006,'Movimentação'!$F$7:$F$1006,"",0,-1),""))</f>
        <v/>
      </c>
      <c r="Q868" s="31">
        <f>IF(COUNTIFS('Manutenção'!$B$7:$B$1006,$A868,'Manutenção'!$H$7:$H$1006,"EM CONSERTO")&gt;0,1,0)</f>
        <v>0</v>
      </c>
    </row>
    <row r="869" ht="15.0" hidden="1" customHeight="1">
      <c r="A869" s="15"/>
      <c r="B869" s="17"/>
      <c r="C869" s="17"/>
      <c r="D869" s="17"/>
      <c r="E869" s="17"/>
      <c r="F869" s="17"/>
      <c r="G869" s="18"/>
      <c r="H869" s="15"/>
      <c r="I869" s="15"/>
      <c r="J869" s="24" t="str">
        <f t="array" ref="J869">IF($A869="","",IFERROR(_xlfn.XLOOKUP($A869,'Movimentação'!$B$7:$B$1006,'Movimentação'!$E$7:$E$1006,"",0,-1),""))</f>
        <v/>
      </c>
      <c r="K869" s="24" t="str">
        <f t="array" ref="K869">IF($A869="","",IFERROR(_xlfn.XLOOKUP($A869,'Movimentação'!$B$7:$B$1006,'Movimentação'!$G$7:$G$1006,"",0,-1),""))</f>
        <v/>
      </c>
      <c r="L869" s="24" t="str">
        <f t="shared" si="3"/>
        <v/>
      </c>
      <c r="M869" s="17"/>
      <c r="N869" s="30" t="str">
        <f t="array" ref="N869">IF($A869="","",IFERROR(IF(OR($L869="BAIXADO",$L869="FURTADO"),0,INDEX(Listas!$J$2:$J$40,MATCH($B869,Listas!$I$2:$I$40,0))),""))</f>
        <v/>
      </c>
      <c r="P869" s="31" t="str">
        <f t="array" ref="P869">IF($A869="","",IFERROR(_xlfn.XLOOKUP($A869,'Movimentação'!$B$7:$B$1006,'Movimentação'!$F$7:$F$1006,"",0,-1),""))</f>
        <v/>
      </c>
      <c r="Q869" s="31">
        <f>IF(COUNTIFS('Manutenção'!$B$7:$B$1006,$A869,'Manutenção'!$H$7:$H$1006,"EM CONSERTO")&gt;0,1,0)</f>
        <v>0</v>
      </c>
    </row>
    <row r="870" ht="15.0" hidden="1" customHeight="1">
      <c r="A870" s="15"/>
      <c r="B870" s="17"/>
      <c r="C870" s="17"/>
      <c r="D870" s="17"/>
      <c r="E870" s="17"/>
      <c r="F870" s="17"/>
      <c r="G870" s="18"/>
      <c r="H870" s="15"/>
      <c r="I870" s="15"/>
      <c r="J870" s="24" t="str">
        <f t="array" ref="J870">IF($A870="","",IFERROR(_xlfn.XLOOKUP($A870,'Movimentação'!$B$7:$B$1006,'Movimentação'!$E$7:$E$1006,"",0,-1),""))</f>
        <v/>
      </c>
      <c r="K870" s="24" t="str">
        <f t="array" ref="K870">IF($A870="","",IFERROR(_xlfn.XLOOKUP($A870,'Movimentação'!$B$7:$B$1006,'Movimentação'!$G$7:$G$1006,"",0,-1),""))</f>
        <v/>
      </c>
      <c r="L870" s="24" t="str">
        <f t="shared" si="3"/>
        <v/>
      </c>
      <c r="M870" s="17"/>
      <c r="N870" s="30" t="str">
        <f t="array" ref="N870">IF($A870="","",IFERROR(IF(OR($L870="BAIXADO",$L870="FURTADO"),0,INDEX(Listas!$J$2:$J$40,MATCH($B870,Listas!$I$2:$I$40,0))),""))</f>
        <v/>
      </c>
      <c r="P870" s="31" t="str">
        <f t="array" ref="P870">IF($A870="","",IFERROR(_xlfn.XLOOKUP($A870,'Movimentação'!$B$7:$B$1006,'Movimentação'!$F$7:$F$1006,"",0,-1),""))</f>
        <v/>
      </c>
      <c r="Q870" s="31">
        <f>IF(COUNTIFS('Manutenção'!$B$7:$B$1006,$A870,'Manutenção'!$H$7:$H$1006,"EM CONSERTO")&gt;0,1,0)</f>
        <v>0</v>
      </c>
    </row>
    <row r="871" ht="15.0" hidden="1" customHeight="1">
      <c r="A871" s="15"/>
      <c r="B871" s="17"/>
      <c r="C871" s="17"/>
      <c r="D871" s="17"/>
      <c r="E871" s="17"/>
      <c r="F871" s="17"/>
      <c r="G871" s="18"/>
      <c r="H871" s="15"/>
      <c r="I871" s="15"/>
      <c r="J871" s="24" t="str">
        <f t="array" ref="J871">IF($A871="","",IFERROR(_xlfn.XLOOKUP($A871,'Movimentação'!$B$7:$B$1006,'Movimentação'!$E$7:$E$1006,"",0,-1),""))</f>
        <v/>
      </c>
      <c r="K871" s="24" t="str">
        <f t="array" ref="K871">IF($A871="","",IFERROR(_xlfn.XLOOKUP($A871,'Movimentação'!$B$7:$B$1006,'Movimentação'!$G$7:$G$1006,"",0,-1),""))</f>
        <v/>
      </c>
      <c r="L871" s="24" t="str">
        <f t="shared" si="3"/>
        <v/>
      </c>
      <c r="M871" s="17"/>
      <c r="N871" s="30" t="str">
        <f t="array" ref="N871">IF($A871="","",IFERROR(IF(OR($L871="BAIXADO",$L871="FURTADO"),0,INDEX(Listas!$J$2:$J$40,MATCH($B871,Listas!$I$2:$I$40,0))),""))</f>
        <v/>
      </c>
      <c r="P871" s="31" t="str">
        <f t="array" ref="P871">IF($A871="","",IFERROR(_xlfn.XLOOKUP($A871,'Movimentação'!$B$7:$B$1006,'Movimentação'!$F$7:$F$1006,"",0,-1),""))</f>
        <v/>
      </c>
      <c r="Q871" s="31">
        <f>IF(COUNTIFS('Manutenção'!$B$7:$B$1006,$A871,'Manutenção'!$H$7:$H$1006,"EM CONSERTO")&gt;0,1,0)</f>
        <v>0</v>
      </c>
    </row>
    <row r="872" ht="15.0" hidden="1" customHeight="1">
      <c r="A872" s="15"/>
      <c r="B872" s="17"/>
      <c r="C872" s="17"/>
      <c r="D872" s="17"/>
      <c r="E872" s="17"/>
      <c r="F872" s="17"/>
      <c r="G872" s="18"/>
      <c r="H872" s="15"/>
      <c r="I872" s="15"/>
      <c r="J872" s="24" t="str">
        <f t="array" ref="J872">IF($A872="","",IFERROR(_xlfn.XLOOKUP($A872,'Movimentação'!$B$7:$B$1006,'Movimentação'!$E$7:$E$1006,"",0,-1),""))</f>
        <v/>
      </c>
      <c r="K872" s="24" t="str">
        <f t="array" ref="K872">IF($A872="","",IFERROR(_xlfn.XLOOKUP($A872,'Movimentação'!$B$7:$B$1006,'Movimentação'!$G$7:$G$1006,"",0,-1),""))</f>
        <v/>
      </c>
      <c r="L872" s="24" t="str">
        <f t="shared" si="3"/>
        <v/>
      </c>
      <c r="M872" s="17"/>
      <c r="N872" s="30" t="str">
        <f t="array" ref="N872">IF($A872="","",IFERROR(IF(OR($L872="BAIXADO",$L872="FURTADO"),0,INDEX(Listas!$J$2:$J$40,MATCH($B872,Listas!$I$2:$I$40,0))),""))</f>
        <v/>
      </c>
      <c r="P872" s="31" t="str">
        <f t="array" ref="P872">IF($A872="","",IFERROR(_xlfn.XLOOKUP($A872,'Movimentação'!$B$7:$B$1006,'Movimentação'!$F$7:$F$1006,"",0,-1),""))</f>
        <v/>
      </c>
      <c r="Q872" s="31">
        <f>IF(COUNTIFS('Manutenção'!$B$7:$B$1006,$A872,'Manutenção'!$H$7:$H$1006,"EM CONSERTO")&gt;0,1,0)</f>
        <v>0</v>
      </c>
    </row>
    <row r="873" ht="15.0" hidden="1" customHeight="1">
      <c r="A873" s="15"/>
      <c r="B873" s="17"/>
      <c r="C873" s="17"/>
      <c r="D873" s="17"/>
      <c r="E873" s="17"/>
      <c r="F873" s="17"/>
      <c r="G873" s="18"/>
      <c r="H873" s="15"/>
      <c r="I873" s="15"/>
      <c r="J873" s="24" t="str">
        <f t="array" ref="J873">IF($A873="","",IFERROR(_xlfn.XLOOKUP($A873,'Movimentação'!$B$7:$B$1006,'Movimentação'!$E$7:$E$1006,"",0,-1),""))</f>
        <v/>
      </c>
      <c r="K873" s="24" t="str">
        <f t="array" ref="K873">IF($A873="","",IFERROR(_xlfn.XLOOKUP($A873,'Movimentação'!$B$7:$B$1006,'Movimentação'!$G$7:$G$1006,"",0,-1),""))</f>
        <v/>
      </c>
      <c r="L873" s="24" t="str">
        <f t="shared" si="3"/>
        <v/>
      </c>
      <c r="M873" s="17"/>
      <c r="N873" s="30" t="str">
        <f t="array" ref="N873">IF($A873="","",IFERROR(IF(OR($L873="BAIXADO",$L873="FURTADO"),0,INDEX(Listas!$J$2:$J$40,MATCH($B873,Listas!$I$2:$I$40,0))),""))</f>
        <v/>
      </c>
      <c r="P873" s="31" t="str">
        <f t="array" ref="P873">IF($A873="","",IFERROR(_xlfn.XLOOKUP($A873,'Movimentação'!$B$7:$B$1006,'Movimentação'!$F$7:$F$1006,"",0,-1),""))</f>
        <v/>
      </c>
      <c r="Q873" s="31">
        <f>IF(COUNTIFS('Manutenção'!$B$7:$B$1006,$A873,'Manutenção'!$H$7:$H$1006,"EM CONSERTO")&gt;0,1,0)</f>
        <v>0</v>
      </c>
    </row>
    <row r="874" ht="15.0" hidden="1" customHeight="1">
      <c r="A874" s="15"/>
      <c r="B874" s="17"/>
      <c r="C874" s="17"/>
      <c r="D874" s="17"/>
      <c r="E874" s="17"/>
      <c r="F874" s="17"/>
      <c r="G874" s="18"/>
      <c r="H874" s="15"/>
      <c r="I874" s="15"/>
      <c r="J874" s="24" t="str">
        <f t="array" ref="J874">IF($A874="","",IFERROR(_xlfn.XLOOKUP($A874,'Movimentação'!$B$7:$B$1006,'Movimentação'!$E$7:$E$1006,"",0,-1),""))</f>
        <v/>
      </c>
      <c r="K874" s="24" t="str">
        <f t="array" ref="K874">IF($A874="","",IFERROR(_xlfn.XLOOKUP($A874,'Movimentação'!$B$7:$B$1006,'Movimentação'!$G$7:$G$1006,"",0,-1),""))</f>
        <v/>
      </c>
      <c r="L874" s="24" t="str">
        <f t="shared" si="3"/>
        <v/>
      </c>
      <c r="M874" s="17"/>
      <c r="N874" s="30" t="str">
        <f t="array" ref="N874">IF($A874="","",IFERROR(IF(OR($L874="BAIXADO",$L874="FURTADO"),0,INDEX(Listas!$J$2:$J$40,MATCH($B874,Listas!$I$2:$I$40,0))),""))</f>
        <v/>
      </c>
      <c r="P874" s="31" t="str">
        <f t="array" ref="P874">IF($A874="","",IFERROR(_xlfn.XLOOKUP($A874,'Movimentação'!$B$7:$B$1006,'Movimentação'!$F$7:$F$1006,"",0,-1),""))</f>
        <v/>
      </c>
      <c r="Q874" s="31">
        <f>IF(COUNTIFS('Manutenção'!$B$7:$B$1006,$A874,'Manutenção'!$H$7:$H$1006,"EM CONSERTO")&gt;0,1,0)</f>
        <v>0</v>
      </c>
    </row>
    <row r="875" ht="15.0" hidden="1" customHeight="1">
      <c r="A875" s="15"/>
      <c r="B875" s="17"/>
      <c r="C875" s="17"/>
      <c r="D875" s="17"/>
      <c r="E875" s="17"/>
      <c r="F875" s="17"/>
      <c r="G875" s="18"/>
      <c r="H875" s="15"/>
      <c r="I875" s="15"/>
      <c r="J875" s="24" t="str">
        <f t="array" ref="J875">IF($A875="","",IFERROR(_xlfn.XLOOKUP($A875,'Movimentação'!$B$7:$B$1006,'Movimentação'!$E$7:$E$1006,"",0,-1),""))</f>
        <v/>
      </c>
      <c r="K875" s="24" t="str">
        <f t="array" ref="K875">IF($A875="","",IFERROR(_xlfn.XLOOKUP($A875,'Movimentação'!$B$7:$B$1006,'Movimentação'!$G$7:$G$1006,"",0,-1),""))</f>
        <v/>
      </c>
      <c r="L875" s="24" t="str">
        <f t="shared" si="3"/>
        <v/>
      </c>
      <c r="M875" s="17"/>
      <c r="N875" s="30" t="str">
        <f t="array" ref="N875">IF($A875="","",IFERROR(IF(OR($L875="BAIXADO",$L875="FURTADO"),0,INDEX(Listas!$J$2:$J$40,MATCH($B875,Listas!$I$2:$I$40,0))),""))</f>
        <v/>
      </c>
      <c r="P875" s="31" t="str">
        <f t="array" ref="P875">IF($A875="","",IFERROR(_xlfn.XLOOKUP($A875,'Movimentação'!$B$7:$B$1006,'Movimentação'!$F$7:$F$1006,"",0,-1),""))</f>
        <v/>
      </c>
      <c r="Q875" s="31">
        <f>IF(COUNTIFS('Manutenção'!$B$7:$B$1006,$A875,'Manutenção'!$H$7:$H$1006,"EM CONSERTO")&gt;0,1,0)</f>
        <v>0</v>
      </c>
    </row>
    <row r="876" ht="15.0" hidden="1" customHeight="1">
      <c r="A876" s="15"/>
      <c r="B876" s="17"/>
      <c r="C876" s="17"/>
      <c r="D876" s="17"/>
      <c r="E876" s="17"/>
      <c r="F876" s="17"/>
      <c r="G876" s="18"/>
      <c r="H876" s="15"/>
      <c r="I876" s="15"/>
      <c r="J876" s="24" t="str">
        <f t="array" ref="J876">IF($A876="","",IFERROR(_xlfn.XLOOKUP($A876,'Movimentação'!$B$7:$B$1006,'Movimentação'!$E$7:$E$1006,"",0,-1),""))</f>
        <v/>
      </c>
      <c r="K876" s="24" t="str">
        <f t="array" ref="K876">IF($A876="","",IFERROR(_xlfn.XLOOKUP($A876,'Movimentação'!$B$7:$B$1006,'Movimentação'!$G$7:$G$1006,"",0,-1),""))</f>
        <v/>
      </c>
      <c r="L876" s="24" t="str">
        <f t="shared" si="3"/>
        <v/>
      </c>
      <c r="M876" s="17"/>
      <c r="N876" s="30" t="str">
        <f t="array" ref="N876">IF($A876="","",IFERROR(IF(OR($L876="BAIXADO",$L876="FURTADO"),0,INDEX(Listas!$J$2:$J$40,MATCH($B876,Listas!$I$2:$I$40,0))),""))</f>
        <v/>
      </c>
      <c r="P876" s="31" t="str">
        <f t="array" ref="P876">IF($A876="","",IFERROR(_xlfn.XLOOKUP($A876,'Movimentação'!$B$7:$B$1006,'Movimentação'!$F$7:$F$1006,"",0,-1),""))</f>
        <v/>
      </c>
      <c r="Q876" s="31">
        <f>IF(COUNTIFS('Manutenção'!$B$7:$B$1006,$A876,'Manutenção'!$H$7:$H$1006,"EM CONSERTO")&gt;0,1,0)</f>
        <v>0</v>
      </c>
    </row>
    <row r="877" ht="15.0" hidden="1" customHeight="1">
      <c r="A877" s="15"/>
      <c r="B877" s="17"/>
      <c r="C877" s="17"/>
      <c r="D877" s="17"/>
      <c r="E877" s="17"/>
      <c r="F877" s="17"/>
      <c r="G877" s="18"/>
      <c r="H877" s="15"/>
      <c r="I877" s="15"/>
      <c r="J877" s="24" t="str">
        <f t="array" ref="J877">IF($A877="","",IFERROR(_xlfn.XLOOKUP($A877,'Movimentação'!$B$7:$B$1006,'Movimentação'!$E$7:$E$1006,"",0,-1),""))</f>
        <v/>
      </c>
      <c r="K877" s="24" t="str">
        <f t="array" ref="K877">IF($A877="","",IFERROR(_xlfn.XLOOKUP($A877,'Movimentação'!$B$7:$B$1006,'Movimentação'!$G$7:$G$1006,"",0,-1),""))</f>
        <v/>
      </c>
      <c r="L877" s="24" t="str">
        <f t="shared" si="3"/>
        <v/>
      </c>
      <c r="M877" s="17"/>
      <c r="N877" s="30" t="str">
        <f t="array" ref="N877">IF($A877="","",IFERROR(IF(OR($L877="BAIXADO",$L877="FURTADO"),0,INDEX(Listas!$J$2:$J$40,MATCH($B877,Listas!$I$2:$I$40,0))),""))</f>
        <v/>
      </c>
      <c r="P877" s="31" t="str">
        <f t="array" ref="P877">IF($A877="","",IFERROR(_xlfn.XLOOKUP($A877,'Movimentação'!$B$7:$B$1006,'Movimentação'!$F$7:$F$1006,"",0,-1),""))</f>
        <v/>
      </c>
      <c r="Q877" s="31">
        <f>IF(COUNTIFS('Manutenção'!$B$7:$B$1006,$A877,'Manutenção'!$H$7:$H$1006,"EM CONSERTO")&gt;0,1,0)</f>
        <v>0</v>
      </c>
    </row>
    <row r="878" ht="15.0" hidden="1" customHeight="1">
      <c r="A878" s="15"/>
      <c r="B878" s="17"/>
      <c r="C878" s="17"/>
      <c r="D878" s="17"/>
      <c r="E878" s="17"/>
      <c r="F878" s="17"/>
      <c r="G878" s="18"/>
      <c r="H878" s="15"/>
      <c r="I878" s="15"/>
      <c r="J878" s="24" t="str">
        <f t="array" ref="J878">IF($A878="","",IFERROR(_xlfn.XLOOKUP($A878,'Movimentação'!$B$7:$B$1006,'Movimentação'!$E$7:$E$1006,"",0,-1),""))</f>
        <v/>
      </c>
      <c r="K878" s="24" t="str">
        <f t="array" ref="K878">IF($A878="","",IFERROR(_xlfn.XLOOKUP($A878,'Movimentação'!$B$7:$B$1006,'Movimentação'!$G$7:$G$1006,"",0,-1),""))</f>
        <v/>
      </c>
      <c r="L878" s="24" t="str">
        <f t="shared" si="3"/>
        <v/>
      </c>
      <c r="M878" s="17"/>
      <c r="N878" s="30" t="str">
        <f t="array" ref="N878">IF($A878="","",IFERROR(IF(OR($L878="BAIXADO",$L878="FURTADO"),0,INDEX(Listas!$J$2:$J$40,MATCH($B878,Listas!$I$2:$I$40,0))),""))</f>
        <v/>
      </c>
      <c r="P878" s="31" t="str">
        <f t="array" ref="P878">IF($A878="","",IFERROR(_xlfn.XLOOKUP($A878,'Movimentação'!$B$7:$B$1006,'Movimentação'!$F$7:$F$1006,"",0,-1),""))</f>
        <v/>
      </c>
      <c r="Q878" s="31">
        <f>IF(COUNTIFS('Manutenção'!$B$7:$B$1006,$A878,'Manutenção'!$H$7:$H$1006,"EM CONSERTO")&gt;0,1,0)</f>
        <v>0</v>
      </c>
    </row>
    <row r="879" ht="15.0" hidden="1" customHeight="1">
      <c r="A879" s="15"/>
      <c r="B879" s="17"/>
      <c r="C879" s="17"/>
      <c r="D879" s="17"/>
      <c r="E879" s="17"/>
      <c r="F879" s="17"/>
      <c r="G879" s="18"/>
      <c r="H879" s="15"/>
      <c r="I879" s="15"/>
      <c r="J879" s="24" t="str">
        <f t="array" ref="J879">IF($A879="","",IFERROR(_xlfn.XLOOKUP($A879,'Movimentação'!$B$7:$B$1006,'Movimentação'!$E$7:$E$1006,"",0,-1),""))</f>
        <v/>
      </c>
      <c r="K879" s="24" t="str">
        <f t="array" ref="K879">IF($A879="","",IFERROR(_xlfn.XLOOKUP($A879,'Movimentação'!$B$7:$B$1006,'Movimentação'!$G$7:$G$1006,"",0,-1),""))</f>
        <v/>
      </c>
      <c r="L879" s="24" t="str">
        <f t="shared" si="3"/>
        <v/>
      </c>
      <c r="M879" s="17"/>
      <c r="N879" s="30" t="str">
        <f t="array" ref="N879">IF($A879="","",IFERROR(IF(OR($L879="BAIXADO",$L879="FURTADO"),0,INDEX(Listas!$J$2:$J$40,MATCH($B879,Listas!$I$2:$I$40,0))),""))</f>
        <v/>
      </c>
      <c r="P879" s="31" t="str">
        <f t="array" ref="P879">IF($A879="","",IFERROR(_xlfn.XLOOKUP($A879,'Movimentação'!$B$7:$B$1006,'Movimentação'!$F$7:$F$1006,"",0,-1),""))</f>
        <v/>
      </c>
      <c r="Q879" s="31">
        <f>IF(COUNTIFS('Manutenção'!$B$7:$B$1006,$A879,'Manutenção'!$H$7:$H$1006,"EM CONSERTO")&gt;0,1,0)</f>
        <v>0</v>
      </c>
    </row>
    <row r="880" ht="15.0" hidden="1" customHeight="1">
      <c r="A880" s="15"/>
      <c r="B880" s="17"/>
      <c r="C880" s="17"/>
      <c r="D880" s="17"/>
      <c r="E880" s="17"/>
      <c r="F880" s="17"/>
      <c r="G880" s="18"/>
      <c r="H880" s="15"/>
      <c r="I880" s="15"/>
      <c r="J880" s="24" t="str">
        <f t="array" ref="J880">IF($A880="","",IFERROR(_xlfn.XLOOKUP($A880,'Movimentação'!$B$7:$B$1006,'Movimentação'!$E$7:$E$1006,"",0,-1),""))</f>
        <v/>
      </c>
      <c r="K880" s="24" t="str">
        <f t="array" ref="K880">IF($A880="","",IFERROR(_xlfn.XLOOKUP($A880,'Movimentação'!$B$7:$B$1006,'Movimentação'!$G$7:$G$1006,"",0,-1),""))</f>
        <v/>
      </c>
      <c r="L880" s="24" t="str">
        <f t="shared" si="3"/>
        <v/>
      </c>
      <c r="M880" s="17"/>
      <c r="N880" s="30" t="str">
        <f t="array" ref="N880">IF($A880="","",IFERROR(IF(OR($L880="BAIXADO",$L880="FURTADO"),0,INDEX(Listas!$J$2:$J$40,MATCH($B880,Listas!$I$2:$I$40,0))),""))</f>
        <v/>
      </c>
      <c r="P880" s="31" t="str">
        <f t="array" ref="P880">IF($A880="","",IFERROR(_xlfn.XLOOKUP($A880,'Movimentação'!$B$7:$B$1006,'Movimentação'!$F$7:$F$1006,"",0,-1),""))</f>
        <v/>
      </c>
      <c r="Q880" s="31">
        <f>IF(COUNTIFS('Manutenção'!$B$7:$B$1006,$A880,'Manutenção'!$H$7:$H$1006,"EM CONSERTO")&gt;0,1,0)</f>
        <v>0</v>
      </c>
    </row>
    <row r="881" ht="15.0" hidden="1" customHeight="1">
      <c r="A881" s="15"/>
      <c r="B881" s="17"/>
      <c r="C881" s="17"/>
      <c r="D881" s="17"/>
      <c r="E881" s="17"/>
      <c r="F881" s="17"/>
      <c r="G881" s="18"/>
      <c r="H881" s="15"/>
      <c r="I881" s="15"/>
      <c r="J881" s="24" t="str">
        <f t="array" ref="J881">IF($A881="","",IFERROR(_xlfn.XLOOKUP($A881,'Movimentação'!$B$7:$B$1006,'Movimentação'!$E$7:$E$1006,"",0,-1),""))</f>
        <v/>
      </c>
      <c r="K881" s="24" t="str">
        <f t="array" ref="K881">IF($A881="","",IFERROR(_xlfn.XLOOKUP($A881,'Movimentação'!$B$7:$B$1006,'Movimentação'!$G$7:$G$1006,"",0,-1),""))</f>
        <v/>
      </c>
      <c r="L881" s="24" t="str">
        <f t="shared" si="3"/>
        <v/>
      </c>
      <c r="M881" s="17"/>
      <c r="N881" s="30" t="str">
        <f t="array" ref="N881">IF($A881="","",IFERROR(IF(OR($L881="BAIXADO",$L881="FURTADO"),0,INDEX(Listas!$J$2:$J$40,MATCH($B881,Listas!$I$2:$I$40,0))),""))</f>
        <v/>
      </c>
      <c r="P881" s="31" t="str">
        <f t="array" ref="P881">IF($A881="","",IFERROR(_xlfn.XLOOKUP($A881,'Movimentação'!$B$7:$B$1006,'Movimentação'!$F$7:$F$1006,"",0,-1),""))</f>
        <v/>
      </c>
      <c r="Q881" s="31">
        <f>IF(COUNTIFS('Manutenção'!$B$7:$B$1006,$A881,'Manutenção'!$H$7:$H$1006,"EM CONSERTO")&gt;0,1,0)</f>
        <v>0</v>
      </c>
    </row>
    <row r="882" ht="15.0" hidden="1" customHeight="1">
      <c r="A882" s="15"/>
      <c r="B882" s="17"/>
      <c r="C882" s="17"/>
      <c r="D882" s="17"/>
      <c r="E882" s="17"/>
      <c r="F882" s="17"/>
      <c r="G882" s="18"/>
      <c r="H882" s="15"/>
      <c r="I882" s="15"/>
      <c r="J882" s="24" t="str">
        <f t="array" ref="J882">IF($A882="","",IFERROR(_xlfn.XLOOKUP($A882,'Movimentação'!$B$7:$B$1006,'Movimentação'!$E$7:$E$1006,"",0,-1),""))</f>
        <v/>
      </c>
      <c r="K882" s="24" t="str">
        <f t="array" ref="K882">IF($A882="","",IFERROR(_xlfn.XLOOKUP($A882,'Movimentação'!$B$7:$B$1006,'Movimentação'!$G$7:$G$1006,"",0,-1),""))</f>
        <v/>
      </c>
      <c r="L882" s="24" t="str">
        <f t="shared" si="3"/>
        <v/>
      </c>
      <c r="M882" s="17"/>
      <c r="N882" s="30" t="str">
        <f t="array" ref="N882">IF($A882="","",IFERROR(IF(OR($L882="BAIXADO",$L882="FURTADO"),0,INDEX(Listas!$J$2:$J$40,MATCH($B882,Listas!$I$2:$I$40,0))),""))</f>
        <v/>
      </c>
      <c r="P882" s="31" t="str">
        <f t="array" ref="P882">IF($A882="","",IFERROR(_xlfn.XLOOKUP($A882,'Movimentação'!$B$7:$B$1006,'Movimentação'!$F$7:$F$1006,"",0,-1),""))</f>
        <v/>
      </c>
      <c r="Q882" s="31">
        <f>IF(COUNTIFS('Manutenção'!$B$7:$B$1006,$A882,'Manutenção'!$H$7:$H$1006,"EM CONSERTO")&gt;0,1,0)</f>
        <v>0</v>
      </c>
    </row>
    <row r="883" ht="15.0" hidden="1" customHeight="1">
      <c r="A883" s="15"/>
      <c r="B883" s="17"/>
      <c r="C883" s="17"/>
      <c r="D883" s="17"/>
      <c r="E883" s="17"/>
      <c r="F883" s="17"/>
      <c r="G883" s="18"/>
      <c r="H883" s="15"/>
      <c r="I883" s="15"/>
      <c r="J883" s="24" t="str">
        <f t="array" ref="J883">IF($A883="","",IFERROR(_xlfn.XLOOKUP($A883,'Movimentação'!$B$7:$B$1006,'Movimentação'!$E$7:$E$1006,"",0,-1),""))</f>
        <v/>
      </c>
      <c r="K883" s="24" t="str">
        <f t="array" ref="K883">IF($A883="","",IFERROR(_xlfn.XLOOKUP($A883,'Movimentação'!$B$7:$B$1006,'Movimentação'!$G$7:$G$1006,"",0,-1),""))</f>
        <v/>
      </c>
      <c r="L883" s="24" t="str">
        <f t="shared" si="3"/>
        <v/>
      </c>
      <c r="M883" s="17"/>
      <c r="N883" s="30" t="str">
        <f t="array" ref="N883">IF($A883="","",IFERROR(IF(OR($L883="BAIXADO",$L883="FURTADO"),0,INDEX(Listas!$J$2:$J$40,MATCH($B883,Listas!$I$2:$I$40,0))),""))</f>
        <v/>
      </c>
      <c r="P883" s="31" t="str">
        <f t="array" ref="P883">IF($A883="","",IFERROR(_xlfn.XLOOKUP($A883,'Movimentação'!$B$7:$B$1006,'Movimentação'!$F$7:$F$1006,"",0,-1),""))</f>
        <v/>
      </c>
      <c r="Q883" s="31">
        <f>IF(COUNTIFS('Manutenção'!$B$7:$B$1006,$A883,'Manutenção'!$H$7:$H$1006,"EM CONSERTO")&gt;0,1,0)</f>
        <v>0</v>
      </c>
    </row>
    <row r="884" ht="15.0" hidden="1" customHeight="1">
      <c r="A884" s="15"/>
      <c r="B884" s="17"/>
      <c r="C884" s="17"/>
      <c r="D884" s="17"/>
      <c r="E884" s="17"/>
      <c r="F884" s="17"/>
      <c r="G884" s="18"/>
      <c r="H884" s="15"/>
      <c r="I884" s="15"/>
      <c r="J884" s="24" t="str">
        <f t="array" ref="J884">IF($A884="","",IFERROR(_xlfn.XLOOKUP($A884,'Movimentação'!$B$7:$B$1006,'Movimentação'!$E$7:$E$1006,"",0,-1),""))</f>
        <v/>
      </c>
      <c r="K884" s="24" t="str">
        <f t="array" ref="K884">IF($A884="","",IFERROR(_xlfn.XLOOKUP($A884,'Movimentação'!$B$7:$B$1006,'Movimentação'!$G$7:$G$1006,"",0,-1),""))</f>
        <v/>
      </c>
      <c r="L884" s="24" t="str">
        <f t="shared" si="3"/>
        <v/>
      </c>
      <c r="M884" s="17"/>
      <c r="N884" s="30" t="str">
        <f t="array" ref="N884">IF($A884="","",IFERROR(IF(OR($L884="BAIXADO",$L884="FURTADO"),0,INDEX(Listas!$J$2:$J$40,MATCH($B884,Listas!$I$2:$I$40,0))),""))</f>
        <v/>
      </c>
      <c r="P884" s="31" t="str">
        <f t="array" ref="P884">IF($A884="","",IFERROR(_xlfn.XLOOKUP($A884,'Movimentação'!$B$7:$B$1006,'Movimentação'!$F$7:$F$1006,"",0,-1),""))</f>
        <v/>
      </c>
      <c r="Q884" s="31">
        <f>IF(COUNTIFS('Manutenção'!$B$7:$B$1006,$A884,'Manutenção'!$H$7:$H$1006,"EM CONSERTO")&gt;0,1,0)</f>
        <v>0</v>
      </c>
    </row>
    <row r="885" ht="15.0" hidden="1" customHeight="1">
      <c r="A885" s="15"/>
      <c r="B885" s="17"/>
      <c r="C885" s="17"/>
      <c r="D885" s="17"/>
      <c r="E885" s="17"/>
      <c r="F885" s="17"/>
      <c r="G885" s="18"/>
      <c r="H885" s="15"/>
      <c r="I885" s="15"/>
      <c r="J885" s="24" t="str">
        <f t="array" ref="J885">IF($A885="","",IFERROR(_xlfn.XLOOKUP($A885,'Movimentação'!$B$7:$B$1006,'Movimentação'!$E$7:$E$1006,"",0,-1),""))</f>
        <v/>
      </c>
      <c r="K885" s="24" t="str">
        <f t="array" ref="K885">IF($A885="","",IFERROR(_xlfn.XLOOKUP($A885,'Movimentação'!$B$7:$B$1006,'Movimentação'!$G$7:$G$1006,"",0,-1),""))</f>
        <v/>
      </c>
      <c r="L885" s="24" t="str">
        <f t="shared" si="3"/>
        <v/>
      </c>
      <c r="M885" s="17"/>
      <c r="N885" s="30" t="str">
        <f t="array" ref="N885">IF($A885="","",IFERROR(IF(OR($L885="BAIXADO",$L885="FURTADO"),0,INDEX(Listas!$J$2:$J$40,MATCH($B885,Listas!$I$2:$I$40,0))),""))</f>
        <v/>
      </c>
      <c r="P885" s="31" t="str">
        <f t="array" ref="P885">IF($A885="","",IFERROR(_xlfn.XLOOKUP($A885,'Movimentação'!$B$7:$B$1006,'Movimentação'!$F$7:$F$1006,"",0,-1),""))</f>
        <v/>
      </c>
      <c r="Q885" s="31">
        <f>IF(COUNTIFS('Manutenção'!$B$7:$B$1006,$A885,'Manutenção'!$H$7:$H$1006,"EM CONSERTO")&gt;0,1,0)</f>
        <v>0</v>
      </c>
    </row>
    <row r="886" ht="15.0" hidden="1" customHeight="1">
      <c r="A886" s="15"/>
      <c r="B886" s="17"/>
      <c r="C886" s="17"/>
      <c r="D886" s="17"/>
      <c r="E886" s="17"/>
      <c r="F886" s="17"/>
      <c r="G886" s="18"/>
      <c r="H886" s="15"/>
      <c r="I886" s="15"/>
      <c r="J886" s="24" t="str">
        <f t="array" ref="J886">IF($A886="","",IFERROR(_xlfn.XLOOKUP($A886,'Movimentação'!$B$7:$B$1006,'Movimentação'!$E$7:$E$1006,"",0,-1),""))</f>
        <v/>
      </c>
      <c r="K886" s="24" t="str">
        <f t="array" ref="K886">IF($A886="","",IFERROR(_xlfn.XLOOKUP($A886,'Movimentação'!$B$7:$B$1006,'Movimentação'!$G$7:$G$1006,"",0,-1),""))</f>
        <v/>
      </c>
      <c r="L886" s="24" t="str">
        <f t="shared" si="3"/>
        <v/>
      </c>
      <c r="M886" s="17"/>
      <c r="N886" s="30" t="str">
        <f t="array" ref="N886">IF($A886="","",IFERROR(IF(OR($L886="BAIXADO",$L886="FURTADO"),0,INDEX(Listas!$J$2:$J$40,MATCH($B886,Listas!$I$2:$I$40,0))),""))</f>
        <v/>
      </c>
      <c r="P886" s="31" t="str">
        <f t="array" ref="P886">IF($A886="","",IFERROR(_xlfn.XLOOKUP($A886,'Movimentação'!$B$7:$B$1006,'Movimentação'!$F$7:$F$1006,"",0,-1),""))</f>
        <v/>
      </c>
      <c r="Q886" s="31">
        <f>IF(COUNTIFS('Manutenção'!$B$7:$B$1006,$A886,'Manutenção'!$H$7:$H$1006,"EM CONSERTO")&gt;0,1,0)</f>
        <v>0</v>
      </c>
    </row>
    <row r="887" ht="15.0" hidden="1" customHeight="1">
      <c r="A887" s="15"/>
      <c r="B887" s="17"/>
      <c r="C887" s="17"/>
      <c r="D887" s="17"/>
      <c r="E887" s="17"/>
      <c r="F887" s="17"/>
      <c r="G887" s="18"/>
      <c r="H887" s="15"/>
      <c r="I887" s="15"/>
      <c r="J887" s="24" t="str">
        <f t="array" ref="J887">IF($A887="","",IFERROR(_xlfn.XLOOKUP($A887,'Movimentação'!$B$7:$B$1006,'Movimentação'!$E$7:$E$1006,"",0,-1),""))</f>
        <v/>
      </c>
      <c r="K887" s="24" t="str">
        <f t="array" ref="K887">IF($A887="","",IFERROR(_xlfn.XLOOKUP($A887,'Movimentação'!$B$7:$B$1006,'Movimentação'!$G$7:$G$1006,"",0,-1),""))</f>
        <v/>
      </c>
      <c r="L887" s="24" t="str">
        <f t="shared" si="3"/>
        <v/>
      </c>
      <c r="M887" s="17"/>
      <c r="N887" s="30" t="str">
        <f t="array" ref="N887">IF($A887="","",IFERROR(IF(OR($L887="BAIXADO",$L887="FURTADO"),0,INDEX(Listas!$J$2:$J$40,MATCH($B887,Listas!$I$2:$I$40,0))),""))</f>
        <v/>
      </c>
      <c r="P887" s="31" t="str">
        <f t="array" ref="P887">IF($A887="","",IFERROR(_xlfn.XLOOKUP($A887,'Movimentação'!$B$7:$B$1006,'Movimentação'!$F$7:$F$1006,"",0,-1),""))</f>
        <v/>
      </c>
      <c r="Q887" s="31">
        <f>IF(COUNTIFS('Manutenção'!$B$7:$B$1006,$A887,'Manutenção'!$H$7:$H$1006,"EM CONSERTO")&gt;0,1,0)</f>
        <v>0</v>
      </c>
    </row>
    <row r="888" ht="15.0" hidden="1" customHeight="1">
      <c r="A888" s="15"/>
      <c r="B888" s="17"/>
      <c r="C888" s="17"/>
      <c r="D888" s="17"/>
      <c r="E888" s="17"/>
      <c r="F888" s="17"/>
      <c r="G888" s="18"/>
      <c r="H888" s="15"/>
      <c r="I888" s="15"/>
      <c r="J888" s="24" t="str">
        <f t="array" ref="J888">IF($A888="","",IFERROR(_xlfn.XLOOKUP($A888,'Movimentação'!$B$7:$B$1006,'Movimentação'!$E$7:$E$1006,"",0,-1),""))</f>
        <v/>
      </c>
      <c r="K888" s="24" t="str">
        <f t="array" ref="K888">IF($A888="","",IFERROR(_xlfn.XLOOKUP($A888,'Movimentação'!$B$7:$B$1006,'Movimentação'!$G$7:$G$1006,"",0,-1),""))</f>
        <v/>
      </c>
      <c r="L888" s="24" t="str">
        <f t="shared" si="3"/>
        <v/>
      </c>
      <c r="M888" s="17"/>
      <c r="N888" s="30" t="str">
        <f t="array" ref="N888">IF($A888="","",IFERROR(IF(OR($L888="BAIXADO",$L888="FURTADO"),0,INDEX(Listas!$J$2:$J$40,MATCH($B888,Listas!$I$2:$I$40,0))),""))</f>
        <v/>
      </c>
      <c r="P888" s="31" t="str">
        <f t="array" ref="P888">IF($A888="","",IFERROR(_xlfn.XLOOKUP($A888,'Movimentação'!$B$7:$B$1006,'Movimentação'!$F$7:$F$1006,"",0,-1),""))</f>
        <v/>
      </c>
      <c r="Q888" s="31">
        <f>IF(COUNTIFS('Manutenção'!$B$7:$B$1006,$A888,'Manutenção'!$H$7:$H$1006,"EM CONSERTO")&gt;0,1,0)</f>
        <v>0</v>
      </c>
    </row>
    <row r="889" ht="15.0" hidden="1" customHeight="1">
      <c r="A889" s="15"/>
      <c r="B889" s="17"/>
      <c r="C889" s="17"/>
      <c r="D889" s="17"/>
      <c r="E889" s="17"/>
      <c r="F889" s="17"/>
      <c r="G889" s="18"/>
      <c r="H889" s="15"/>
      <c r="I889" s="15"/>
      <c r="J889" s="24" t="str">
        <f t="array" ref="J889">IF($A889="","",IFERROR(_xlfn.XLOOKUP($A889,'Movimentação'!$B$7:$B$1006,'Movimentação'!$E$7:$E$1006,"",0,-1),""))</f>
        <v/>
      </c>
      <c r="K889" s="24" t="str">
        <f t="array" ref="K889">IF($A889="","",IFERROR(_xlfn.XLOOKUP($A889,'Movimentação'!$B$7:$B$1006,'Movimentação'!$G$7:$G$1006,"",0,-1),""))</f>
        <v/>
      </c>
      <c r="L889" s="24" t="str">
        <f t="shared" si="3"/>
        <v/>
      </c>
      <c r="M889" s="17"/>
      <c r="N889" s="30" t="str">
        <f t="array" ref="N889">IF($A889="","",IFERROR(IF(OR($L889="BAIXADO",$L889="FURTADO"),0,INDEX(Listas!$J$2:$J$40,MATCH($B889,Listas!$I$2:$I$40,0))),""))</f>
        <v/>
      </c>
      <c r="P889" s="31" t="str">
        <f t="array" ref="P889">IF($A889="","",IFERROR(_xlfn.XLOOKUP($A889,'Movimentação'!$B$7:$B$1006,'Movimentação'!$F$7:$F$1006,"",0,-1),""))</f>
        <v/>
      </c>
      <c r="Q889" s="31">
        <f>IF(COUNTIFS('Manutenção'!$B$7:$B$1006,$A889,'Manutenção'!$H$7:$H$1006,"EM CONSERTO")&gt;0,1,0)</f>
        <v>0</v>
      </c>
    </row>
    <row r="890" ht="15.0" hidden="1" customHeight="1">
      <c r="A890" s="15"/>
      <c r="B890" s="17"/>
      <c r="C890" s="17"/>
      <c r="D890" s="17"/>
      <c r="E890" s="17"/>
      <c r="F890" s="17"/>
      <c r="G890" s="18"/>
      <c r="H890" s="15"/>
      <c r="I890" s="15"/>
      <c r="J890" s="24" t="str">
        <f t="array" ref="J890">IF($A890="","",IFERROR(_xlfn.XLOOKUP($A890,'Movimentação'!$B$7:$B$1006,'Movimentação'!$E$7:$E$1006,"",0,-1),""))</f>
        <v/>
      </c>
      <c r="K890" s="24" t="str">
        <f t="array" ref="K890">IF($A890="","",IFERROR(_xlfn.XLOOKUP($A890,'Movimentação'!$B$7:$B$1006,'Movimentação'!$G$7:$G$1006,"",0,-1),""))</f>
        <v/>
      </c>
      <c r="L890" s="24" t="str">
        <f t="shared" si="3"/>
        <v/>
      </c>
      <c r="M890" s="17"/>
      <c r="N890" s="30" t="str">
        <f t="array" ref="N890">IF($A890="","",IFERROR(IF(OR($L890="BAIXADO",$L890="FURTADO"),0,INDEX(Listas!$J$2:$J$40,MATCH($B890,Listas!$I$2:$I$40,0))),""))</f>
        <v/>
      </c>
      <c r="P890" s="31" t="str">
        <f t="array" ref="P890">IF($A890="","",IFERROR(_xlfn.XLOOKUP($A890,'Movimentação'!$B$7:$B$1006,'Movimentação'!$F$7:$F$1006,"",0,-1),""))</f>
        <v/>
      </c>
      <c r="Q890" s="31">
        <f>IF(COUNTIFS('Manutenção'!$B$7:$B$1006,$A890,'Manutenção'!$H$7:$H$1006,"EM CONSERTO")&gt;0,1,0)</f>
        <v>0</v>
      </c>
    </row>
    <row r="891" ht="15.0" hidden="1" customHeight="1">
      <c r="A891" s="15"/>
      <c r="B891" s="17"/>
      <c r="C891" s="17"/>
      <c r="D891" s="17"/>
      <c r="E891" s="17"/>
      <c r="F891" s="17"/>
      <c r="G891" s="18"/>
      <c r="H891" s="15"/>
      <c r="I891" s="15"/>
      <c r="J891" s="24" t="str">
        <f t="array" ref="J891">IF($A891="","",IFERROR(_xlfn.XLOOKUP($A891,'Movimentação'!$B$7:$B$1006,'Movimentação'!$E$7:$E$1006,"",0,-1),""))</f>
        <v/>
      </c>
      <c r="K891" s="24" t="str">
        <f t="array" ref="K891">IF($A891="","",IFERROR(_xlfn.XLOOKUP($A891,'Movimentação'!$B$7:$B$1006,'Movimentação'!$G$7:$G$1006,"",0,-1),""))</f>
        <v/>
      </c>
      <c r="L891" s="24" t="str">
        <f t="shared" si="3"/>
        <v/>
      </c>
      <c r="M891" s="17"/>
      <c r="N891" s="30" t="str">
        <f t="array" ref="N891">IF($A891="","",IFERROR(IF(OR($L891="BAIXADO",$L891="FURTADO"),0,INDEX(Listas!$J$2:$J$40,MATCH($B891,Listas!$I$2:$I$40,0))),""))</f>
        <v/>
      </c>
      <c r="P891" s="31" t="str">
        <f t="array" ref="P891">IF($A891="","",IFERROR(_xlfn.XLOOKUP($A891,'Movimentação'!$B$7:$B$1006,'Movimentação'!$F$7:$F$1006,"",0,-1),""))</f>
        <v/>
      </c>
      <c r="Q891" s="31">
        <f>IF(COUNTIFS('Manutenção'!$B$7:$B$1006,$A891,'Manutenção'!$H$7:$H$1006,"EM CONSERTO")&gt;0,1,0)</f>
        <v>0</v>
      </c>
    </row>
    <row r="892" ht="15.0" hidden="1" customHeight="1">
      <c r="A892" s="15"/>
      <c r="B892" s="17"/>
      <c r="C892" s="17"/>
      <c r="D892" s="17"/>
      <c r="E892" s="17"/>
      <c r="F892" s="17"/>
      <c r="G892" s="18"/>
      <c r="H892" s="15"/>
      <c r="I892" s="15"/>
      <c r="J892" s="24" t="str">
        <f t="array" ref="J892">IF($A892="","",IFERROR(_xlfn.XLOOKUP($A892,'Movimentação'!$B$7:$B$1006,'Movimentação'!$E$7:$E$1006,"",0,-1),""))</f>
        <v/>
      </c>
      <c r="K892" s="24" t="str">
        <f t="array" ref="K892">IF($A892="","",IFERROR(_xlfn.XLOOKUP($A892,'Movimentação'!$B$7:$B$1006,'Movimentação'!$G$7:$G$1006,"",0,-1),""))</f>
        <v/>
      </c>
      <c r="L892" s="24" t="str">
        <f t="shared" si="3"/>
        <v/>
      </c>
      <c r="M892" s="17"/>
      <c r="N892" s="30" t="str">
        <f t="array" ref="N892">IF($A892="","",IFERROR(IF(OR($L892="BAIXADO",$L892="FURTADO"),0,INDEX(Listas!$J$2:$J$40,MATCH($B892,Listas!$I$2:$I$40,0))),""))</f>
        <v/>
      </c>
      <c r="P892" s="31" t="str">
        <f t="array" ref="P892">IF($A892="","",IFERROR(_xlfn.XLOOKUP($A892,'Movimentação'!$B$7:$B$1006,'Movimentação'!$F$7:$F$1006,"",0,-1),""))</f>
        <v/>
      </c>
      <c r="Q892" s="31">
        <f>IF(COUNTIFS('Manutenção'!$B$7:$B$1006,$A892,'Manutenção'!$H$7:$H$1006,"EM CONSERTO")&gt;0,1,0)</f>
        <v>0</v>
      </c>
    </row>
    <row r="893" ht="15.0" hidden="1" customHeight="1">
      <c r="A893" s="15"/>
      <c r="B893" s="17"/>
      <c r="C893" s="17"/>
      <c r="D893" s="17"/>
      <c r="E893" s="17"/>
      <c r="F893" s="17"/>
      <c r="G893" s="18"/>
      <c r="H893" s="15"/>
      <c r="I893" s="15"/>
      <c r="J893" s="24" t="str">
        <f t="array" ref="J893">IF($A893="","",IFERROR(_xlfn.XLOOKUP($A893,'Movimentação'!$B$7:$B$1006,'Movimentação'!$E$7:$E$1006,"",0,-1),""))</f>
        <v/>
      </c>
      <c r="K893" s="24" t="str">
        <f t="array" ref="K893">IF($A893="","",IFERROR(_xlfn.XLOOKUP($A893,'Movimentação'!$B$7:$B$1006,'Movimentação'!$G$7:$G$1006,"",0,-1),""))</f>
        <v/>
      </c>
      <c r="L893" s="24" t="str">
        <f t="shared" si="3"/>
        <v/>
      </c>
      <c r="M893" s="17"/>
      <c r="N893" s="30" t="str">
        <f t="array" ref="N893">IF($A893="","",IFERROR(IF(OR($L893="BAIXADO",$L893="FURTADO"),0,INDEX(Listas!$J$2:$J$40,MATCH($B893,Listas!$I$2:$I$40,0))),""))</f>
        <v/>
      </c>
      <c r="P893" s="31" t="str">
        <f t="array" ref="P893">IF($A893="","",IFERROR(_xlfn.XLOOKUP($A893,'Movimentação'!$B$7:$B$1006,'Movimentação'!$F$7:$F$1006,"",0,-1),""))</f>
        <v/>
      </c>
      <c r="Q893" s="31">
        <f>IF(COUNTIFS('Manutenção'!$B$7:$B$1006,$A893,'Manutenção'!$H$7:$H$1006,"EM CONSERTO")&gt;0,1,0)</f>
        <v>0</v>
      </c>
    </row>
    <row r="894" ht="15.0" hidden="1" customHeight="1">
      <c r="A894" s="15"/>
      <c r="B894" s="17"/>
      <c r="C894" s="17"/>
      <c r="D894" s="17"/>
      <c r="E894" s="17"/>
      <c r="F894" s="17"/>
      <c r="G894" s="18"/>
      <c r="H894" s="15"/>
      <c r="I894" s="15"/>
      <c r="J894" s="24" t="str">
        <f t="array" ref="J894">IF($A894="","",IFERROR(_xlfn.XLOOKUP($A894,'Movimentação'!$B$7:$B$1006,'Movimentação'!$E$7:$E$1006,"",0,-1),""))</f>
        <v/>
      </c>
      <c r="K894" s="24" t="str">
        <f t="array" ref="K894">IF($A894="","",IFERROR(_xlfn.XLOOKUP($A894,'Movimentação'!$B$7:$B$1006,'Movimentação'!$G$7:$G$1006,"",0,-1),""))</f>
        <v/>
      </c>
      <c r="L894" s="24" t="str">
        <f t="shared" si="3"/>
        <v/>
      </c>
      <c r="M894" s="17"/>
      <c r="N894" s="30" t="str">
        <f t="array" ref="N894">IF($A894="","",IFERROR(IF(OR($L894="BAIXADO",$L894="FURTADO"),0,INDEX(Listas!$J$2:$J$40,MATCH($B894,Listas!$I$2:$I$40,0))),""))</f>
        <v/>
      </c>
      <c r="P894" s="31" t="str">
        <f t="array" ref="P894">IF($A894="","",IFERROR(_xlfn.XLOOKUP($A894,'Movimentação'!$B$7:$B$1006,'Movimentação'!$F$7:$F$1006,"",0,-1),""))</f>
        <v/>
      </c>
      <c r="Q894" s="31">
        <f>IF(COUNTIFS('Manutenção'!$B$7:$B$1006,$A894,'Manutenção'!$H$7:$H$1006,"EM CONSERTO")&gt;0,1,0)</f>
        <v>0</v>
      </c>
    </row>
    <row r="895" ht="15.0" hidden="1" customHeight="1">
      <c r="A895" s="15"/>
      <c r="B895" s="17"/>
      <c r="C895" s="17"/>
      <c r="D895" s="17"/>
      <c r="E895" s="17"/>
      <c r="F895" s="17"/>
      <c r="G895" s="18"/>
      <c r="H895" s="15"/>
      <c r="I895" s="15"/>
      <c r="J895" s="24" t="str">
        <f t="array" ref="J895">IF($A895="","",IFERROR(_xlfn.XLOOKUP($A895,'Movimentação'!$B$7:$B$1006,'Movimentação'!$E$7:$E$1006,"",0,-1),""))</f>
        <v/>
      </c>
      <c r="K895" s="24" t="str">
        <f t="array" ref="K895">IF($A895="","",IFERROR(_xlfn.XLOOKUP($A895,'Movimentação'!$B$7:$B$1006,'Movimentação'!$G$7:$G$1006,"",0,-1),""))</f>
        <v/>
      </c>
      <c r="L895" s="24" t="str">
        <f t="shared" si="3"/>
        <v/>
      </c>
      <c r="M895" s="17"/>
      <c r="N895" s="30" t="str">
        <f t="array" ref="N895">IF($A895="","",IFERROR(IF(OR($L895="BAIXADO",$L895="FURTADO"),0,INDEX(Listas!$J$2:$J$40,MATCH($B895,Listas!$I$2:$I$40,0))),""))</f>
        <v/>
      </c>
      <c r="P895" s="31" t="str">
        <f t="array" ref="P895">IF($A895="","",IFERROR(_xlfn.XLOOKUP($A895,'Movimentação'!$B$7:$B$1006,'Movimentação'!$F$7:$F$1006,"",0,-1),""))</f>
        <v/>
      </c>
      <c r="Q895" s="31">
        <f>IF(COUNTIFS('Manutenção'!$B$7:$B$1006,$A895,'Manutenção'!$H$7:$H$1006,"EM CONSERTO")&gt;0,1,0)</f>
        <v>0</v>
      </c>
    </row>
    <row r="896" ht="15.0" hidden="1" customHeight="1">
      <c r="A896" s="15"/>
      <c r="B896" s="17"/>
      <c r="C896" s="17"/>
      <c r="D896" s="17"/>
      <c r="E896" s="17"/>
      <c r="F896" s="17"/>
      <c r="G896" s="18"/>
      <c r="H896" s="15"/>
      <c r="I896" s="15"/>
      <c r="J896" s="24" t="str">
        <f t="array" ref="J896">IF($A896="","",IFERROR(_xlfn.XLOOKUP($A896,'Movimentação'!$B$7:$B$1006,'Movimentação'!$E$7:$E$1006,"",0,-1),""))</f>
        <v/>
      </c>
      <c r="K896" s="24" t="str">
        <f t="array" ref="K896">IF($A896="","",IFERROR(_xlfn.XLOOKUP($A896,'Movimentação'!$B$7:$B$1006,'Movimentação'!$G$7:$G$1006,"",0,-1),""))</f>
        <v/>
      </c>
      <c r="L896" s="24" t="str">
        <f t="shared" si="3"/>
        <v/>
      </c>
      <c r="M896" s="17"/>
      <c r="N896" s="30" t="str">
        <f t="array" ref="N896">IF($A896="","",IFERROR(IF(OR($L896="BAIXADO",$L896="FURTADO"),0,INDEX(Listas!$J$2:$J$40,MATCH($B896,Listas!$I$2:$I$40,0))),""))</f>
        <v/>
      </c>
      <c r="P896" s="31" t="str">
        <f t="array" ref="P896">IF($A896="","",IFERROR(_xlfn.XLOOKUP($A896,'Movimentação'!$B$7:$B$1006,'Movimentação'!$F$7:$F$1006,"",0,-1),""))</f>
        <v/>
      </c>
      <c r="Q896" s="31">
        <f>IF(COUNTIFS('Manutenção'!$B$7:$B$1006,$A896,'Manutenção'!$H$7:$H$1006,"EM CONSERTO")&gt;0,1,0)</f>
        <v>0</v>
      </c>
    </row>
    <row r="897" ht="15.0" hidden="1" customHeight="1">
      <c r="A897" s="15"/>
      <c r="B897" s="17"/>
      <c r="C897" s="17"/>
      <c r="D897" s="17"/>
      <c r="E897" s="17"/>
      <c r="F897" s="17"/>
      <c r="G897" s="18"/>
      <c r="H897" s="15"/>
      <c r="I897" s="15"/>
      <c r="J897" s="24" t="str">
        <f t="array" ref="J897">IF($A897="","",IFERROR(_xlfn.XLOOKUP($A897,'Movimentação'!$B$7:$B$1006,'Movimentação'!$E$7:$E$1006,"",0,-1),""))</f>
        <v/>
      </c>
      <c r="K897" s="24" t="str">
        <f t="array" ref="K897">IF($A897="","",IFERROR(_xlfn.XLOOKUP($A897,'Movimentação'!$B$7:$B$1006,'Movimentação'!$G$7:$G$1006,"",0,-1),""))</f>
        <v/>
      </c>
      <c r="L897" s="24" t="str">
        <f t="shared" si="3"/>
        <v/>
      </c>
      <c r="M897" s="17"/>
      <c r="N897" s="30" t="str">
        <f t="array" ref="N897">IF($A897="","",IFERROR(IF(OR($L897="BAIXADO",$L897="FURTADO"),0,INDEX(Listas!$J$2:$J$40,MATCH($B897,Listas!$I$2:$I$40,0))),""))</f>
        <v/>
      </c>
      <c r="P897" s="31" t="str">
        <f t="array" ref="P897">IF($A897="","",IFERROR(_xlfn.XLOOKUP($A897,'Movimentação'!$B$7:$B$1006,'Movimentação'!$F$7:$F$1006,"",0,-1),""))</f>
        <v/>
      </c>
      <c r="Q897" s="31">
        <f>IF(COUNTIFS('Manutenção'!$B$7:$B$1006,$A897,'Manutenção'!$H$7:$H$1006,"EM CONSERTO")&gt;0,1,0)</f>
        <v>0</v>
      </c>
    </row>
    <row r="898" ht="15.0" hidden="1" customHeight="1">
      <c r="A898" s="15"/>
      <c r="B898" s="17"/>
      <c r="C898" s="17"/>
      <c r="D898" s="17"/>
      <c r="E898" s="17"/>
      <c r="F898" s="17"/>
      <c r="G898" s="18"/>
      <c r="H898" s="15"/>
      <c r="I898" s="15"/>
      <c r="J898" s="24" t="str">
        <f t="array" ref="J898">IF($A898="","",IFERROR(_xlfn.XLOOKUP($A898,'Movimentação'!$B$7:$B$1006,'Movimentação'!$E$7:$E$1006,"",0,-1),""))</f>
        <v/>
      </c>
      <c r="K898" s="24" t="str">
        <f t="array" ref="K898">IF($A898="","",IFERROR(_xlfn.XLOOKUP($A898,'Movimentação'!$B$7:$B$1006,'Movimentação'!$G$7:$G$1006,"",0,-1),""))</f>
        <v/>
      </c>
      <c r="L898" s="24" t="str">
        <f t="shared" si="3"/>
        <v/>
      </c>
      <c r="M898" s="17"/>
      <c r="N898" s="30" t="str">
        <f t="array" ref="N898">IF($A898="","",IFERROR(IF(OR($L898="BAIXADO",$L898="FURTADO"),0,INDEX(Listas!$J$2:$J$40,MATCH($B898,Listas!$I$2:$I$40,0))),""))</f>
        <v/>
      </c>
      <c r="P898" s="31" t="str">
        <f t="array" ref="P898">IF($A898="","",IFERROR(_xlfn.XLOOKUP($A898,'Movimentação'!$B$7:$B$1006,'Movimentação'!$F$7:$F$1006,"",0,-1),""))</f>
        <v/>
      </c>
      <c r="Q898" s="31">
        <f>IF(COUNTIFS('Manutenção'!$B$7:$B$1006,$A898,'Manutenção'!$H$7:$H$1006,"EM CONSERTO")&gt;0,1,0)</f>
        <v>0</v>
      </c>
    </row>
    <row r="899" ht="15.0" hidden="1" customHeight="1">
      <c r="A899" s="15"/>
      <c r="B899" s="17"/>
      <c r="C899" s="17"/>
      <c r="D899" s="17"/>
      <c r="E899" s="17"/>
      <c r="F899" s="17"/>
      <c r="G899" s="18"/>
      <c r="H899" s="15"/>
      <c r="I899" s="15"/>
      <c r="J899" s="24" t="str">
        <f t="array" ref="J899">IF($A899="","",IFERROR(_xlfn.XLOOKUP($A899,'Movimentação'!$B$7:$B$1006,'Movimentação'!$E$7:$E$1006,"",0,-1),""))</f>
        <v/>
      </c>
      <c r="K899" s="24" t="str">
        <f t="array" ref="K899">IF($A899="","",IFERROR(_xlfn.XLOOKUP($A899,'Movimentação'!$B$7:$B$1006,'Movimentação'!$G$7:$G$1006,"",0,-1),""))</f>
        <v/>
      </c>
      <c r="L899" s="24" t="str">
        <f t="shared" si="3"/>
        <v/>
      </c>
      <c r="M899" s="17"/>
      <c r="N899" s="30" t="str">
        <f t="array" ref="N899">IF($A899="","",IFERROR(IF(OR($L899="BAIXADO",$L899="FURTADO"),0,INDEX(Listas!$J$2:$J$40,MATCH($B899,Listas!$I$2:$I$40,0))),""))</f>
        <v/>
      </c>
      <c r="P899" s="31" t="str">
        <f t="array" ref="P899">IF($A899="","",IFERROR(_xlfn.XLOOKUP($A899,'Movimentação'!$B$7:$B$1006,'Movimentação'!$F$7:$F$1006,"",0,-1),""))</f>
        <v/>
      </c>
      <c r="Q899" s="31">
        <f>IF(COUNTIFS('Manutenção'!$B$7:$B$1006,$A899,'Manutenção'!$H$7:$H$1006,"EM CONSERTO")&gt;0,1,0)</f>
        <v>0</v>
      </c>
    </row>
    <row r="900" ht="15.0" hidden="1" customHeight="1">
      <c r="A900" s="15"/>
      <c r="B900" s="17"/>
      <c r="C900" s="17"/>
      <c r="D900" s="17"/>
      <c r="E900" s="17"/>
      <c r="F900" s="17"/>
      <c r="G900" s="18"/>
      <c r="H900" s="15"/>
      <c r="I900" s="15"/>
      <c r="J900" s="24" t="str">
        <f t="array" ref="J900">IF($A900="","",IFERROR(_xlfn.XLOOKUP($A900,'Movimentação'!$B$7:$B$1006,'Movimentação'!$E$7:$E$1006,"",0,-1),""))</f>
        <v/>
      </c>
      <c r="K900" s="24" t="str">
        <f t="array" ref="K900">IF($A900="","",IFERROR(_xlfn.XLOOKUP($A900,'Movimentação'!$B$7:$B$1006,'Movimentação'!$G$7:$G$1006,"",0,-1),""))</f>
        <v/>
      </c>
      <c r="L900" s="24" t="str">
        <f t="shared" si="3"/>
        <v/>
      </c>
      <c r="M900" s="17"/>
      <c r="N900" s="30" t="str">
        <f t="array" ref="N900">IF($A900="","",IFERROR(IF(OR($L900="BAIXADO",$L900="FURTADO"),0,INDEX(Listas!$J$2:$J$40,MATCH($B900,Listas!$I$2:$I$40,0))),""))</f>
        <v/>
      </c>
      <c r="P900" s="31" t="str">
        <f t="array" ref="P900">IF($A900="","",IFERROR(_xlfn.XLOOKUP($A900,'Movimentação'!$B$7:$B$1006,'Movimentação'!$F$7:$F$1006,"",0,-1),""))</f>
        <v/>
      </c>
      <c r="Q900" s="31">
        <f>IF(COUNTIFS('Manutenção'!$B$7:$B$1006,$A900,'Manutenção'!$H$7:$H$1006,"EM CONSERTO")&gt;0,1,0)</f>
        <v>0</v>
      </c>
    </row>
    <row r="901" ht="15.0" hidden="1" customHeight="1">
      <c r="A901" s="15"/>
      <c r="B901" s="17"/>
      <c r="C901" s="17"/>
      <c r="D901" s="17"/>
      <c r="E901" s="17"/>
      <c r="F901" s="17"/>
      <c r="G901" s="18"/>
      <c r="H901" s="15"/>
      <c r="I901" s="15"/>
      <c r="J901" s="24" t="str">
        <f t="array" ref="J901">IF($A901="","",IFERROR(_xlfn.XLOOKUP($A901,'Movimentação'!$B$7:$B$1006,'Movimentação'!$E$7:$E$1006,"",0,-1),""))</f>
        <v/>
      </c>
      <c r="K901" s="24" t="str">
        <f t="array" ref="K901">IF($A901="","",IFERROR(_xlfn.XLOOKUP($A901,'Movimentação'!$B$7:$B$1006,'Movimentação'!$G$7:$G$1006,"",0,-1),""))</f>
        <v/>
      </c>
      <c r="L901" s="24" t="str">
        <f t="shared" si="3"/>
        <v/>
      </c>
      <c r="M901" s="17"/>
      <c r="N901" s="30" t="str">
        <f t="array" ref="N901">IF($A901="","",IFERROR(IF(OR($L901="BAIXADO",$L901="FURTADO"),0,INDEX(Listas!$J$2:$J$40,MATCH($B901,Listas!$I$2:$I$40,0))),""))</f>
        <v/>
      </c>
      <c r="P901" s="31" t="str">
        <f t="array" ref="P901">IF($A901="","",IFERROR(_xlfn.XLOOKUP($A901,'Movimentação'!$B$7:$B$1006,'Movimentação'!$F$7:$F$1006,"",0,-1),""))</f>
        <v/>
      </c>
      <c r="Q901" s="31">
        <f>IF(COUNTIFS('Manutenção'!$B$7:$B$1006,$A901,'Manutenção'!$H$7:$H$1006,"EM CONSERTO")&gt;0,1,0)</f>
        <v>0</v>
      </c>
    </row>
    <row r="902" ht="15.0" hidden="1" customHeight="1">
      <c r="A902" s="15"/>
      <c r="B902" s="17"/>
      <c r="C902" s="17"/>
      <c r="D902" s="17"/>
      <c r="E902" s="17"/>
      <c r="F902" s="17"/>
      <c r="G902" s="18"/>
      <c r="H902" s="15"/>
      <c r="I902" s="15"/>
      <c r="J902" s="24" t="str">
        <f t="array" ref="J902">IF($A902="","",IFERROR(_xlfn.XLOOKUP($A902,'Movimentação'!$B$7:$B$1006,'Movimentação'!$E$7:$E$1006,"",0,-1),""))</f>
        <v/>
      </c>
      <c r="K902" s="24" t="str">
        <f t="array" ref="K902">IF($A902="","",IFERROR(_xlfn.XLOOKUP($A902,'Movimentação'!$B$7:$B$1006,'Movimentação'!$G$7:$G$1006,"",0,-1),""))</f>
        <v/>
      </c>
      <c r="L902" s="24" t="str">
        <f t="shared" si="3"/>
        <v/>
      </c>
      <c r="M902" s="17"/>
      <c r="N902" s="30" t="str">
        <f t="array" ref="N902">IF($A902="","",IFERROR(IF(OR($L902="BAIXADO",$L902="FURTADO"),0,INDEX(Listas!$J$2:$J$40,MATCH($B902,Listas!$I$2:$I$40,0))),""))</f>
        <v/>
      </c>
      <c r="P902" s="31" t="str">
        <f t="array" ref="P902">IF($A902="","",IFERROR(_xlfn.XLOOKUP($A902,'Movimentação'!$B$7:$B$1006,'Movimentação'!$F$7:$F$1006,"",0,-1),""))</f>
        <v/>
      </c>
      <c r="Q902" s="31">
        <f>IF(COUNTIFS('Manutenção'!$B$7:$B$1006,$A902,'Manutenção'!$H$7:$H$1006,"EM CONSERTO")&gt;0,1,0)</f>
        <v>0</v>
      </c>
    </row>
    <row r="903" ht="15.0" hidden="1" customHeight="1">
      <c r="A903" s="15"/>
      <c r="B903" s="17"/>
      <c r="C903" s="17"/>
      <c r="D903" s="17"/>
      <c r="E903" s="17"/>
      <c r="F903" s="17"/>
      <c r="G903" s="18"/>
      <c r="H903" s="15"/>
      <c r="I903" s="15"/>
      <c r="J903" s="24" t="str">
        <f t="array" ref="J903">IF($A903="","",IFERROR(_xlfn.XLOOKUP($A903,'Movimentação'!$B$7:$B$1006,'Movimentação'!$E$7:$E$1006,"",0,-1),""))</f>
        <v/>
      </c>
      <c r="K903" s="24" t="str">
        <f t="array" ref="K903">IF($A903="","",IFERROR(_xlfn.XLOOKUP($A903,'Movimentação'!$B$7:$B$1006,'Movimentação'!$G$7:$G$1006,"",0,-1),""))</f>
        <v/>
      </c>
      <c r="L903" s="24" t="str">
        <f t="shared" si="3"/>
        <v/>
      </c>
      <c r="M903" s="17"/>
      <c r="N903" s="30" t="str">
        <f t="array" ref="N903">IF($A903="","",IFERROR(IF(OR($L903="BAIXADO",$L903="FURTADO"),0,INDEX(Listas!$J$2:$J$40,MATCH($B903,Listas!$I$2:$I$40,0))),""))</f>
        <v/>
      </c>
      <c r="P903" s="31" t="str">
        <f t="array" ref="P903">IF($A903="","",IFERROR(_xlfn.XLOOKUP($A903,'Movimentação'!$B$7:$B$1006,'Movimentação'!$F$7:$F$1006,"",0,-1),""))</f>
        <v/>
      </c>
      <c r="Q903" s="31">
        <f>IF(COUNTIFS('Manutenção'!$B$7:$B$1006,$A903,'Manutenção'!$H$7:$H$1006,"EM CONSERTO")&gt;0,1,0)</f>
        <v>0</v>
      </c>
    </row>
    <row r="904" ht="15.0" hidden="1" customHeight="1">
      <c r="A904" s="15"/>
      <c r="B904" s="17"/>
      <c r="C904" s="17"/>
      <c r="D904" s="17"/>
      <c r="E904" s="17"/>
      <c r="F904" s="17"/>
      <c r="G904" s="18"/>
      <c r="H904" s="15"/>
      <c r="I904" s="15"/>
      <c r="J904" s="24" t="str">
        <f t="array" ref="J904">IF($A904="","",IFERROR(_xlfn.XLOOKUP($A904,'Movimentação'!$B$7:$B$1006,'Movimentação'!$E$7:$E$1006,"",0,-1),""))</f>
        <v/>
      </c>
      <c r="K904" s="24" t="str">
        <f t="array" ref="K904">IF($A904="","",IFERROR(_xlfn.XLOOKUP($A904,'Movimentação'!$B$7:$B$1006,'Movimentação'!$G$7:$G$1006,"",0,-1),""))</f>
        <v/>
      </c>
      <c r="L904" s="24" t="str">
        <f t="shared" si="3"/>
        <v/>
      </c>
      <c r="M904" s="17"/>
      <c r="N904" s="30" t="str">
        <f t="array" ref="N904">IF($A904="","",IFERROR(IF(OR($L904="BAIXADO",$L904="FURTADO"),0,INDEX(Listas!$J$2:$J$40,MATCH($B904,Listas!$I$2:$I$40,0))),""))</f>
        <v/>
      </c>
      <c r="P904" s="31" t="str">
        <f t="array" ref="P904">IF($A904="","",IFERROR(_xlfn.XLOOKUP($A904,'Movimentação'!$B$7:$B$1006,'Movimentação'!$F$7:$F$1006,"",0,-1),""))</f>
        <v/>
      </c>
      <c r="Q904" s="31">
        <f>IF(COUNTIFS('Manutenção'!$B$7:$B$1006,$A904,'Manutenção'!$H$7:$H$1006,"EM CONSERTO")&gt;0,1,0)</f>
        <v>0</v>
      </c>
    </row>
    <row r="905" ht="15.0" hidden="1" customHeight="1">
      <c r="A905" s="15"/>
      <c r="B905" s="17"/>
      <c r="C905" s="17"/>
      <c r="D905" s="17"/>
      <c r="E905" s="17"/>
      <c r="F905" s="17"/>
      <c r="G905" s="18"/>
      <c r="H905" s="15"/>
      <c r="I905" s="15"/>
      <c r="J905" s="24" t="str">
        <f t="array" ref="J905">IF($A905="","",IFERROR(_xlfn.XLOOKUP($A905,'Movimentação'!$B$7:$B$1006,'Movimentação'!$E$7:$E$1006,"",0,-1),""))</f>
        <v/>
      </c>
      <c r="K905" s="24" t="str">
        <f t="array" ref="K905">IF($A905="","",IFERROR(_xlfn.XLOOKUP($A905,'Movimentação'!$B$7:$B$1006,'Movimentação'!$G$7:$G$1006,"",0,-1),""))</f>
        <v/>
      </c>
      <c r="L905" s="24" t="str">
        <f t="shared" si="3"/>
        <v/>
      </c>
      <c r="M905" s="17"/>
      <c r="N905" s="30" t="str">
        <f t="array" ref="N905">IF($A905="","",IFERROR(IF(OR($L905="BAIXADO",$L905="FURTADO"),0,INDEX(Listas!$J$2:$J$40,MATCH($B905,Listas!$I$2:$I$40,0))),""))</f>
        <v/>
      </c>
      <c r="P905" s="31" t="str">
        <f t="array" ref="P905">IF($A905="","",IFERROR(_xlfn.XLOOKUP($A905,'Movimentação'!$B$7:$B$1006,'Movimentação'!$F$7:$F$1006,"",0,-1),""))</f>
        <v/>
      </c>
      <c r="Q905" s="31">
        <f>IF(COUNTIFS('Manutenção'!$B$7:$B$1006,$A905,'Manutenção'!$H$7:$H$1006,"EM CONSERTO")&gt;0,1,0)</f>
        <v>0</v>
      </c>
    </row>
    <row r="906" ht="15.0" hidden="1" customHeight="1">
      <c r="A906" s="15"/>
      <c r="B906" s="17"/>
      <c r="C906" s="17"/>
      <c r="D906" s="17"/>
      <c r="E906" s="17"/>
      <c r="F906" s="17"/>
      <c r="G906" s="18"/>
      <c r="H906" s="15"/>
      <c r="I906" s="15"/>
      <c r="J906" s="24" t="str">
        <f t="array" ref="J906">IF($A906="","",IFERROR(_xlfn.XLOOKUP($A906,'Movimentação'!$B$7:$B$1006,'Movimentação'!$E$7:$E$1006,"",0,-1),""))</f>
        <v/>
      </c>
      <c r="K906" s="24" t="str">
        <f t="array" ref="K906">IF($A906="","",IFERROR(_xlfn.XLOOKUP($A906,'Movimentação'!$B$7:$B$1006,'Movimentação'!$G$7:$G$1006,"",0,-1),""))</f>
        <v/>
      </c>
      <c r="L906" s="24" t="str">
        <f t="shared" si="3"/>
        <v/>
      </c>
      <c r="M906" s="17"/>
      <c r="N906" s="30" t="str">
        <f t="array" ref="N906">IF($A906="","",IFERROR(IF(OR($L906="BAIXADO",$L906="FURTADO"),0,INDEX(Listas!$J$2:$J$40,MATCH($B906,Listas!$I$2:$I$40,0))),""))</f>
        <v/>
      </c>
      <c r="P906" s="31" t="str">
        <f t="array" ref="P906">IF($A906="","",IFERROR(_xlfn.XLOOKUP($A906,'Movimentação'!$B$7:$B$1006,'Movimentação'!$F$7:$F$1006,"",0,-1),""))</f>
        <v/>
      </c>
      <c r="Q906" s="31">
        <f>IF(COUNTIFS('Manutenção'!$B$7:$B$1006,$A906,'Manutenção'!$H$7:$H$1006,"EM CONSERTO")&gt;0,1,0)</f>
        <v>0</v>
      </c>
    </row>
    <row r="907" ht="15.0" hidden="1" customHeight="1">
      <c r="A907" s="15"/>
      <c r="B907" s="17"/>
      <c r="C907" s="17"/>
      <c r="D907" s="17"/>
      <c r="E907" s="17"/>
      <c r="F907" s="17"/>
      <c r="G907" s="18"/>
      <c r="H907" s="15"/>
      <c r="I907" s="15"/>
      <c r="J907" s="24" t="str">
        <f t="array" ref="J907">IF($A907="","",IFERROR(_xlfn.XLOOKUP($A907,'Movimentação'!$B$7:$B$1006,'Movimentação'!$E$7:$E$1006,"",0,-1),""))</f>
        <v/>
      </c>
      <c r="K907" s="24" t="str">
        <f t="array" ref="K907">IF($A907="","",IFERROR(_xlfn.XLOOKUP($A907,'Movimentação'!$B$7:$B$1006,'Movimentação'!$G$7:$G$1006,"",0,-1),""))</f>
        <v/>
      </c>
      <c r="L907" s="24" t="str">
        <f t="shared" si="3"/>
        <v/>
      </c>
      <c r="M907" s="17"/>
      <c r="N907" s="30" t="str">
        <f t="array" ref="N907">IF($A907="","",IFERROR(IF(OR($L907="BAIXADO",$L907="FURTADO"),0,INDEX(Listas!$J$2:$J$40,MATCH($B907,Listas!$I$2:$I$40,0))),""))</f>
        <v/>
      </c>
      <c r="P907" s="31" t="str">
        <f t="array" ref="P907">IF($A907="","",IFERROR(_xlfn.XLOOKUP($A907,'Movimentação'!$B$7:$B$1006,'Movimentação'!$F$7:$F$1006,"",0,-1),""))</f>
        <v/>
      </c>
      <c r="Q907" s="31">
        <f>IF(COUNTIFS('Manutenção'!$B$7:$B$1006,$A907,'Manutenção'!$H$7:$H$1006,"EM CONSERTO")&gt;0,1,0)</f>
        <v>0</v>
      </c>
    </row>
    <row r="908" ht="15.0" hidden="1" customHeight="1">
      <c r="A908" s="15"/>
      <c r="B908" s="17"/>
      <c r="C908" s="17"/>
      <c r="D908" s="17"/>
      <c r="E908" s="17"/>
      <c r="F908" s="17"/>
      <c r="G908" s="18"/>
      <c r="H908" s="15"/>
      <c r="I908" s="15"/>
      <c r="J908" s="24" t="str">
        <f t="array" ref="J908">IF($A908="","",IFERROR(_xlfn.XLOOKUP($A908,'Movimentação'!$B$7:$B$1006,'Movimentação'!$E$7:$E$1006,"",0,-1),""))</f>
        <v/>
      </c>
      <c r="K908" s="24" t="str">
        <f t="array" ref="K908">IF($A908="","",IFERROR(_xlfn.XLOOKUP($A908,'Movimentação'!$B$7:$B$1006,'Movimentação'!$G$7:$G$1006,"",0,-1),""))</f>
        <v/>
      </c>
      <c r="L908" s="24" t="str">
        <f t="shared" si="3"/>
        <v/>
      </c>
      <c r="M908" s="17"/>
      <c r="N908" s="30" t="str">
        <f t="array" ref="N908">IF($A908="","",IFERROR(IF(OR($L908="BAIXADO",$L908="FURTADO"),0,INDEX(Listas!$J$2:$J$40,MATCH($B908,Listas!$I$2:$I$40,0))),""))</f>
        <v/>
      </c>
      <c r="P908" s="31" t="str">
        <f t="array" ref="P908">IF($A908="","",IFERROR(_xlfn.XLOOKUP($A908,'Movimentação'!$B$7:$B$1006,'Movimentação'!$F$7:$F$1006,"",0,-1),""))</f>
        <v/>
      </c>
      <c r="Q908" s="31">
        <f>IF(COUNTIFS('Manutenção'!$B$7:$B$1006,$A908,'Manutenção'!$H$7:$H$1006,"EM CONSERTO")&gt;0,1,0)</f>
        <v>0</v>
      </c>
    </row>
    <row r="909" ht="15.0" hidden="1" customHeight="1">
      <c r="A909" s="15"/>
      <c r="B909" s="17"/>
      <c r="C909" s="17"/>
      <c r="D909" s="17"/>
      <c r="E909" s="17"/>
      <c r="F909" s="17"/>
      <c r="G909" s="18"/>
      <c r="H909" s="15"/>
      <c r="I909" s="15"/>
      <c r="J909" s="24" t="str">
        <f t="array" ref="J909">IF($A909="","",IFERROR(_xlfn.XLOOKUP($A909,'Movimentação'!$B$7:$B$1006,'Movimentação'!$E$7:$E$1006,"",0,-1),""))</f>
        <v/>
      </c>
      <c r="K909" s="24" t="str">
        <f t="array" ref="K909">IF($A909="","",IFERROR(_xlfn.XLOOKUP($A909,'Movimentação'!$B$7:$B$1006,'Movimentação'!$G$7:$G$1006,"",0,-1),""))</f>
        <v/>
      </c>
      <c r="L909" s="24" t="str">
        <f t="shared" si="3"/>
        <v/>
      </c>
      <c r="M909" s="17"/>
      <c r="N909" s="30" t="str">
        <f t="array" ref="N909">IF($A909="","",IFERROR(IF(OR($L909="BAIXADO",$L909="FURTADO"),0,INDEX(Listas!$J$2:$J$40,MATCH($B909,Listas!$I$2:$I$40,0))),""))</f>
        <v/>
      </c>
      <c r="P909" s="31" t="str">
        <f t="array" ref="P909">IF($A909="","",IFERROR(_xlfn.XLOOKUP($A909,'Movimentação'!$B$7:$B$1006,'Movimentação'!$F$7:$F$1006,"",0,-1),""))</f>
        <v/>
      </c>
      <c r="Q909" s="31">
        <f>IF(COUNTIFS('Manutenção'!$B$7:$B$1006,$A909,'Manutenção'!$H$7:$H$1006,"EM CONSERTO")&gt;0,1,0)</f>
        <v>0</v>
      </c>
    </row>
    <row r="910" ht="15.0" hidden="1" customHeight="1">
      <c r="A910" s="15"/>
      <c r="B910" s="17"/>
      <c r="C910" s="17"/>
      <c r="D910" s="17"/>
      <c r="E910" s="17"/>
      <c r="F910" s="17"/>
      <c r="G910" s="18"/>
      <c r="H910" s="15"/>
      <c r="I910" s="15"/>
      <c r="J910" s="24" t="str">
        <f t="array" ref="J910">IF($A910="","",IFERROR(_xlfn.XLOOKUP($A910,'Movimentação'!$B$7:$B$1006,'Movimentação'!$E$7:$E$1006,"",0,-1),""))</f>
        <v/>
      </c>
      <c r="K910" s="24" t="str">
        <f t="array" ref="K910">IF($A910="","",IFERROR(_xlfn.XLOOKUP($A910,'Movimentação'!$B$7:$B$1006,'Movimentação'!$G$7:$G$1006,"",0,-1),""))</f>
        <v/>
      </c>
      <c r="L910" s="24" t="str">
        <f t="shared" si="3"/>
        <v/>
      </c>
      <c r="M910" s="17"/>
      <c r="N910" s="30" t="str">
        <f t="array" ref="N910">IF($A910="","",IFERROR(IF(OR($L910="BAIXADO",$L910="FURTADO"),0,INDEX(Listas!$J$2:$J$40,MATCH($B910,Listas!$I$2:$I$40,0))),""))</f>
        <v/>
      </c>
      <c r="P910" s="31" t="str">
        <f t="array" ref="P910">IF($A910="","",IFERROR(_xlfn.XLOOKUP($A910,'Movimentação'!$B$7:$B$1006,'Movimentação'!$F$7:$F$1006,"",0,-1),""))</f>
        <v/>
      </c>
      <c r="Q910" s="31">
        <f>IF(COUNTIFS('Manutenção'!$B$7:$B$1006,$A910,'Manutenção'!$H$7:$H$1006,"EM CONSERTO")&gt;0,1,0)</f>
        <v>0</v>
      </c>
    </row>
    <row r="911" ht="15.0" hidden="1" customHeight="1">
      <c r="A911" s="15"/>
      <c r="B911" s="17"/>
      <c r="C911" s="17"/>
      <c r="D911" s="17"/>
      <c r="E911" s="17"/>
      <c r="F911" s="17"/>
      <c r="G911" s="18"/>
      <c r="H911" s="15"/>
      <c r="I911" s="15"/>
      <c r="J911" s="24" t="str">
        <f t="array" ref="J911">IF($A911="","",IFERROR(_xlfn.XLOOKUP($A911,'Movimentação'!$B$7:$B$1006,'Movimentação'!$E$7:$E$1006,"",0,-1),""))</f>
        <v/>
      </c>
      <c r="K911" s="24" t="str">
        <f t="array" ref="K911">IF($A911="","",IFERROR(_xlfn.XLOOKUP($A911,'Movimentação'!$B$7:$B$1006,'Movimentação'!$G$7:$G$1006,"",0,-1),""))</f>
        <v/>
      </c>
      <c r="L911" s="24" t="str">
        <f t="shared" si="3"/>
        <v/>
      </c>
      <c r="M911" s="17"/>
      <c r="N911" s="30" t="str">
        <f t="array" ref="N911">IF($A911="","",IFERROR(IF(OR($L911="BAIXADO",$L911="FURTADO"),0,INDEX(Listas!$J$2:$J$40,MATCH($B911,Listas!$I$2:$I$40,0))),""))</f>
        <v/>
      </c>
      <c r="P911" s="31" t="str">
        <f t="array" ref="P911">IF($A911="","",IFERROR(_xlfn.XLOOKUP($A911,'Movimentação'!$B$7:$B$1006,'Movimentação'!$F$7:$F$1006,"",0,-1),""))</f>
        <v/>
      </c>
      <c r="Q911" s="31">
        <f>IF(COUNTIFS('Manutenção'!$B$7:$B$1006,$A911,'Manutenção'!$H$7:$H$1006,"EM CONSERTO")&gt;0,1,0)</f>
        <v>0</v>
      </c>
    </row>
    <row r="912" ht="15.0" hidden="1" customHeight="1">
      <c r="A912" s="15"/>
      <c r="B912" s="17"/>
      <c r="C912" s="17"/>
      <c r="D912" s="17"/>
      <c r="E912" s="17"/>
      <c r="F912" s="17"/>
      <c r="G912" s="18"/>
      <c r="H912" s="15"/>
      <c r="I912" s="15"/>
      <c r="J912" s="24" t="str">
        <f t="array" ref="J912">IF($A912="","",IFERROR(_xlfn.XLOOKUP($A912,'Movimentação'!$B$7:$B$1006,'Movimentação'!$E$7:$E$1006,"",0,-1),""))</f>
        <v/>
      </c>
      <c r="K912" s="24" t="str">
        <f t="array" ref="K912">IF($A912="","",IFERROR(_xlfn.XLOOKUP($A912,'Movimentação'!$B$7:$B$1006,'Movimentação'!$G$7:$G$1006,"",0,-1),""))</f>
        <v/>
      </c>
      <c r="L912" s="24" t="str">
        <f t="shared" si="3"/>
        <v/>
      </c>
      <c r="M912" s="17"/>
      <c r="N912" s="30" t="str">
        <f t="array" ref="N912">IF($A912="","",IFERROR(IF(OR($L912="BAIXADO",$L912="FURTADO"),0,INDEX(Listas!$J$2:$J$40,MATCH($B912,Listas!$I$2:$I$40,0))),""))</f>
        <v/>
      </c>
      <c r="P912" s="31" t="str">
        <f t="array" ref="P912">IF($A912="","",IFERROR(_xlfn.XLOOKUP($A912,'Movimentação'!$B$7:$B$1006,'Movimentação'!$F$7:$F$1006,"",0,-1),""))</f>
        <v/>
      </c>
      <c r="Q912" s="31">
        <f>IF(COUNTIFS('Manutenção'!$B$7:$B$1006,$A912,'Manutenção'!$H$7:$H$1006,"EM CONSERTO")&gt;0,1,0)</f>
        <v>0</v>
      </c>
    </row>
    <row r="913" ht="15.0" hidden="1" customHeight="1">
      <c r="A913" s="15"/>
      <c r="B913" s="17"/>
      <c r="C913" s="17"/>
      <c r="D913" s="17"/>
      <c r="E913" s="17"/>
      <c r="F913" s="17"/>
      <c r="G913" s="18"/>
      <c r="H913" s="15"/>
      <c r="I913" s="15"/>
      <c r="J913" s="24" t="str">
        <f t="array" ref="J913">IF($A913="","",IFERROR(_xlfn.XLOOKUP($A913,'Movimentação'!$B$7:$B$1006,'Movimentação'!$E$7:$E$1006,"",0,-1),""))</f>
        <v/>
      </c>
      <c r="K913" s="24" t="str">
        <f t="array" ref="K913">IF($A913="","",IFERROR(_xlfn.XLOOKUP($A913,'Movimentação'!$B$7:$B$1006,'Movimentação'!$G$7:$G$1006,"",0,-1),""))</f>
        <v/>
      </c>
      <c r="L913" s="24" t="str">
        <f t="shared" si="3"/>
        <v/>
      </c>
      <c r="M913" s="17"/>
      <c r="N913" s="30" t="str">
        <f t="array" ref="N913">IF($A913="","",IFERROR(IF(OR($L913="BAIXADO",$L913="FURTADO"),0,INDEX(Listas!$J$2:$J$40,MATCH($B913,Listas!$I$2:$I$40,0))),""))</f>
        <v/>
      </c>
      <c r="P913" s="31" t="str">
        <f t="array" ref="P913">IF($A913="","",IFERROR(_xlfn.XLOOKUP($A913,'Movimentação'!$B$7:$B$1006,'Movimentação'!$F$7:$F$1006,"",0,-1),""))</f>
        <v/>
      </c>
      <c r="Q913" s="31">
        <f>IF(COUNTIFS('Manutenção'!$B$7:$B$1006,$A913,'Manutenção'!$H$7:$H$1006,"EM CONSERTO")&gt;0,1,0)</f>
        <v>0</v>
      </c>
    </row>
    <row r="914" ht="15.0" hidden="1" customHeight="1">
      <c r="A914" s="15"/>
      <c r="B914" s="17"/>
      <c r="C914" s="17"/>
      <c r="D914" s="17"/>
      <c r="E914" s="17"/>
      <c r="F914" s="17"/>
      <c r="G914" s="18"/>
      <c r="H914" s="15"/>
      <c r="I914" s="15"/>
      <c r="J914" s="24" t="str">
        <f t="array" ref="J914">IF($A914="","",IFERROR(_xlfn.XLOOKUP($A914,'Movimentação'!$B$7:$B$1006,'Movimentação'!$E$7:$E$1006,"",0,-1),""))</f>
        <v/>
      </c>
      <c r="K914" s="24" t="str">
        <f t="array" ref="K914">IF($A914="","",IFERROR(_xlfn.XLOOKUP($A914,'Movimentação'!$B$7:$B$1006,'Movimentação'!$G$7:$G$1006,"",0,-1),""))</f>
        <v/>
      </c>
      <c r="L914" s="24" t="str">
        <f t="shared" si="3"/>
        <v/>
      </c>
      <c r="M914" s="17"/>
      <c r="N914" s="30" t="str">
        <f t="array" ref="N914">IF($A914="","",IFERROR(IF(OR($L914="BAIXADO",$L914="FURTADO"),0,INDEX(Listas!$J$2:$J$40,MATCH($B914,Listas!$I$2:$I$40,0))),""))</f>
        <v/>
      </c>
      <c r="P914" s="31" t="str">
        <f t="array" ref="P914">IF($A914="","",IFERROR(_xlfn.XLOOKUP($A914,'Movimentação'!$B$7:$B$1006,'Movimentação'!$F$7:$F$1006,"",0,-1),""))</f>
        <v/>
      </c>
      <c r="Q914" s="31">
        <f>IF(COUNTIFS('Manutenção'!$B$7:$B$1006,$A914,'Manutenção'!$H$7:$H$1006,"EM CONSERTO")&gt;0,1,0)</f>
        <v>0</v>
      </c>
    </row>
    <row r="915" ht="15.0" hidden="1" customHeight="1">
      <c r="A915" s="15"/>
      <c r="B915" s="17"/>
      <c r="C915" s="17"/>
      <c r="D915" s="17"/>
      <c r="E915" s="17"/>
      <c r="F915" s="17"/>
      <c r="G915" s="18"/>
      <c r="H915" s="15"/>
      <c r="I915" s="15"/>
      <c r="J915" s="24" t="str">
        <f t="array" ref="J915">IF($A915="","",IFERROR(_xlfn.XLOOKUP($A915,'Movimentação'!$B$7:$B$1006,'Movimentação'!$E$7:$E$1006,"",0,-1),""))</f>
        <v/>
      </c>
      <c r="K915" s="24" t="str">
        <f t="array" ref="K915">IF($A915="","",IFERROR(_xlfn.XLOOKUP($A915,'Movimentação'!$B$7:$B$1006,'Movimentação'!$G$7:$G$1006,"",0,-1),""))</f>
        <v/>
      </c>
      <c r="L915" s="24" t="str">
        <f t="shared" si="3"/>
        <v/>
      </c>
      <c r="M915" s="17"/>
      <c r="N915" s="30" t="str">
        <f t="array" ref="N915">IF($A915="","",IFERROR(IF(OR($L915="BAIXADO",$L915="FURTADO"),0,INDEX(Listas!$J$2:$J$40,MATCH($B915,Listas!$I$2:$I$40,0))),""))</f>
        <v/>
      </c>
      <c r="P915" s="31" t="str">
        <f t="array" ref="P915">IF($A915="","",IFERROR(_xlfn.XLOOKUP($A915,'Movimentação'!$B$7:$B$1006,'Movimentação'!$F$7:$F$1006,"",0,-1),""))</f>
        <v/>
      </c>
      <c r="Q915" s="31">
        <f>IF(COUNTIFS('Manutenção'!$B$7:$B$1006,$A915,'Manutenção'!$H$7:$H$1006,"EM CONSERTO")&gt;0,1,0)</f>
        <v>0</v>
      </c>
    </row>
    <row r="916" ht="15.0" hidden="1" customHeight="1">
      <c r="A916" s="15"/>
      <c r="B916" s="17"/>
      <c r="C916" s="17"/>
      <c r="D916" s="17"/>
      <c r="E916" s="17"/>
      <c r="F916" s="17"/>
      <c r="G916" s="18"/>
      <c r="H916" s="15"/>
      <c r="I916" s="15"/>
      <c r="J916" s="24" t="str">
        <f t="array" ref="J916">IF($A916="","",IFERROR(_xlfn.XLOOKUP($A916,'Movimentação'!$B$7:$B$1006,'Movimentação'!$E$7:$E$1006,"",0,-1),""))</f>
        <v/>
      </c>
      <c r="K916" s="24" t="str">
        <f t="array" ref="K916">IF($A916="","",IFERROR(_xlfn.XLOOKUP($A916,'Movimentação'!$B$7:$B$1006,'Movimentação'!$G$7:$G$1006,"",0,-1),""))</f>
        <v/>
      </c>
      <c r="L916" s="24" t="str">
        <f t="shared" si="3"/>
        <v/>
      </c>
      <c r="M916" s="17"/>
      <c r="N916" s="30" t="str">
        <f t="array" ref="N916">IF($A916="","",IFERROR(IF(OR($L916="BAIXADO",$L916="FURTADO"),0,INDEX(Listas!$J$2:$J$40,MATCH($B916,Listas!$I$2:$I$40,0))),""))</f>
        <v/>
      </c>
      <c r="P916" s="31" t="str">
        <f t="array" ref="P916">IF($A916="","",IFERROR(_xlfn.XLOOKUP($A916,'Movimentação'!$B$7:$B$1006,'Movimentação'!$F$7:$F$1006,"",0,-1),""))</f>
        <v/>
      </c>
      <c r="Q916" s="31">
        <f>IF(COUNTIFS('Manutenção'!$B$7:$B$1006,$A916,'Manutenção'!$H$7:$H$1006,"EM CONSERTO")&gt;0,1,0)</f>
        <v>0</v>
      </c>
    </row>
    <row r="917" ht="15.0" hidden="1" customHeight="1">
      <c r="A917" s="15"/>
      <c r="B917" s="17"/>
      <c r="C917" s="17"/>
      <c r="D917" s="17"/>
      <c r="E917" s="17"/>
      <c r="F917" s="17"/>
      <c r="G917" s="18"/>
      <c r="H917" s="15"/>
      <c r="I917" s="15"/>
      <c r="J917" s="24" t="str">
        <f t="array" ref="J917">IF($A917="","",IFERROR(_xlfn.XLOOKUP($A917,'Movimentação'!$B$7:$B$1006,'Movimentação'!$E$7:$E$1006,"",0,-1),""))</f>
        <v/>
      </c>
      <c r="K917" s="24" t="str">
        <f t="array" ref="K917">IF($A917="","",IFERROR(_xlfn.XLOOKUP($A917,'Movimentação'!$B$7:$B$1006,'Movimentação'!$G$7:$G$1006,"",0,-1),""))</f>
        <v/>
      </c>
      <c r="L917" s="24" t="str">
        <f t="shared" si="3"/>
        <v/>
      </c>
      <c r="M917" s="17"/>
      <c r="N917" s="30" t="str">
        <f t="array" ref="N917">IF($A917="","",IFERROR(IF(OR($L917="BAIXADO",$L917="FURTADO"),0,INDEX(Listas!$J$2:$J$40,MATCH($B917,Listas!$I$2:$I$40,0))),""))</f>
        <v/>
      </c>
      <c r="P917" s="31" t="str">
        <f t="array" ref="P917">IF($A917="","",IFERROR(_xlfn.XLOOKUP($A917,'Movimentação'!$B$7:$B$1006,'Movimentação'!$F$7:$F$1006,"",0,-1),""))</f>
        <v/>
      </c>
      <c r="Q917" s="31">
        <f>IF(COUNTIFS('Manutenção'!$B$7:$B$1006,$A917,'Manutenção'!$H$7:$H$1006,"EM CONSERTO")&gt;0,1,0)</f>
        <v>0</v>
      </c>
    </row>
    <row r="918" ht="15.0" hidden="1" customHeight="1">
      <c r="A918" s="15"/>
      <c r="B918" s="17"/>
      <c r="C918" s="17"/>
      <c r="D918" s="17"/>
      <c r="E918" s="17"/>
      <c r="F918" s="17"/>
      <c r="G918" s="18"/>
      <c r="H918" s="15"/>
      <c r="I918" s="15"/>
      <c r="J918" s="24" t="str">
        <f t="array" ref="J918">IF($A918="","",IFERROR(_xlfn.XLOOKUP($A918,'Movimentação'!$B$7:$B$1006,'Movimentação'!$E$7:$E$1006,"",0,-1),""))</f>
        <v/>
      </c>
      <c r="K918" s="24" t="str">
        <f t="array" ref="K918">IF($A918="","",IFERROR(_xlfn.XLOOKUP($A918,'Movimentação'!$B$7:$B$1006,'Movimentação'!$G$7:$G$1006,"",0,-1),""))</f>
        <v/>
      </c>
      <c r="L918" s="24" t="str">
        <f t="shared" si="3"/>
        <v/>
      </c>
      <c r="M918" s="17"/>
      <c r="N918" s="30" t="str">
        <f t="array" ref="N918">IF($A918="","",IFERROR(IF(OR($L918="BAIXADO",$L918="FURTADO"),0,INDEX(Listas!$J$2:$J$40,MATCH($B918,Listas!$I$2:$I$40,0))),""))</f>
        <v/>
      </c>
      <c r="P918" s="31" t="str">
        <f t="array" ref="P918">IF($A918="","",IFERROR(_xlfn.XLOOKUP($A918,'Movimentação'!$B$7:$B$1006,'Movimentação'!$F$7:$F$1006,"",0,-1),""))</f>
        <v/>
      </c>
      <c r="Q918" s="31">
        <f>IF(COUNTIFS('Manutenção'!$B$7:$B$1006,$A918,'Manutenção'!$H$7:$H$1006,"EM CONSERTO")&gt;0,1,0)</f>
        <v>0</v>
      </c>
    </row>
    <row r="919" ht="15.0" hidden="1" customHeight="1">
      <c r="A919" s="15"/>
      <c r="B919" s="17"/>
      <c r="C919" s="17"/>
      <c r="D919" s="17"/>
      <c r="E919" s="17"/>
      <c r="F919" s="17"/>
      <c r="G919" s="18"/>
      <c r="H919" s="15"/>
      <c r="I919" s="15"/>
      <c r="J919" s="24" t="str">
        <f t="array" ref="J919">IF($A919="","",IFERROR(_xlfn.XLOOKUP($A919,'Movimentação'!$B$7:$B$1006,'Movimentação'!$E$7:$E$1006,"",0,-1),""))</f>
        <v/>
      </c>
      <c r="K919" s="24" t="str">
        <f t="array" ref="K919">IF($A919="","",IFERROR(_xlfn.XLOOKUP($A919,'Movimentação'!$B$7:$B$1006,'Movimentação'!$G$7:$G$1006,"",0,-1),""))</f>
        <v/>
      </c>
      <c r="L919" s="24" t="str">
        <f t="shared" si="3"/>
        <v/>
      </c>
      <c r="M919" s="17"/>
      <c r="N919" s="30" t="str">
        <f t="array" ref="N919">IF($A919="","",IFERROR(IF(OR($L919="BAIXADO",$L919="FURTADO"),0,INDEX(Listas!$J$2:$J$40,MATCH($B919,Listas!$I$2:$I$40,0))),""))</f>
        <v/>
      </c>
      <c r="P919" s="31" t="str">
        <f t="array" ref="P919">IF($A919="","",IFERROR(_xlfn.XLOOKUP($A919,'Movimentação'!$B$7:$B$1006,'Movimentação'!$F$7:$F$1006,"",0,-1),""))</f>
        <v/>
      </c>
      <c r="Q919" s="31">
        <f>IF(COUNTIFS('Manutenção'!$B$7:$B$1006,$A919,'Manutenção'!$H$7:$H$1006,"EM CONSERTO")&gt;0,1,0)</f>
        <v>0</v>
      </c>
    </row>
    <row r="920" ht="15.0" hidden="1" customHeight="1">
      <c r="A920" s="15"/>
      <c r="B920" s="17"/>
      <c r="C920" s="17"/>
      <c r="D920" s="17"/>
      <c r="E920" s="17"/>
      <c r="F920" s="17"/>
      <c r="G920" s="18"/>
      <c r="H920" s="15"/>
      <c r="I920" s="15"/>
      <c r="J920" s="24" t="str">
        <f t="array" ref="J920">IF($A920="","",IFERROR(_xlfn.XLOOKUP($A920,'Movimentação'!$B$7:$B$1006,'Movimentação'!$E$7:$E$1006,"",0,-1),""))</f>
        <v/>
      </c>
      <c r="K920" s="24" t="str">
        <f t="array" ref="K920">IF($A920="","",IFERROR(_xlfn.XLOOKUP($A920,'Movimentação'!$B$7:$B$1006,'Movimentação'!$G$7:$G$1006,"",0,-1),""))</f>
        <v/>
      </c>
      <c r="L920" s="24" t="str">
        <f t="shared" si="3"/>
        <v/>
      </c>
      <c r="M920" s="17"/>
      <c r="N920" s="30" t="str">
        <f t="array" ref="N920">IF($A920="","",IFERROR(IF(OR($L920="BAIXADO",$L920="FURTADO"),0,INDEX(Listas!$J$2:$J$40,MATCH($B920,Listas!$I$2:$I$40,0))),""))</f>
        <v/>
      </c>
      <c r="P920" s="31" t="str">
        <f t="array" ref="P920">IF($A920="","",IFERROR(_xlfn.XLOOKUP($A920,'Movimentação'!$B$7:$B$1006,'Movimentação'!$F$7:$F$1006,"",0,-1),""))</f>
        <v/>
      </c>
      <c r="Q920" s="31">
        <f>IF(COUNTIFS('Manutenção'!$B$7:$B$1006,$A920,'Manutenção'!$H$7:$H$1006,"EM CONSERTO")&gt;0,1,0)</f>
        <v>0</v>
      </c>
    </row>
    <row r="921" ht="15.0" hidden="1" customHeight="1">
      <c r="A921" s="15"/>
      <c r="B921" s="17"/>
      <c r="C921" s="17"/>
      <c r="D921" s="17"/>
      <c r="E921" s="17"/>
      <c r="F921" s="17"/>
      <c r="G921" s="18"/>
      <c r="H921" s="15"/>
      <c r="I921" s="15"/>
      <c r="J921" s="24" t="str">
        <f t="array" ref="J921">IF($A921="","",IFERROR(_xlfn.XLOOKUP($A921,'Movimentação'!$B$7:$B$1006,'Movimentação'!$E$7:$E$1006,"",0,-1),""))</f>
        <v/>
      </c>
      <c r="K921" s="24" t="str">
        <f t="array" ref="K921">IF($A921="","",IFERROR(_xlfn.XLOOKUP($A921,'Movimentação'!$B$7:$B$1006,'Movimentação'!$G$7:$G$1006,"",0,-1),""))</f>
        <v/>
      </c>
      <c r="L921" s="24" t="str">
        <f t="shared" si="3"/>
        <v/>
      </c>
      <c r="M921" s="17"/>
      <c r="N921" s="30" t="str">
        <f t="array" ref="N921">IF($A921="","",IFERROR(IF(OR($L921="BAIXADO",$L921="FURTADO"),0,INDEX(Listas!$J$2:$J$40,MATCH($B921,Listas!$I$2:$I$40,0))),""))</f>
        <v/>
      </c>
      <c r="P921" s="31" t="str">
        <f t="array" ref="P921">IF($A921="","",IFERROR(_xlfn.XLOOKUP($A921,'Movimentação'!$B$7:$B$1006,'Movimentação'!$F$7:$F$1006,"",0,-1),""))</f>
        <v/>
      </c>
      <c r="Q921" s="31">
        <f>IF(COUNTIFS('Manutenção'!$B$7:$B$1006,$A921,'Manutenção'!$H$7:$H$1006,"EM CONSERTO")&gt;0,1,0)</f>
        <v>0</v>
      </c>
    </row>
    <row r="922" ht="15.0" hidden="1" customHeight="1">
      <c r="A922" s="15"/>
      <c r="B922" s="17"/>
      <c r="C922" s="17"/>
      <c r="D922" s="17"/>
      <c r="E922" s="17"/>
      <c r="F922" s="17"/>
      <c r="G922" s="18"/>
      <c r="H922" s="15"/>
      <c r="I922" s="15"/>
      <c r="J922" s="24" t="str">
        <f t="array" ref="J922">IF($A922="","",IFERROR(_xlfn.XLOOKUP($A922,'Movimentação'!$B$7:$B$1006,'Movimentação'!$E$7:$E$1006,"",0,-1),""))</f>
        <v/>
      </c>
      <c r="K922" s="24" t="str">
        <f t="array" ref="K922">IF($A922="","",IFERROR(_xlfn.XLOOKUP($A922,'Movimentação'!$B$7:$B$1006,'Movimentação'!$G$7:$G$1006,"",0,-1),""))</f>
        <v/>
      </c>
      <c r="L922" s="24" t="str">
        <f t="shared" si="3"/>
        <v/>
      </c>
      <c r="M922" s="17"/>
      <c r="N922" s="30" t="str">
        <f t="array" ref="N922">IF($A922="","",IFERROR(IF(OR($L922="BAIXADO",$L922="FURTADO"),0,INDEX(Listas!$J$2:$J$40,MATCH($B922,Listas!$I$2:$I$40,0))),""))</f>
        <v/>
      </c>
      <c r="P922" s="31" t="str">
        <f t="array" ref="P922">IF($A922="","",IFERROR(_xlfn.XLOOKUP($A922,'Movimentação'!$B$7:$B$1006,'Movimentação'!$F$7:$F$1006,"",0,-1),""))</f>
        <v/>
      </c>
      <c r="Q922" s="31">
        <f>IF(COUNTIFS('Manutenção'!$B$7:$B$1006,$A922,'Manutenção'!$H$7:$H$1006,"EM CONSERTO")&gt;0,1,0)</f>
        <v>0</v>
      </c>
    </row>
    <row r="923" ht="15.0" hidden="1" customHeight="1">
      <c r="A923" s="15"/>
      <c r="B923" s="17"/>
      <c r="C923" s="17"/>
      <c r="D923" s="17"/>
      <c r="E923" s="17"/>
      <c r="F923" s="17"/>
      <c r="G923" s="18"/>
      <c r="H923" s="15"/>
      <c r="I923" s="15"/>
      <c r="J923" s="24" t="str">
        <f t="array" ref="J923">IF($A923="","",IFERROR(_xlfn.XLOOKUP($A923,'Movimentação'!$B$7:$B$1006,'Movimentação'!$E$7:$E$1006,"",0,-1),""))</f>
        <v/>
      </c>
      <c r="K923" s="24" t="str">
        <f t="array" ref="K923">IF($A923="","",IFERROR(_xlfn.XLOOKUP($A923,'Movimentação'!$B$7:$B$1006,'Movimentação'!$G$7:$G$1006,"",0,-1),""))</f>
        <v/>
      </c>
      <c r="L923" s="24" t="str">
        <f t="shared" si="3"/>
        <v/>
      </c>
      <c r="M923" s="17"/>
      <c r="N923" s="30" t="str">
        <f t="array" ref="N923">IF($A923="","",IFERROR(IF(OR($L923="BAIXADO",$L923="FURTADO"),0,INDEX(Listas!$J$2:$J$40,MATCH($B923,Listas!$I$2:$I$40,0))),""))</f>
        <v/>
      </c>
      <c r="P923" s="31" t="str">
        <f t="array" ref="P923">IF($A923="","",IFERROR(_xlfn.XLOOKUP($A923,'Movimentação'!$B$7:$B$1006,'Movimentação'!$F$7:$F$1006,"",0,-1),""))</f>
        <v/>
      </c>
      <c r="Q923" s="31">
        <f>IF(COUNTIFS('Manutenção'!$B$7:$B$1006,$A923,'Manutenção'!$H$7:$H$1006,"EM CONSERTO")&gt;0,1,0)</f>
        <v>0</v>
      </c>
    </row>
    <row r="924" ht="15.0" hidden="1" customHeight="1">
      <c r="A924" s="15"/>
      <c r="B924" s="17"/>
      <c r="C924" s="17"/>
      <c r="D924" s="17"/>
      <c r="E924" s="17"/>
      <c r="F924" s="17"/>
      <c r="G924" s="18"/>
      <c r="H924" s="15"/>
      <c r="I924" s="15"/>
      <c r="J924" s="24" t="str">
        <f t="array" ref="J924">IF($A924="","",IFERROR(_xlfn.XLOOKUP($A924,'Movimentação'!$B$7:$B$1006,'Movimentação'!$E$7:$E$1006,"",0,-1),""))</f>
        <v/>
      </c>
      <c r="K924" s="24" t="str">
        <f t="array" ref="K924">IF($A924="","",IFERROR(_xlfn.XLOOKUP($A924,'Movimentação'!$B$7:$B$1006,'Movimentação'!$G$7:$G$1006,"",0,-1),""))</f>
        <v/>
      </c>
      <c r="L924" s="24" t="str">
        <f t="shared" si="3"/>
        <v/>
      </c>
      <c r="M924" s="17"/>
      <c r="N924" s="30" t="str">
        <f t="array" ref="N924">IF($A924="","",IFERROR(IF(OR($L924="BAIXADO",$L924="FURTADO"),0,INDEX(Listas!$J$2:$J$40,MATCH($B924,Listas!$I$2:$I$40,0))),""))</f>
        <v/>
      </c>
      <c r="P924" s="31" t="str">
        <f t="array" ref="P924">IF($A924="","",IFERROR(_xlfn.XLOOKUP($A924,'Movimentação'!$B$7:$B$1006,'Movimentação'!$F$7:$F$1006,"",0,-1),""))</f>
        <v/>
      </c>
      <c r="Q924" s="31">
        <f>IF(COUNTIFS('Manutenção'!$B$7:$B$1006,$A924,'Manutenção'!$H$7:$H$1006,"EM CONSERTO")&gt;0,1,0)</f>
        <v>0</v>
      </c>
    </row>
    <row r="925" ht="15.0" hidden="1" customHeight="1">
      <c r="A925" s="15"/>
      <c r="B925" s="17"/>
      <c r="C925" s="17"/>
      <c r="D925" s="17"/>
      <c r="E925" s="17"/>
      <c r="F925" s="17"/>
      <c r="G925" s="18"/>
      <c r="H925" s="15"/>
      <c r="I925" s="15"/>
      <c r="J925" s="24" t="str">
        <f t="array" ref="J925">IF($A925="","",IFERROR(_xlfn.XLOOKUP($A925,'Movimentação'!$B$7:$B$1006,'Movimentação'!$E$7:$E$1006,"",0,-1),""))</f>
        <v/>
      </c>
      <c r="K925" s="24" t="str">
        <f t="array" ref="K925">IF($A925="","",IFERROR(_xlfn.XLOOKUP($A925,'Movimentação'!$B$7:$B$1006,'Movimentação'!$G$7:$G$1006,"",0,-1),""))</f>
        <v/>
      </c>
      <c r="L925" s="24" t="str">
        <f t="shared" si="3"/>
        <v/>
      </c>
      <c r="M925" s="17"/>
      <c r="N925" s="30" t="str">
        <f t="array" ref="N925">IF($A925="","",IFERROR(IF(OR($L925="BAIXADO",$L925="FURTADO"),0,INDEX(Listas!$J$2:$J$40,MATCH($B925,Listas!$I$2:$I$40,0))),""))</f>
        <v/>
      </c>
      <c r="P925" s="31" t="str">
        <f t="array" ref="P925">IF($A925="","",IFERROR(_xlfn.XLOOKUP($A925,'Movimentação'!$B$7:$B$1006,'Movimentação'!$F$7:$F$1006,"",0,-1),""))</f>
        <v/>
      </c>
      <c r="Q925" s="31">
        <f>IF(COUNTIFS('Manutenção'!$B$7:$B$1006,$A925,'Manutenção'!$H$7:$H$1006,"EM CONSERTO")&gt;0,1,0)</f>
        <v>0</v>
      </c>
    </row>
    <row r="926" ht="15.0" hidden="1" customHeight="1">
      <c r="A926" s="15"/>
      <c r="B926" s="17"/>
      <c r="C926" s="17"/>
      <c r="D926" s="17"/>
      <c r="E926" s="17"/>
      <c r="F926" s="17"/>
      <c r="G926" s="18"/>
      <c r="H926" s="15"/>
      <c r="I926" s="15"/>
      <c r="J926" s="24" t="str">
        <f t="array" ref="J926">IF($A926="","",IFERROR(_xlfn.XLOOKUP($A926,'Movimentação'!$B$7:$B$1006,'Movimentação'!$E$7:$E$1006,"",0,-1),""))</f>
        <v/>
      </c>
      <c r="K926" s="24" t="str">
        <f t="array" ref="K926">IF($A926="","",IFERROR(_xlfn.XLOOKUP($A926,'Movimentação'!$B$7:$B$1006,'Movimentação'!$G$7:$G$1006,"",0,-1),""))</f>
        <v/>
      </c>
      <c r="L926" s="24" t="str">
        <f t="shared" si="3"/>
        <v/>
      </c>
      <c r="M926" s="17"/>
      <c r="N926" s="30" t="str">
        <f t="array" ref="N926">IF($A926="","",IFERROR(IF(OR($L926="BAIXADO",$L926="FURTADO"),0,INDEX(Listas!$J$2:$J$40,MATCH($B926,Listas!$I$2:$I$40,0))),""))</f>
        <v/>
      </c>
      <c r="P926" s="31" t="str">
        <f t="array" ref="P926">IF($A926="","",IFERROR(_xlfn.XLOOKUP($A926,'Movimentação'!$B$7:$B$1006,'Movimentação'!$F$7:$F$1006,"",0,-1),""))</f>
        <v/>
      </c>
      <c r="Q926" s="31">
        <f>IF(COUNTIFS('Manutenção'!$B$7:$B$1006,$A926,'Manutenção'!$H$7:$H$1006,"EM CONSERTO")&gt;0,1,0)</f>
        <v>0</v>
      </c>
    </row>
    <row r="927" ht="15.0" hidden="1" customHeight="1">
      <c r="A927" s="15"/>
      <c r="B927" s="17"/>
      <c r="C927" s="17"/>
      <c r="D927" s="17"/>
      <c r="E927" s="17"/>
      <c r="F927" s="17"/>
      <c r="G927" s="18"/>
      <c r="H927" s="15"/>
      <c r="I927" s="15"/>
      <c r="J927" s="24" t="str">
        <f t="array" ref="J927">IF($A927="","",IFERROR(_xlfn.XLOOKUP($A927,'Movimentação'!$B$7:$B$1006,'Movimentação'!$E$7:$E$1006,"",0,-1),""))</f>
        <v/>
      </c>
      <c r="K927" s="24" t="str">
        <f t="array" ref="K927">IF($A927="","",IFERROR(_xlfn.XLOOKUP($A927,'Movimentação'!$B$7:$B$1006,'Movimentação'!$G$7:$G$1006,"",0,-1),""))</f>
        <v/>
      </c>
      <c r="L927" s="24" t="str">
        <f t="shared" si="3"/>
        <v/>
      </c>
      <c r="M927" s="17"/>
      <c r="N927" s="30" t="str">
        <f t="array" ref="N927">IF($A927="","",IFERROR(IF(OR($L927="BAIXADO",$L927="FURTADO"),0,INDEX(Listas!$J$2:$J$40,MATCH($B927,Listas!$I$2:$I$40,0))),""))</f>
        <v/>
      </c>
      <c r="P927" s="31" t="str">
        <f t="array" ref="P927">IF($A927="","",IFERROR(_xlfn.XLOOKUP($A927,'Movimentação'!$B$7:$B$1006,'Movimentação'!$F$7:$F$1006,"",0,-1),""))</f>
        <v/>
      </c>
      <c r="Q927" s="31">
        <f>IF(COUNTIFS('Manutenção'!$B$7:$B$1006,$A927,'Manutenção'!$H$7:$H$1006,"EM CONSERTO")&gt;0,1,0)</f>
        <v>0</v>
      </c>
    </row>
    <row r="928" ht="15.0" hidden="1" customHeight="1">
      <c r="A928" s="15"/>
      <c r="B928" s="17"/>
      <c r="C928" s="17"/>
      <c r="D928" s="17"/>
      <c r="E928" s="17"/>
      <c r="F928" s="17"/>
      <c r="G928" s="18"/>
      <c r="H928" s="15"/>
      <c r="I928" s="15"/>
      <c r="J928" s="24" t="str">
        <f t="array" ref="J928">IF($A928="","",IFERROR(_xlfn.XLOOKUP($A928,'Movimentação'!$B$7:$B$1006,'Movimentação'!$E$7:$E$1006,"",0,-1),""))</f>
        <v/>
      </c>
      <c r="K928" s="24" t="str">
        <f t="array" ref="K928">IF($A928="","",IFERROR(_xlfn.XLOOKUP($A928,'Movimentação'!$B$7:$B$1006,'Movimentação'!$G$7:$G$1006,"",0,-1),""))</f>
        <v/>
      </c>
      <c r="L928" s="24" t="str">
        <f t="shared" si="3"/>
        <v/>
      </c>
      <c r="M928" s="17"/>
      <c r="N928" s="30" t="str">
        <f t="array" ref="N928">IF($A928="","",IFERROR(IF(OR($L928="BAIXADO",$L928="FURTADO"),0,INDEX(Listas!$J$2:$J$40,MATCH($B928,Listas!$I$2:$I$40,0))),""))</f>
        <v/>
      </c>
      <c r="P928" s="31" t="str">
        <f t="array" ref="P928">IF($A928="","",IFERROR(_xlfn.XLOOKUP($A928,'Movimentação'!$B$7:$B$1006,'Movimentação'!$F$7:$F$1006,"",0,-1),""))</f>
        <v/>
      </c>
      <c r="Q928" s="31">
        <f>IF(COUNTIFS('Manutenção'!$B$7:$B$1006,$A928,'Manutenção'!$H$7:$H$1006,"EM CONSERTO")&gt;0,1,0)</f>
        <v>0</v>
      </c>
    </row>
    <row r="929" ht="15.0" hidden="1" customHeight="1">
      <c r="A929" s="15"/>
      <c r="B929" s="17"/>
      <c r="C929" s="17"/>
      <c r="D929" s="17"/>
      <c r="E929" s="17"/>
      <c r="F929" s="17"/>
      <c r="G929" s="18"/>
      <c r="H929" s="15"/>
      <c r="I929" s="15"/>
      <c r="J929" s="24" t="str">
        <f t="array" ref="J929">IF($A929="","",IFERROR(_xlfn.XLOOKUP($A929,'Movimentação'!$B$7:$B$1006,'Movimentação'!$E$7:$E$1006,"",0,-1),""))</f>
        <v/>
      </c>
      <c r="K929" s="24" t="str">
        <f t="array" ref="K929">IF($A929="","",IFERROR(_xlfn.XLOOKUP($A929,'Movimentação'!$B$7:$B$1006,'Movimentação'!$G$7:$G$1006,"",0,-1),""))</f>
        <v/>
      </c>
      <c r="L929" s="24" t="str">
        <f t="shared" si="3"/>
        <v/>
      </c>
      <c r="M929" s="17"/>
      <c r="N929" s="30" t="str">
        <f t="array" ref="N929">IF($A929="","",IFERROR(IF(OR($L929="BAIXADO",$L929="FURTADO"),0,INDEX(Listas!$J$2:$J$40,MATCH($B929,Listas!$I$2:$I$40,0))),""))</f>
        <v/>
      </c>
      <c r="P929" s="31" t="str">
        <f t="array" ref="P929">IF($A929="","",IFERROR(_xlfn.XLOOKUP($A929,'Movimentação'!$B$7:$B$1006,'Movimentação'!$F$7:$F$1006,"",0,-1),""))</f>
        <v/>
      </c>
      <c r="Q929" s="31">
        <f>IF(COUNTIFS('Manutenção'!$B$7:$B$1006,$A929,'Manutenção'!$H$7:$H$1006,"EM CONSERTO")&gt;0,1,0)</f>
        <v>0</v>
      </c>
    </row>
    <row r="930" ht="15.0" hidden="1" customHeight="1">
      <c r="A930" s="15"/>
      <c r="B930" s="17"/>
      <c r="C930" s="17"/>
      <c r="D930" s="17"/>
      <c r="E930" s="17"/>
      <c r="F930" s="17"/>
      <c r="G930" s="18"/>
      <c r="H930" s="15"/>
      <c r="I930" s="15"/>
      <c r="J930" s="24" t="str">
        <f t="array" ref="J930">IF($A930="","",IFERROR(_xlfn.XLOOKUP($A930,'Movimentação'!$B$7:$B$1006,'Movimentação'!$E$7:$E$1006,"",0,-1),""))</f>
        <v/>
      </c>
      <c r="K930" s="24" t="str">
        <f t="array" ref="K930">IF($A930="","",IFERROR(_xlfn.XLOOKUP($A930,'Movimentação'!$B$7:$B$1006,'Movimentação'!$G$7:$G$1006,"",0,-1),""))</f>
        <v/>
      </c>
      <c r="L930" s="24" t="str">
        <f t="shared" si="3"/>
        <v/>
      </c>
      <c r="M930" s="17"/>
      <c r="N930" s="30" t="str">
        <f t="array" ref="N930">IF($A930="","",IFERROR(IF(OR($L930="BAIXADO",$L930="FURTADO"),0,INDEX(Listas!$J$2:$J$40,MATCH($B930,Listas!$I$2:$I$40,0))),""))</f>
        <v/>
      </c>
      <c r="P930" s="31" t="str">
        <f t="array" ref="P930">IF($A930="","",IFERROR(_xlfn.XLOOKUP($A930,'Movimentação'!$B$7:$B$1006,'Movimentação'!$F$7:$F$1006,"",0,-1),""))</f>
        <v/>
      </c>
      <c r="Q930" s="31">
        <f>IF(COUNTIFS('Manutenção'!$B$7:$B$1006,$A930,'Manutenção'!$H$7:$H$1006,"EM CONSERTO")&gt;0,1,0)</f>
        <v>0</v>
      </c>
    </row>
    <row r="931" ht="15.0" hidden="1" customHeight="1">
      <c r="A931" s="15"/>
      <c r="B931" s="17"/>
      <c r="C931" s="17"/>
      <c r="D931" s="17"/>
      <c r="E931" s="17"/>
      <c r="F931" s="17"/>
      <c r="G931" s="18"/>
      <c r="H931" s="15"/>
      <c r="I931" s="15"/>
      <c r="J931" s="24" t="str">
        <f t="array" ref="J931">IF($A931="","",IFERROR(_xlfn.XLOOKUP($A931,'Movimentação'!$B$7:$B$1006,'Movimentação'!$E$7:$E$1006,"",0,-1),""))</f>
        <v/>
      </c>
      <c r="K931" s="24" t="str">
        <f t="array" ref="K931">IF($A931="","",IFERROR(_xlfn.XLOOKUP($A931,'Movimentação'!$B$7:$B$1006,'Movimentação'!$G$7:$G$1006,"",0,-1),""))</f>
        <v/>
      </c>
      <c r="L931" s="24" t="str">
        <f t="shared" si="3"/>
        <v/>
      </c>
      <c r="M931" s="17"/>
      <c r="N931" s="30" t="str">
        <f t="array" ref="N931">IF($A931="","",IFERROR(IF(OR($L931="BAIXADO",$L931="FURTADO"),0,INDEX(Listas!$J$2:$J$40,MATCH($B931,Listas!$I$2:$I$40,0))),""))</f>
        <v/>
      </c>
      <c r="P931" s="31" t="str">
        <f t="array" ref="P931">IF($A931="","",IFERROR(_xlfn.XLOOKUP($A931,'Movimentação'!$B$7:$B$1006,'Movimentação'!$F$7:$F$1006,"",0,-1),""))</f>
        <v/>
      </c>
      <c r="Q931" s="31">
        <f>IF(COUNTIFS('Manutenção'!$B$7:$B$1006,$A931,'Manutenção'!$H$7:$H$1006,"EM CONSERTO")&gt;0,1,0)</f>
        <v>0</v>
      </c>
    </row>
    <row r="932" ht="15.0" hidden="1" customHeight="1">
      <c r="A932" s="15"/>
      <c r="B932" s="17"/>
      <c r="C932" s="17"/>
      <c r="D932" s="17"/>
      <c r="E932" s="17"/>
      <c r="F932" s="17"/>
      <c r="G932" s="18"/>
      <c r="H932" s="15"/>
      <c r="I932" s="15"/>
      <c r="J932" s="24" t="str">
        <f t="array" ref="J932">IF($A932="","",IFERROR(_xlfn.XLOOKUP($A932,'Movimentação'!$B$7:$B$1006,'Movimentação'!$E$7:$E$1006,"",0,-1),""))</f>
        <v/>
      </c>
      <c r="K932" s="24" t="str">
        <f t="array" ref="K932">IF($A932="","",IFERROR(_xlfn.XLOOKUP($A932,'Movimentação'!$B$7:$B$1006,'Movimentação'!$G$7:$G$1006,"",0,-1),""))</f>
        <v/>
      </c>
      <c r="L932" s="24" t="str">
        <f t="shared" si="3"/>
        <v/>
      </c>
      <c r="M932" s="17"/>
      <c r="N932" s="30" t="str">
        <f t="array" ref="N932">IF($A932="","",IFERROR(IF(OR($L932="BAIXADO",$L932="FURTADO"),0,INDEX(Listas!$J$2:$J$40,MATCH($B932,Listas!$I$2:$I$40,0))),""))</f>
        <v/>
      </c>
      <c r="P932" s="31" t="str">
        <f t="array" ref="P932">IF($A932="","",IFERROR(_xlfn.XLOOKUP($A932,'Movimentação'!$B$7:$B$1006,'Movimentação'!$F$7:$F$1006,"",0,-1),""))</f>
        <v/>
      </c>
      <c r="Q932" s="31">
        <f>IF(COUNTIFS('Manutenção'!$B$7:$B$1006,$A932,'Manutenção'!$H$7:$H$1006,"EM CONSERTO")&gt;0,1,0)</f>
        <v>0</v>
      </c>
    </row>
    <row r="933" ht="15.0" hidden="1" customHeight="1">
      <c r="A933" s="15"/>
      <c r="B933" s="17"/>
      <c r="C933" s="17"/>
      <c r="D933" s="17"/>
      <c r="E933" s="17"/>
      <c r="F933" s="17"/>
      <c r="G933" s="18"/>
      <c r="H933" s="15"/>
      <c r="I933" s="15"/>
      <c r="J933" s="24" t="str">
        <f t="array" ref="J933">IF($A933="","",IFERROR(_xlfn.XLOOKUP($A933,'Movimentação'!$B$7:$B$1006,'Movimentação'!$E$7:$E$1006,"",0,-1),""))</f>
        <v/>
      </c>
      <c r="K933" s="24" t="str">
        <f t="array" ref="K933">IF($A933="","",IFERROR(_xlfn.XLOOKUP($A933,'Movimentação'!$B$7:$B$1006,'Movimentação'!$G$7:$G$1006,"",0,-1),""))</f>
        <v/>
      </c>
      <c r="L933" s="24" t="str">
        <f t="shared" si="3"/>
        <v/>
      </c>
      <c r="M933" s="17"/>
      <c r="N933" s="30" t="str">
        <f t="array" ref="N933">IF($A933="","",IFERROR(IF(OR($L933="BAIXADO",$L933="FURTADO"),0,INDEX(Listas!$J$2:$J$40,MATCH($B933,Listas!$I$2:$I$40,0))),""))</f>
        <v/>
      </c>
      <c r="P933" s="31" t="str">
        <f t="array" ref="P933">IF($A933="","",IFERROR(_xlfn.XLOOKUP($A933,'Movimentação'!$B$7:$B$1006,'Movimentação'!$F$7:$F$1006,"",0,-1),""))</f>
        <v/>
      </c>
      <c r="Q933" s="31">
        <f>IF(COUNTIFS('Manutenção'!$B$7:$B$1006,$A933,'Manutenção'!$H$7:$H$1006,"EM CONSERTO")&gt;0,1,0)</f>
        <v>0</v>
      </c>
    </row>
    <row r="934" ht="15.0" hidden="1" customHeight="1">
      <c r="A934" s="15"/>
      <c r="B934" s="17"/>
      <c r="C934" s="17"/>
      <c r="D934" s="17"/>
      <c r="E934" s="17"/>
      <c r="F934" s="17"/>
      <c r="G934" s="18"/>
      <c r="H934" s="15"/>
      <c r="I934" s="15"/>
      <c r="J934" s="24" t="str">
        <f t="array" ref="J934">IF($A934="","",IFERROR(_xlfn.XLOOKUP($A934,'Movimentação'!$B$7:$B$1006,'Movimentação'!$E$7:$E$1006,"",0,-1),""))</f>
        <v/>
      </c>
      <c r="K934" s="24" t="str">
        <f t="array" ref="K934">IF($A934="","",IFERROR(_xlfn.XLOOKUP($A934,'Movimentação'!$B$7:$B$1006,'Movimentação'!$G$7:$G$1006,"",0,-1),""))</f>
        <v/>
      </c>
      <c r="L934" s="24" t="str">
        <f t="shared" si="3"/>
        <v/>
      </c>
      <c r="M934" s="17"/>
      <c r="N934" s="30" t="str">
        <f t="array" ref="N934">IF($A934="","",IFERROR(IF(OR($L934="BAIXADO",$L934="FURTADO"),0,INDEX(Listas!$J$2:$J$40,MATCH($B934,Listas!$I$2:$I$40,0))),""))</f>
        <v/>
      </c>
      <c r="P934" s="31" t="str">
        <f t="array" ref="P934">IF($A934="","",IFERROR(_xlfn.XLOOKUP($A934,'Movimentação'!$B$7:$B$1006,'Movimentação'!$F$7:$F$1006,"",0,-1),""))</f>
        <v/>
      </c>
      <c r="Q934" s="31">
        <f>IF(COUNTIFS('Manutenção'!$B$7:$B$1006,$A934,'Manutenção'!$H$7:$H$1006,"EM CONSERTO")&gt;0,1,0)</f>
        <v>0</v>
      </c>
    </row>
    <row r="935" ht="15.0" hidden="1" customHeight="1">
      <c r="A935" s="15"/>
      <c r="B935" s="17"/>
      <c r="C935" s="17"/>
      <c r="D935" s="17"/>
      <c r="E935" s="17"/>
      <c r="F935" s="17"/>
      <c r="G935" s="18"/>
      <c r="H935" s="15"/>
      <c r="I935" s="15"/>
      <c r="J935" s="24" t="str">
        <f t="array" ref="J935">IF($A935="","",IFERROR(_xlfn.XLOOKUP($A935,'Movimentação'!$B$7:$B$1006,'Movimentação'!$E$7:$E$1006,"",0,-1),""))</f>
        <v/>
      </c>
      <c r="K935" s="24" t="str">
        <f t="array" ref="K935">IF($A935="","",IFERROR(_xlfn.XLOOKUP($A935,'Movimentação'!$B$7:$B$1006,'Movimentação'!$G$7:$G$1006,"",0,-1),""))</f>
        <v/>
      </c>
      <c r="L935" s="24" t="str">
        <f t="shared" si="3"/>
        <v/>
      </c>
      <c r="M935" s="17"/>
      <c r="N935" s="30" t="str">
        <f t="array" ref="N935">IF($A935="","",IFERROR(IF(OR($L935="BAIXADO",$L935="FURTADO"),0,INDEX(Listas!$J$2:$J$40,MATCH($B935,Listas!$I$2:$I$40,0))),""))</f>
        <v/>
      </c>
      <c r="P935" s="31" t="str">
        <f t="array" ref="P935">IF($A935="","",IFERROR(_xlfn.XLOOKUP($A935,'Movimentação'!$B$7:$B$1006,'Movimentação'!$F$7:$F$1006,"",0,-1),""))</f>
        <v/>
      </c>
      <c r="Q935" s="31">
        <f>IF(COUNTIFS('Manutenção'!$B$7:$B$1006,$A935,'Manutenção'!$H$7:$H$1006,"EM CONSERTO")&gt;0,1,0)</f>
        <v>0</v>
      </c>
    </row>
    <row r="936" ht="15.0" hidden="1" customHeight="1">
      <c r="A936" s="15"/>
      <c r="B936" s="17"/>
      <c r="C936" s="17"/>
      <c r="D936" s="17"/>
      <c r="E936" s="17"/>
      <c r="F936" s="17"/>
      <c r="G936" s="18"/>
      <c r="H936" s="15"/>
      <c r="I936" s="15"/>
      <c r="J936" s="24" t="str">
        <f t="array" ref="J936">IF($A936="","",IFERROR(_xlfn.XLOOKUP($A936,'Movimentação'!$B$7:$B$1006,'Movimentação'!$E$7:$E$1006,"",0,-1),""))</f>
        <v/>
      </c>
      <c r="K936" s="24" t="str">
        <f t="array" ref="K936">IF($A936="","",IFERROR(_xlfn.XLOOKUP($A936,'Movimentação'!$B$7:$B$1006,'Movimentação'!$G$7:$G$1006,"",0,-1),""))</f>
        <v/>
      </c>
      <c r="L936" s="24" t="str">
        <f t="shared" si="3"/>
        <v/>
      </c>
      <c r="M936" s="17"/>
      <c r="N936" s="30" t="str">
        <f t="array" ref="N936">IF($A936="","",IFERROR(IF(OR($L936="BAIXADO",$L936="FURTADO"),0,INDEX(Listas!$J$2:$J$40,MATCH($B936,Listas!$I$2:$I$40,0))),""))</f>
        <v/>
      </c>
      <c r="P936" s="31" t="str">
        <f t="array" ref="P936">IF($A936="","",IFERROR(_xlfn.XLOOKUP($A936,'Movimentação'!$B$7:$B$1006,'Movimentação'!$F$7:$F$1006,"",0,-1),""))</f>
        <v/>
      </c>
      <c r="Q936" s="31">
        <f>IF(COUNTIFS('Manutenção'!$B$7:$B$1006,$A936,'Manutenção'!$H$7:$H$1006,"EM CONSERTO")&gt;0,1,0)</f>
        <v>0</v>
      </c>
    </row>
    <row r="937" ht="15.0" hidden="1" customHeight="1">
      <c r="A937" s="15"/>
      <c r="B937" s="17"/>
      <c r="C937" s="17"/>
      <c r="D937" s="17"/>
      <c r="E937" s="17"/>
      <c r="F937" s="17"/>
      <c r="G937" s="18"/>
      <c r="H937" s="15"/>
      <c r="I937" s="15"/>
      <c r="J937" s="24" t="str">
        <f t="array" ref="J937">IF($A937="","",IFERROR(_xlfn.XLOOKUP($A937,'Movimentação'!$B$7:$B$1006,'Movimentação'!$E$7:$E$1006,"",0,-1),""))</f>
        <v/>
      </c>
      <c r="K937" s="24" t="str">
        <f t="array" ref="K937">IF($A937="","",IFERROR(_xlfn.XLOOKUP($A937,'Movimentação'!$B$7:$B$1006,'Movimentação'!$G$7:$G$1006,"",0,-1),""))</f>
        <v/>
      </c>
      <c r="L937" s="24" t="str">
        <f t="shared" si="3"/>
        <v/>
      </c>
      <c r="M937" s="17"/>
      <c r="N937" s="30" t="str">
        <f t="array" ref="N937">IF($A937="","",IFERROR(IF(OR($L937="BAIXADO",$L937="FURTADO"),0,INDEX(Listas!$J$2:$J$40,MATCH($B937,Listas!$I$2:$I$40,0))),""))</f>
        <v/>
      </c>
      <c r="P937" s="31" t="str">
        <f t="array" ref="P937">IF($A937="","",IFERROR(_xlfn.XLOOKUP($A937,'Movimentação'!$B$7:$B$1006,'Movimentação'!$F$7:$F$1006,"",0,-1),""))</f>
        <v/>
      </c>
      <c r="Q937" s="31">
        <f>IF(COUNTIFS('Manutenção'!$B$7:$B$1006,$A937,'Manutenção'!$H$7:$H$1006,"EM CONSERTO")&gt;0,1,0)</f>
        <v>0</v>
      </c>
    </row>
    <row r="938" ht="15.0" hidden="1" customHeight="1">
      <c r="A938" s="15"/>
      <c r="B938" s="17"/>
      <c r="C938" s="17"/>
      <c r="D938" s="17"/>
      <c r="E938" s="17"/>
      <c r="F938" s="17"/>
      <c r="G938" s="18"/>
      <c r="H938" s="15"/>
      <c r="I938" s="15"/>
      <c r="J938" s="24" t="str">
        <f t="array" ref="J938">IF($A938="","",IFERROR(_xlfn.XLOOKUP($A938,'Movimentação'!$B$7:$B$1006,'Movimentação'!$E$7:$E$1006,"",0,-1),""))</f>
        <v/>
      </c>
      <c r="K938" s="24" t="str">
        <f t="array" ref="K938">IF($A938="","",IFERROR(_xlfn.XLOOKUP($A938,'Movimentação'!$B$7:$B$1006,'Movimentação'!$G$7:$G$1006,"",0,-1),""))</f>
        <v/>
      </c>
      <c r="L938" s="24" t="str">
        <f t="shared" si="3"/>
        <v/>
      </c>
      <c r="M938" s="17"/>
      <c r="N938" s="30" t="str">
        <f t="array" ref="N938">IF($A938="","",IFERROR(IF(OR($L938="BAIXADO",$L938="FURTADO"),0,INDEX(Listas!$J$2:$J$40,MATCH($B938,Listas!$I$2:$I$40,0))),""))</f>
        <v/>
      </c>
      <c r="P938" s="31" t="str">
        <f t="array" ref="P938">IF($A938="","",IFERROR(_xlfn.XLOOKUP($A938,'Movimentação'!$B$7:$B$1006,'Movimentação'!$F$7:$F$1006,"",0,-1),""))</f>
        <v/>
      </c>
      <c r="Q938" s="31">
        <f>IF(COUNTIFS('Manutenção'!$B$7:$B$1006,$A938,'Manutenção'!$H$7:$H$1006,"EM CONSERTO")&gt;0,1,0)</f>
        <v>0</v>
      </c>
    </row>
    <row r="939" ht="15.0" hidden="1" customHeight="1">
      <c r="A939" s="15"/>
      <c r="B939" s="17"/>
      <c r="C939" s="17"/>
      <c r="D939" s="17"/>
      <c r="E939" s="17"/>
      <c r="F939" s="17"/>
      <c r="G939" s="18"/>
      <c r="H939" s="15"/>
      <c r="I939" s="15"/>
      <c r="J939" s="24" t="str">
        <f t="array" ref="J939">IF($A939="","",IFERROR(_xlfn.XLOOKUP($A939,'Movimentação'!$B$7:$B$1006,'Movimentação'!$E$7:$E$1006,"",0,-1),""))</f>
        <v/>
      </c>
      <c r="K939" s="24" t="str">
        <f t="array" ref="K939">IF($A939="","",IFERROR(_xlfn.XLOOKUP($A939,'Movimentação'!$B$7:$B$1006,'Movimentação'!$G$7:$G$1006,"",0,-1),""))</f>
        <v/>
      </c>
      <c r="L939" s="24" t="str">
        <f t="shared" si="3"/>
        <v/>
      </c>
      <c r="M939" s="17"/>
      <c r="N939" s="30" t="str">
        <f t="array" ref="N939">IF($A939="","",IFERROR(IF(OR($L939="BAIXADO",$L939="FURTADO"),0,INDEX(Listas!$J$2:$J$40,MATCH($B939,Listas!$I$2:$I$40,0))),""))</f>
        <v/>
      </c>
      <c r="P939" s="31" t="str">
        <f t="array" ref="P939">IF($A939="","",IFERROR(_xlfn.XLOOKUP($A939,'Movimentação'!$B$7:$B$1006,'Movimentação'!$F$7:$F$1006,"",0,-1),""))</f>
        <v/>
      </c>
      <c r="Q939" s="31">
        <f>IF(COUNTIFS('Manutenção'!$B$7:$B$1006,$A939,'Manutenção'!$H$7:$H$1006,"EM CONSERTO")&gt;0,1,0)</f>
        <v>0</v>
      </c>
    </row>
    <row r="940" ht="15.0" hidden="1" customHeight="1">
      <c r="A940" s="15"/>
      <c r="B940" s="17"/>
      <c r="C940" s="17"/>
      <c r="D940" s="17"/>
      <c r="E940" s="17"/>
      <c r="F940" s="17"/>
      <c r="G940" s="18"/>
      <c r="H940" s="15"/>
      <c r="I940" s="15"/>
      <c r="J940" s="24" t="str">
        <f t="array" ref="J940">IF($A940="","",IFERROR(_xlfn.XLOOKUP($A940,'Movimentação'!$B$7:$B$1006,'Movimentação'!$E$7:$E$1006,"",0,-1),""))</f>
        <v/>
      </c>
      <c r="K940" s="24" t="str">
        <f t="array" ref="K940">IF($A940="","",IFERROR(_xlfn.XLOOKUP($A940,'Movimentação'!$B$7:$B$1006,'Movimentação'!$G$7:$G$1006,"",0,-1),""))</f>
        <v/>
      </c>
      <c r="L940" s="24" t="str">
        <f t="shared" si="3"/>
        <v/>
      </c>
      <c r="M940" s="17"/>
      <c r="N940" s="30" t="str">
        <f t="array" ref="N940">IF($A940="","",IFERROR(IF(OR($L940="BAIXADO",$L940="FURTADO"),0,INDEX(Listas!$J$2:$J$40,MATCH($B940,Listas!$I$2:$I$40,0))),""))</f>
        <v/>
      </c>
      <c r="P940" s="31" t="str">
        <f t="array" ref="P940">IF($A940="","",IFERROR(_xlfn.XLOOKUP($A940,'Movimentação'!$B$7:$B$1006,'Movimentação'!$F$7:$F$1006,"",0,-1),""))</f>
        <v/>
      </c>
      <c r="Q940" s="31">
        <f>IF(COUNTIFS('Manutenção'!$B$7:$B$1006,$A940,'Manutenção'!$H$7:$H$1006,"EM CONSERTO")&gt;0,1,0)</f>
        <v>0</v>
      </c>
    </row>
    <row r="941" ht="15.0" hidden="1" customHeight="1">
      <c r="A941" s="15"/>
      <c r="B941" s="17"/>
      <c r="C941" s="17"/>
      <c r="D941" s="17"/>
      <c r="E941" s="17"/>
      <c r="F941" s="17"/>
      <c r="G941" s="18"/>
      <c r="H941" s="15"/>
      <c r="I941" s="15"/>
      <c r="J941" s="24" t="str">
        <f t="array" ref="J941">IF($A941="","",IFERROR(_xlfn.XLOOKUP($A941,'Movimentação'!$B$7:$B$1006,'Movimentação'!$E$7:$E$1006,"",0,-1),""))</f>
        <v/>
      </c>
      <c r="K941" s="24" t="str">
        <f t="array" ref="K941">IF($A941="","",IFERROR(_xlfn.XLOOKUP($A941,'Movimentação'!$B$7:$B$1006,'Movimentação'!$G$7:$G$1006,"",0,-1),""))</f>
        <v/>
      </c>
      <c r="L941" s="24" t="str">
        <f t="shared" si="3"/>
        <v/>
      </c>
      <c r="M941" s="17"/>
      <c r="N941" s="30" t="str">
        <f t="array" ref="N941">IF($A941="","",IFERROR(IF(OR($L941="BAIXADO",$L941="FURTADO"),0,INDEX(Listas!$J$2:$J$40,MATCH($B941,Listas!$I$2:$I$40,0))),""))</f>
        <v/>
      </c>
      <c r="P941" s="31" t="str">
        <f t="array" ref="P941">IF($A941="","",IFERROR(_xlfn.XLOOKUP($A941,'Movimentação'!$B$7:$B$1006,'Movimentação'!$F$7:$F$1006,"",0,-1),""))</f>
        <v/>
      </c>
      <c r="Q941" s="31">
        <f>IF(COUNTIFS('Manutenção'!$B$7:$B$1006,$A941,'Manutenção'!$H$7:$H$1006,"EM CONSERTO")&gt;0,1,0)</f>
        <v>0</v>
      </c>
    </row>
    <row r="942" ht="15.0" hidden="1" customHeight="1">
      <c r="A942" s="15"/>
      <c r="B942" s="17"/>
      <c r="C942" s="17"/>
      <c r="D942" s="17"/>
      <c r="E942" s="17"/>
      <c r="F942" s="17"/>
      <c r="G942" s="18"/>
      <c r="H942" s="15"/>
      <c r="I942" s="15"/>
      <c r="J942" s="24" t="str">
        <f t="array" ref="J942">IF($A942="","",IFERROR(_xlfn.XLOOKUP($A942,'Movimentação'!$B$7:$B$1006,'Movimentação'!$E$7:$E$1006,"",0,-1),""))</f>
        <v/>
      </c>
      <c r="K942" s="24" t="str">
        <f t="array" ref="K942">IF($A942="","",IFERROR(_xlfn.XLOOKUP($A942,'Movimentação'!$B$7:$B$1006,'Movimentação'!$G$7:$G$1006,"",0,-1),""))</f>
        <v/>
      </c>
      <c r="L942" s="24" t="str">
        <f t="shared" si="3"/>
        <v/>
      </c>
      <c r="M942" s="17"/>
      <c r="N942" s="30" t="str">
        <f t="array" ref="N942">IF($A942="","",IFERROR(IF(OR($L942="BAIXADO",$L942="FURTADO"),0,INDEX(Listas!$J$2:$J$40,MATCH($B942,Listas!$I$2:$I$40,0))),""))</f>
        <v/>
      </c>
      <c r="P942" s="31" t="str">
        <f t="array" ref="P942">IF($A942="","",IFERROR(_xlfn.XLOOKUP($A942,'Movimentação'!$B$7:$B$1006,'Movimentação'!$F$7:$F$1006,"",0,-1),""))</f>
        <v/>
      </c>
      <c r="Q942" s="31">
        <f>IF(COUNTIFS('Manutenção'!$B$7:$B$1006,$A942,'Manutenção'!$H$7:$H$1006,"EM CONSERTO")&gt;0,1,0)</f>
        <v>0</v>
      </c>
    </row>
    <row r="943" ht="15.0" hidden="1" customHeight="1">
      <c r="A943" s="15"/>
      <c r="B943" s="17"/>
      <c r="C943" s="17"/>
      <c r="D943" s="17"/>
      <c r="E943" s="17"/>
      <c r="F943" s="17"/>
      <c r="G943" s="18"/>
      <c r="H943" s="15"/>
      <c r="I943" s="15"/>
      <c r="J943" s="24" t="str">
        <f t="array" ref="J943">IF($A943="","",IFERROR(_xlfn.XLOOKUP($A943,'Movimentação'!$B$7:$B$1006,'Movimentação'!$E$7:$E$1006,"",0,-1),""))</f>
        <v/>
      </c>
      <c r="K943" s="24" t="str">
        <f t="array" ref="K943">IF($A943="","",IFERROR(_xlfn.XLOOKUP($A943,'Movimentação'!$B$7:$B$1006,'Movimentação'!$G$7:$G$1006,"",0,-1),""))</f>
        <v/>
      </c>
      <c r="L943" s="24" t="str">
        <f t="shared" si="3"/>
        <v/>
      </c>
      <c r="M943" s="17"/>
      <c r="N943" s="30" t="str">
        <f t="array" ref="N943">IF($A943="","",IFERROR(IF(OR($L943="BAIXADO",$L943="FURTADO"),0,INDEX(Listas!$J$2:$J$40,MATCH($B943,Listas!$I$2:$I$40,0))),""))</f>
        <v/>
      </c>
      <c r="P943" s="31" t="str">
        <f t="array" ref="P943">IF($A943="","",IFERROR(_xlfn.XLOOKUP($A943,'Movimentação'!$B$7:$B$1006,'Movimentação'!$F$7:$F$1006,"",0,-1),""))</f>
        <v/>
      </c>
      <c r="Q943" s="31">
        <f>IF(COUNTIFS('Manutenção'!$B$7:$B$1006,$A943,'Manutenção'!$H$7:$H$1006,"EM CONSERTO")&gt;0,1,0)</f>
        <v>0</v>
      </c>
    </row>
    <row r="944" ht="15.0" hidden="1" customHeight="1">
      <c r="A944" s="15"/>
      <c r="B944" s="17"/>
      <c r="C944" s="17"/>
      <c r="D944" s="17"/>
      <c r="E944" s="17"/>
      <c r="F944" s="17"/>
      <c r="G944" s="18"/>
      <c r="H944" s="15"/>
      <c r="I944" s="15"/>
      <c r="J944" s="24" t="str">
        <f t="array" ref="J944">IF($A944="","",IFERROR(_xlfn.XLOOKUP($A944,'Movimentação'!$B$7:$B$1006,'Movimentação'!$E$7:$E$1006,"",0,-1),""))</f>
        <v/>
      </c>
      <c r="K944" s="24" t="str">
        <f t="array" ref="K944">IF($A944="","",IFERROR(_xlfn.XLOOKUP($A944,'Movimentação'!$B$7:$B$1006,'Movimentação'!$G$7:$G$1006,"",0,-1),""))</f>
        <v/>
      </c>
      <c r="L944" s="24" t="str">
        <f t="shared" si="3"/>
        <v/>
      </c>
      <c r="M944" s="17"/>
      <c r="N944" s="30" t="str">
        <f t="array" ref="N944">IF($A944="","",IFERROR(IF(OR($L944="BAIXADO",$L944="FURTADO"),0,INDEX(Listas!$J$2:$J$40,MATCH($B944,Listas!$I$2:$I$40,0))),""))</f>
        <v/>
      </c>
      <c r="P944" s="31" t="str">
        <f t="array" ref="P944">IF($A944="","",IFERROR(_xlfn.XLOOKUP($A944,'Movimentação'!$B$7:$B$1006,'Movimentação'!$F$7:$F$1006,"",0,-1),""))</f>
        <v/>
      </c>
      <c r="Q944" s="31">
        <f>IF(COUNTIFS('Manutenção'!$B$7:$B$1006,$A944,'Manutenção'!$H$7:$H$1006,"EM CONSERTO")&gt;0,1,0)</f>
        <v>0</v>
      </c>
    </row>
    <row r="945" ht="15.0" hidden="1" customHeight="1">
      <c r="A945" s="15"/>
      <c r="B945" s="17"/>
      <c r="C945" s="17"/>
      <c r="D945" s="17"/>
      <c r="E945" s="17"/>
      <c r="F945" s="17"/>
      <c r="G945" s="18"/>
      <c r="H945" s="15"/>
      <c r="I945" s="15"/>
      <c r="J945" s="24" t="str">
        <f t="array" ref="J945">IF($A945="","",IFERROR(_xlfn.XLOOKUP($A945,'Movimentação'!$B$7:$B$1006,'Movimentação'!$E$7:$E$1006,"",0,-1),""))</f>
        <v/>
      </c>
      <c r="K945" s="24" t="str">
        <f t="array" ref="K945">IF($A945="","",IFERROR(_xlfn.XLOOKUP($A945,'Movimentação'!$B$7:$B$1006,'Movimentação'!$G$7:$G$1006,"",0,-1),""))</f>
        <v/>
      </c>
      <c r="L945" s="24" t="str">
        <f t="shared" si="3"/>
        <v/>
      </c>
      <c r="M945" s="17"/>
      <c r="N945" s="30" t="str">
        <f t="array" ref="N945">IF($A945="","",IFERROR(IF(OR($L945="BAIXADO",$L945="FURTADO"),0,INDEX(Listas!$J$2:$J$40,MATCH($B945,Listas!$I$2:$I$40,0))),""))</f>
        <v/>
      </c>
      <c r="P945" s="31" t="str">
        <f t="array" ref="P945">IF($A945="","",IFERROR(_xlfn.XLOOKUP($A945,'Movimentação'!$B$7:$B$1006,'Movimentação'!$F$7:$F$1006,"",0,-1),""))</f>
        <v/>
      </c>
      <c r="Q945" s="31">
        <f>IF(COUNTIFS('Manutenção'!$B$7:$B$1006,$A945,'Manutenção'!$H$7:$H$1006,"EM CONSERTO")&gt;0,1,0)</f>
        <v>0</v>
      </c>
    </row>
    <row r="946" ht="15.0" hidden="1" customHeight="1">
      <c r="A946" s="15"/>
      <c r="B946" s="17"/>
      <c r="C946" s="17"/>
      <c r="D946" s="17"/>
      <c r="E946" s="17"/>
      <c r="F946" s="17"/>
      <c r="G946" s="18"/>
      <c r="H946" s="15"/>
      <c r="I946" s="15"/>
      <c r="J946" s="24" t="str">
        <f t="array" ref="J946">IF($A946="","",IFERROR(_xlfn.XLOOKUP($A946,'Movimentação'!$B$7:$B$1006,'Movimentação'!$E$7:$E$1006,"",0,-1),""))</f>
        <v/>
      </c>
      <c r="K946" s="24" t="str">
        <f t="array" ref="K946">IF($A946="","",IFERROR(_xlfn.XLOOKUP($A946,'Movimentação'!$B$7:$B$1006,'Movimentação'!$G$7:$G$1006,"",0,-1),""))</f>
        <v/>
      </c>
      <c r="L946" s="24" t="str">
        <f t="shared" si="3"/>
        <v/>
      </c>
      <c r="M946" s="17"/>
      <c r="N946" s="30" t="str">
        <f t="array" ref="N946">IF($A946="","",IFERROR(IF(OR($L946="BAIXADO",$L946="FURTADO"),0,INDEX(Listas!$J$2:$J$40,MATCH($B946,Listas!$I$2:$I$40,0))),""))</f>
        <v/>
      </c>
      <c r="P946" s="31" t="str">
        <f t="array" ref="P946">IF($A946="","",IFERROR(_xlfn.XLOOKUP($A946,'Movimentação'!$B$7:$B$1006,'Movimentação'!$F$7:$F$1006,"",0,-1),""))</f>
        <v/>
      </c>
      <c r="Q946" s="31">
        <f>IF(COUNTIFS('Manutenção'!$B$7:$B$1006,$A946,'Manutenção'!$H$7:$H$1006,"EM CONSERTO")&gt;0,1,0)</f>
        <v>0</v>
      </c>
    </row>
    <row r="947" ht="15.0" hidden="1" customHeight="1">
      <c r="A947" s="15"/>
      <c r="B947" s="17"/>
      <c r="C947" s="17"/>
      <c r="D947" s="17"/>
      <c r="E947" s="17"/>
      <c r="F947" s="17"/>
      <c r="G947" s="18"/>
      <c r="H947" s="15"/>
      <c r="I947" s="15"/>
      <c r="J947" s="24" t="str">
        <f t="array" ref="J947">IF($A947="","",IFERROR(_xlfn.XLOOKUP($A947,'Movimentação'!$B$7:$B$1006,'Movimentação'!$E$7:$E$1006,"",0,-1),""))</f>
        <v/>
      </c>
      <c r="K947" s="24" t="str">
        <f t="array" ref="K947">IF($A947="","",IFERROR(_xlfn.XLOOKUP($A947,'Movimentação'!$B$7:$B$1006,'Movimentação'!$G$7:$G$1006,"",0,-1),""))</f>
        <v/>
      </c>
      <c r="L947" s="24" t="str">
        <f t="shared" si="3"/>
        <v/>
      </c>
      <c r="M947" s="17"/>
      <c r="N947" s="30" t="str">
        <f t="array" ref="N947">IF($A947="","",IFERROR(IF(OR($L947="BAIXADO",$L947="FURTADO"),0,INDEX(Listas!$J$2:$J$40,MATCH($B947,Listas!$I$2:$I$40,0))),""))</f>
        <v/>
      </c>
      <c r="P947" s="31" t="str">
        <f t="array" ref="P947">IF($A947="","",IFERROR(_xlfn.XLOOKUP($A947,'Movimentação'!$B$7:$B$1006,'Movimentação'!$F$7:$F$1006,"",0,-1),""))</f>
        <v/>
      </c>
      <c r="Q947" s="31">
        <f>IF(COUNTIFS('Manutenção'!$B$7:$B$1006,$A947,'Manutenção'!$H$7:$H$1006,"EM CONSERTO")&gt;0,1,0)</f>
        <v>0</v>
      </c>
    </row>
    <row r="948" ht="15.0" hidden="1" customHeight="1">
      <c r="A948" s="15"/>
      <c r="B948" s="17"/>
      <c r="C948" s="17"/>
      <c r="D948" s="17"/>
      <c r="E948" s="17"/>
      <c r="F948" s="17"/>
      <c r="G948" s="18"/>
      <c r="H948" s="15"/>
      <c r="I948" s="15"/>
      <c r="J948" s="24" t="str">
        <f t="array" ref="J948">IF($A948="","",IFERROR(_xlfn.XLOOKUP($A948,'Movimentação'!$B$7:$B$1006,'Movimentação'!$E$7:$E$1006,"",0,-1),""))</f>
        <v/>
      </c>
      <c r="K948" s="24" t="str">
        <f t="array" ref="K948">IF($A948="","",IFERROR(_xlfn.XLOOKUP($A948,'Movimentação'!$B$7:$B$1006,'Movimentação'!$G$7:$G$1006,"",0,-1),""))</f>
        <v/>
      </c>
      <c r="L948" s="24" t="str">
        <f t="shared" si="3"/>
        <v/>
      </c>
      <c r="M948" s="17"/>
      <c r="N948" s="30" t="str">
        <f t="array" ref="N948">IF($A948="","",IFERROR(IF(OR($L948="BAIXADO",$L948="FURTADO"),0,INDEX(Listas!$J$2:$J$40,MATCH($B948,Listas!$I$2:$I$40,0))),""))</f>
        <v/>
      </c>
      <c r="P948" s="31" t="str">
        <f t="array" ref="P948">IF($A948="","",IFERROR(_xlfn.XLOOKUP($A948,'Movimentação'!$B$7:$B$1006,'Movimentação'!$F$7:$F$1006,"",0,-1),""))</f>
        <v/>
      </c>
      <c r="Q948" s="31">
        <f>IF(COUNTIFS('Manutenção'!$B$7:$B$1006,$A948,'Manutenção'!$H$7:$H$1006,"EM CONSERTO")&gt;0,1,0)</f>
        <v>0</v>
      </c>
    </row>
    <row r="949" ht="15.0" hidden="1" customHeight="1">
      <c r="A949" s="15"/>
      <c r="B949" s="17"/>
      <c r="C949" s="17"/>
      <c r="D949" s="17"/>
      <c r="E949" s="17"/>
      <c r="F949" s="17"/>
      <c r="G949" s="18"/>
      <c r="H949" s="15"/>
      <c r="I949" s="15"/>
      <c r="J949" s="24" t="str">
        <f t="array" ref="J949">IF($A949="","",IFERROR(_xlfn.XLOOKUP($A949,'Movimentação'!$B$7:$B$1006,'Movimentação'!$E$7:$E$1006,"",0,-1),""))</f>
        <v/>
      </c>
      <c r="K949" s="24" t="str">
        <f t="array" ref="K949">IF($A949="","",IFERROR(_xlfn.XLOOKUP($A949,'Movimentação'!$B$7:$B$1006,'Movimentação'!$G$7:$G$1006,"",0,-1),""))</f>
        <v/>
      </c>
      <c r="L949" s="24" t="str">
        <f t="shared" si="3"/>
        <v/>
      </c>
      <c r="M949" s="17"/>
      <c r="N949" s="30" t="str">
        <f t="array" ref="N949">IF($A949="","",IFERROR(IF(OR($L949="BAIXADO",$L949="FURTADO"),0,INDEX(Listas!$J$2:$J$40,MATCH($B949,Listas!$I$2:$I$40,0))),""))</f>
        <v/>
      </c>
      <c r="P949" s="31" t="str">
        <f t="array" ref="P949">IF($A949="","",IFERROR(_xlfn.XLOOKUP($A949,'Movimentação'!$B$7:$B$1006,'Movimentação'!$F$7:$F$1006,"",0,-1),""))</f>
        <v/>
      </c>
      <c r="Q949" s="31">
        <f>IF(COUNTIFS('Manutenção'!$B$7:$B$1006,$A949,'Manutenção'!$H$7:$H$1006,"EM CONSERTO")&gt;0,1,0)</f>
        <v>0</v>
      </c>
    </row>
    <row r="950" ht="15.0" hidden="1" customHeight="1">
      <c r="A950" s="15"/>
      <c r="B950" s="17"/>
      <c r="C950" s="17"/>
      <c r="D950" s="17"/>
      <c r="E950" s="17"/>
      <c r="F950" s="17"/>
      <c r="G950" s="18"/>
      <c r="H950" s="15"/>
      <c r="I950" s="15"/>
      <c r="J950" s="24" t="str">
        <f t="array" ref="J950">IF($A950="","",IFERROR(_xlfn.XLOOKUP($A950,'Movimentação'!$B$7:$B$1006,'Movimentação'!$E$7:$E$1006,"",0,-1),""))</f>
        <v/>
      </c>
      <c r="K950" s="24" t="str">
        <f t="array" ref="K950">IF($A950="","",IFERROR(_xlfn.XLOOKUP($A950,'Movimentação'!$B$7:$B$1006,'Movimentação'!$G$7:$G$1006,"",0,-1),""))</f>
        <v/>
      </c>
      <c r="L950" s="24" t="str">
        <f t="shared" si="3"/>
        <v/>
      </c>
      <c r="M950" s="17"/>
      <c r="N950" s="30" t="str">
        <f t="array" ref="N950">IF($A950="","",IFERROR(IF(OR($L950="BAIXADO",$L950="FURTADO"),0,INDEX(Listas!$J$2:$J$40,MATCH($B950,Listas!$I$2:$I$40,0))),""))</f>
        <v/>
      </c>
      <c r="P950" s="31" t="str">
        <f t="array" ref="P950">IF($A950="","",IFERROR(_xlfn.XLOOKUP($A950,'Movimentação'!$B$7:$B$1006,'Movimentação'!$F$7:$F$1006,"",0,-1),""))</f>
        <v/>
      </c>
      <c r="Q950" s="31">
        <f>IF(COUNTIFS('Manutenção'!$B$7:$B$1006,$A950,'Manutenção'!$H$7:$H$1006,"EM CONSERTO")&gt;0,1,0)</f>
        <v>0</v>
      </c>
    </row>
    <row r="951" ht="15.0" hidden="1" customHeight="1">
      <c r="A951" s="15"/>
      <c r="B951" s="17"/>
      <c r="C951" s="17"/>
      <c r="D951" s="17"/>
      <c r="E951" s="17"/>
      <c r="F951" s="17"/>
      <c r="G951" s="18"/>
      <c r="H951" s="15"/>
      <c r="I951" s="15"/>
      <c r="J951" s="24" t="str">
        <f t="array" ref="J951">IF($A951="","",IFERROR(_xlfn.XLOOKUP($A951,'Movimentação'!$B$7:$B$1006,'Movimentação'!$E$7:$E$1006,"",0,-1),""))</f>
        <v/>
      </c>
      <c r="K951" s="24" t="str">
        <f t="array" ref="K951">IF($A951="","",IFERROR(_xlfn.XLOOKUP($A951,'Movimentação'!$B$7:$B$1006,'Movimentação'!$G$7:$G$1006,"",0,-1),""))</f>
        <v/>
      </c>
      <c r="L951" s="24" t="str">
        <f t="shared" si="3"/>
        <v/>
      </c>
      <c r="M951" s="17"/>
      <c r="N951" s="30" t="str">
        <f t="array" ref="N951">IF($A951="","",IFERROR(IF(OR($L951="BAIXADO",$L951="FURTADO"),0,INDEX(Listas!$J$2:$J$40,MATCH($B951,Listas!$I$2:$I$40,0))),""))</f>
        <v/>
      </c>
      <c r="P951" s="31" t="str">
        <f t="array" ref="P951">IF($A951="","",IFERROR(_xlfn.XLOOKUP($A951,'Movimentação'!$B$7:$B$1006,'Movimentação'!$F$7:$F$1006,"",0,-1),""))</f>
        <v/>
      </c>
      <c r="Q951" s="31">
        <f>IF(COUNTIFS('Manutenção'!$B$7:$B$1006,$A951,'Manutenção'!$H$7:$H$1006,"EM CONSERTO")&gt;0,1,0)</f>
        <v>0</v>
      </c>
    </row>
    <row r="952" ht="15.0" hidden="1" customHeight="1">
      <c r="A952" s="15"/>
      <c r="B952" s="17"/>
      <c r="C952" s="17"/>
      <c r="D952" s="17"/>
      <c r="E952" s="17"/>
      <c r="F952" s="17"/>
      <c r="G952" s="18"/>
      <c r="H952" s="15"/>
      <c r="I952" s="15"/>
      <c r="J952" s="24" t="str">
        <f t="array" ref="J952">IF($A952="","",IFERROR(_xlfn.XLOOKUP($A952,'Movimentação'!$B$7:$B$1006,'Movimentação'!$E$7:$E$1006,"",0,-1),""))</f>
        <v/>
      </c>
      <c r="K952" s="24" t="str">
        <f t="array" ref="K952">IF($A952="","",IFERROR(_xlfn.XLOOKUP($A952,'Movimentação'!$B$7:$B$1006,'Movimentação'!$G$7:$G$1006,"",0,-1),""))</f>
        <v/>
      </c>
      <c r="L952" s="24" t="str">
        <f t="shared" si="3"/>
        <v/>
      </c>
      <c r="M952" s="17"/>
      <c r="N952" s="30" t="str">
        <f t="array" ref="N952">IF($A952="","",IFERROR(IF(OR($L952="BAIXADO",$L952="FURTADO"),0,INDEX(Listas!$J$2:$J$40,MATCH($B952,Listas!$I$2:$I$40,0))),""))</f>
        <v/>
      </c>
      <c r="P952" s="31" t="str">
        <f t="array" ref="P952">IF($A952="","",IFERROR(_xlfn.XLOOKUP($A952,'Movimentação'!$B$7:$B$1006,'Movimentação'!$F$7:$F$1006,"",0,-1),""))</f>
        <v/>
      </c>
      <c r="Q952" s="31">
        <f>IF(COUNTIFS('Manutenção'!$B$7:$B$1006,$A952,'Manutenção'!$H$7:$H$1006,"EM CONSERTO")&gt;0,1,0)</f>
        <v>0</v>
      </c>
    </row>
    <row r="953" ht="15.0" hidden="1" customHeight="1">
      <c r="A953" s="15"/>
      <c r="B953" s="17"/>
      <c r="C953" s="17"/>
      <c r="D953" s="17"/>
      <c r="E953" s="17"/>
      <c r="F953" s="17"/>
      <c r="G953" s="18"/>
      <c r="H953" s="15"/>
      <c r="I953" s="15"/>
      <c r="J953" s="24" t="str">
        <f t="array" ref="J953">IF($A953="","",IFERROR(_xlfn.XLOOKUP($A953,'Movimentação'!$B$7:$B$1006,'Movimentação'!$E$7:$E$1006,"",0,-1),""))</f>
        <v/>
      </c>
      <c r="K953" s="24" t="str">
        <f t="array" ref="K953">IF($A953="","",IFERROR(_xlfn.XLOOKUP($A953,'Movimentação'!$B$7:$B$1006,'Movimentação'!$G$7:$G$1006,"",0,-1),""))</f>
        <v/>
      </c>
      <c r="L953" s="24" t="str">
        <f t="shared" si="3"/>
        <v/>
      </c>
      <c r="M953" s="17"/>
      <c r="N953" s="30" t="str">
        <f t="array" ref="N953">IF($A953="","",IFERROR(IF(OR($L953="BAIXADO",$L953="FURTADO"),0,INDEX(Listas!$J$2:$J$40,MATCH($B953,Listas!$I$2:$I$40,0))),""))</f>
        <v/>
      </c>
      <c r="P953" s="31" t="str">
        <f t="array" ref="P953">IF($A953="","",IFERROR(_xlfn.XLOOKUP($A953,'Movimentação'!$B$7:$B$1006,'Movimentação'!$F$7:$F$1006,"",0,-1),""))</f>
        <v/>
      </c>
      <c r="Q953" s="31">
        <f>IF(COUNTIFS('Manutenção'!$B$7:$B$1006,$A953,'Manutenção'!$H$7:$H$1006,"EM CONSERTO")&gt;0,1,0)</f>
        <v>0</v>
      </c>
    </row>
    <row r="954" ht="15.0" hidden="1" customHeight="1">
      <c r="A954" s="15"/>
      <c r="B954" s="17"/>
      <c r="C954" s="17"/>
      <c r="D954" s="17"/>
      <c r="E954" s="17"/>
      <c r="F954" s="17"/>
      <c r="G954" s="18"/>
      <c r="H954" s="15"/>
      <c r="I954" s="15"/>
      <c r="J954" s="24" t="str">
        <f t="array" ref="J954">IF($A954="","",IFERROR(_xlfn.XLOOKUP($A954,'Movimentação'!$B$7:$B$1006,'Movimentação'!$E$7:$E$1006,"",0,-1),""))</f>
        <v/>
      </c>
      <c r="K954" s="24" t="str">
        <f t="array" ref="K954">IF($A954="","",IFERROR(_xlfn.XLOOKUP($A954,'Movimentação'!$B$7:$B$1006,'Movimentação'!$G$7:$G$1006,"",0,-1),""))</f>
        <v/>
      </c>
      <c r="L954" s="24" t="str">
        <f t="shared" si="3"/>
        <v/>
      </c>
      <c r="M954" s="17"/>
      <c r="N954" s="30" t="str">
        <f t="array" ref="N954">IF($A954="","",IFERROR(IF(OR($L954="BAIXADO",$L954="FURTADO"),0,INDEX(Listas!$J$2:$J$40,MATCH($B954,Listas!$I$2:$I$40,0))),""))</f>
        <v/>
      </c>
      <c r="P954" s="31" t="str">
        <f t="array" ref="P954">IF($A954="","",IFERROR(_xlfn.XLOOKUP($A954,'Movimentação'!$B$7:$B$1006,'Movimentação'!$F$7:$F$1006,"",0,-1),""))</f>
        <v/>
      </c>
      <c r="Q954" s="31">
        <f>IF(COUNTIFS('Manutenção'!$B$7:$B$1006,$A954,'Manutenção'!$H$7:$H$1006,"EM CONSERTO")&gt;0,1,0)</f>
        <v>0</v>
      </c>
    </row>
    <row r="955" ht="15.0" hidden="1" customHeight="1">
      <c r="A955" s="15"/>
      <c r="B955" s="17"/>
      <c r="C955" s="17"/>
      <c r="D955" s="17"/>
      <c r="E955" s="17"/>
      <c r="F955" s="17"/>
      <c r="G955" s="18"/>
      <c r="H955" s="15"/>
      <c r="I955" s="15"/>
      <c r="J955" s="24" t="str">
        <f t="array" ref="J955">IF($A955="","",IFERROR(_xlfn.XLOOKUP($A955,'Movimentação'!$B$7:$B$1006,'Movimentação'!$E$7:$E$1006,"",0,-1),""))</f>
        <v/>
      </c>
      <c r="K955" s="24" t="str">
        <f t="array" ref="K955">IF($A955="","",IFERROR(_xlfn.XLOOKUP($A955,'Movimentação'!$B$7:$B$1006,'Movimentação'!$G$7:$G$1006,"",0,-1),""))</f>
        <v/>
      </c>
      <c r="L955" s="24" t="str">
        <f t="shared" si="3"/>
        <v/>
      </c>
      <c r="M955" s="17"/>
      <c r="N955" s="30" t="str">
        <f t="array" ref="N955">IF($A955="","",IFERROR(IF(OR($L955="BAIXADO",$L955="FURTADO"),0,INDEX(Listas!$J$2:$J$40,MATCH($B955,Listas!$I$2:$I$40,0))),""))</f>
        <v/>
      </c>
      <c r="P955" s="31" t="str">
        <f t="array" ref="P955">IF($A955="","",IFERROR(_xlfn.XLOOKUP($A955,'Movimentação'!$B$7:$B$1006,'Movimentação'!$F$7:$F$1006,"",0,-1),""))</f>
        <v/>
      </c>
      <c r="Q955" s="31">
        <f>IF(COUNTIFS('Manutenção'!$B$7:$B$1006,$A955,'Manutenção'!$H$7:$H$1006,"EM CONSERTO")&gt;0,1,0)</f>
        <v>0</v>
      </c>
    </row>
    <row r="956" ht="15.0" hidden="1" customHeight="1">
      <c r="A956" s="15"/>
      <c r="B956" s="17"/>
      <c r="C956" s="17"/>
      <c r="D956" s="17"/>
      <c r="E956" s="17"/>
      <c r="F956" s="17"/>
      <c r="G956" s="18"/>
      <c r="H956" s="15"/>
      <c r="I956" s="15"/>
      <c r="J956" s="24" t="str">
        <f t="array" ref="J956">IF($A956="","",IFERROR(_xlfn.XLOOKUP($A956,'Movimentação'!$B$7:$B$1006,'Movimentação'!$E$7:$E$1006,"",0,-1),""))</f>
        <v/>
      </c>
      <c r="K956" s="24" t="str">
        <f t="array" ref="K956">IF($A956="","",IFERROR(_xlfn.XLOOKUP($A956,'Movimentação'!$B$7:$B$1006,'Movimentação'!$G$7:$G$1006,"",0,-1),""))</f>
        <v/>
      </c>
      <c r="L956" s="24" t="str">
        <f t="shared" si="3"/>
        <v/>
      </c>
      <c r="M956" s="17"/>
      <c r="N956" s="30" t="str">
        <f t="array" ref="N956">IF($A956="","",IFERROR(IF(OR($L956="BAIXADO",$L956="FURTADO"),0,INDEX(Listas!$J$2:$J$40,MATCH($B956,Listas!$I$2:$I$40,0))),""))</f>
        <v/>
      </c>
      <c r="P956" s="31" t="str">
        <f t="array" ref="P956">IF($A956="","",IFERROR(_xlfn.XLOOKUP($A956,'Movimentação'!$B$7:$B$1006,'Movimentação'!$F$7:$F$1006,"",0,-1),""))</f>
        <v/>
      </c>
      <c r="Q956" s="31">
        <f>IF(COUNTIFS('Manutenção'!$B$7:$B$1006,$A956,'Manutenção'!$H$7:$H$1006,"EM CONSERTO")&gt;0,1,0)</f>
        <v>0</v>
      </c>
    </row>
    <row r="957" ht="15.0" hidden="1" customHeight="1">
      <c r="A957" s="15"/>
      <c r="B957" s="17"/>
      <c r="C957" s="17"/>
      <c r="D957" s="17"/>
      <c r="E957" s="17"/>
      <c r="F957" s="17"/>
      <c r="G957" s="18"/>
      <c r="H957" s="15"/>
      <c r="I957" s="15"/>
      <c r="J957" s="24" t="str">
        <f t="array" ref="J957">IF($A957="","",IFERROR(_xlfn.XLOOKUP($A957,'Movimentação'!$B$7:$B$1006,'Movimentação'!$E$7:$E$1006,"",0,-1),""))</f>
        <v/>
      </c>
      <c r="K957" s="24" t="str">
        <f t="array" ref="K957">IF($A957="","",IFERROR(_xlfn.XLOOKUP($A957,'Movimentação'!$B$7:$B$1006,'Movimentação'!$G$7:$G$1006,"",0,-1),""))</f>
        <v/>
      </c>
      <c r="L957" s="24" t="str">
        <f t="shared" si="3"/>
        <v/>
      </c>
      <c r="M957" s="17"/>
      <c r="N957" s="30" t="str">
        <f t="array" ref="N957">IF($A957="","",IFERROR(IF(OR($L957="BAIXADO",$L957="FURTADO"),0,INDEX(Listas!$J$2:$J$40,MATCH($B957,Listas!$I$2:$I$40,0))),""))</f>
        <v/>
      </c>
      <c r="P957" s="31" t="str">
        <f t="array" ref="P957">IF($A957="","",IFERROR(_xlfn.XLOOKUP($A957,'Movimentação'!$B$7:$B$1006,'Movimentação'!$F$7:$F$1006,"",0,-1),""))</f>
        <v/>
      </c>
      <c r="Q957" s="31">
        <f>IF(COUNTIFS('Manutenção'!$B$7:$B$1006,$A957,'Manutenção'!$H$7:$H$1006,"EM CONSERTO")&gt;0,1,0)</f>
        <v>0</v>
      </c>
    </row>
    <row r="958" ht="15.0" hidden="1" customHeight="1">
      <c r="A958" s="15"/>
      <c r="B958" s="17"/>
      <c r="C958" s="17"/>
      <c r="D958" s="17"/>
      <c r="E958" s="17"/>
      <c r="F958" s="17"/>
      <c r="G958" s="18"/>
      <c r="H958" s="15"/>
      <c r="I958" s="15"/>
      <c r="J958" s="24" t="str">
        <f t="array" ref="J958">IF($A958="","",IFERROR(_xlfn.XLOOKUP($A958,'Movimentação'!$B$7:$B$1006,'Movimentação'!$E$7:$E$1006,"",0,-1),""))</f>
        <v/>
      </c>
      <c r="K958" s="24" t="str">
        <f t="array" ref="K958">IF($A958="","",IFERROR(_xlfn.XLOOKUP($A958,'Movimentação'!$B$7:$B$1006,'Movimentação'!$G$7:$G$1006,"",0,-1),""))</f>
        <v/>
      </c>
      <c r="L958" s="24" t="str">
        <f t="shared" si="3"/>
        <v/>
      </c>
      <c r="M958" s="17"/>
      <c r="N958" s="30" t="str">
        <f t="array" ref="N958">IF($A958="","",IFERROR(IF(OR($L958="BAIXADO",$L958="FURTADO"),0,INDEX(Listas!$J$2:$J$40,MATCH($B958,Listas!$I$2:$I$40,0))),""))</f>
        <v/>
      </c>
      <c r="P958" s="31" t="str">
        <f t="array" ref="P958">IF($A958="","",IFERROR(_xlfn.XLOOKUP($A958,'Movimentação'!$B$7:$B$1006,'Movimentação'!$F$7:$F$1006,"",0,-1),""))</f>
        <v/>
      </c>
      <c r="Q958" s="31">
        <f>IF(COUNTIFS('Manutenção'!$B$7:$B$1006,$A958,'Manutenção'!$H$7:$H$1006,"EM CONSERTO")&gt;0,1,0)</f>
        <v>0</v>
      </c>
    </row>
    <row r="959" ht="15.0" hidden="1" customHeight="1">
      <c r="A959" s="15"/>
      <c r="B959" s="17"/>
      <c r="C959" s="17"/>
      <c r="D959" s="17"/>
      <c r="E959" s="17"/>
      <c r="F959" s="17"/>
      <c r="G959" s="18"/>
      <c r="H959" s="15"/>
      <c r="I959" s="15"/>
      <c r="J959" s="24" t="str">
        <f t="array" ref="J959">IF($A959="","",IFERROR(_xlfn.XLOOKUP($A959,'Movimentação'!$B$7:$B$1006,'Movimentação'!$E$7:$E$1006,"",0,-1),""))</f>
        <v/>
      </c>
      <c r="K959" s="24" t="str">
        <f t="array" ref="K959">IF($A959="","",IFERROR(_xlfn.XLOOKUP($A959,'Movimentação'!$B$7:$B$1006,'Movimentação'!$G$7:$G$1006,"",0,-1),""))</f>
        <v/>
      </c>
      <c r="L959" s="24" t="str">
        <f t="shared" si="3"/>
        <v/>
      </c>
      <c r="M959" s="17"/>
      <c r="N959" s="30" t="str">
        <f t="array" ref="N959">IF($A959="","",IFERROR(IF(OR($L959="BAIXADO",$L959="FURTADO"),0,INDEX(Listas!$J$2:$J$40,MATCH($B959,Listas!$I$2:$I$40,0))),""))</f>
        <v/>
      </c>
      <c r="P959" s="31" t="str">
        <f t="array" ref="P959">IF($A959="","",IFERROR(_xlfn.XLOOKUP($A959,'Movimentação'!$B$7:$B$1006,'Movimentação'!$F$7:$F$1006,"",0,-1),""))</f>
        <v/>
      </c>
      <c r="Q959" s="31">
        <f>IF(COUNTIFS('Manutenção'!$B$7:$B$1006,$A959,'Manutenção'!$H$7:$H$1006,"EM CONSERTO")&gt;0,1,0)</f>
        <v>0</v>
      </c>
    </row>
    <row r="960" ht="15.0" hidden="1" customHeight="1">
      <c r="A960" s="15"/>
      <c r="B960" s="17"/>
      <c r="C960" s="17"/>
      <c r="D960" s="17"/>
      <c r="E960" s="17"/>
      <c r="F960" s="17"/>
      <c r="G960" s="18"/>
      <c r="H960" s="15"/>
      <c r="I960" s="15"/>
      <c r="J960" s="24" t="str">
        <f t="array" ref="J960">IF($A960="","",IFERROR(_xlfn.XLOOKUP($A960,'Movimentação'!$B$7:$B$1006,'Movimentação'!$E$7:$E$1006,"",0,-1),""))</f>
        <v/>
      </c>
      <c r="K960" s="24" t="str">
        <f t="array" ref="K960">IF($A960="","",IFERROR(_xlfn.XLOOKUP($A960,'Movimentação'!$B$7:$B$1006,'Movimentação'!$G$7:$G$1006,"",0,-1),""))</f>
        <v/>
      </c>
      <c r="L960" s="24" t="str">
        <f t="shared" si="3"/>
        <v/>
      </c>
      <c r="M960" s="17"/>
      <c r="N960" s="30" t="str">
        <f t="array" ref="N960">IF($A960="","",IFERROR(IF(OR($L960="BAIXADO",$L960="FURTADO"),0,INDEX(Listas!$J$2:$J$40,MATCH($B960,Listas!$I$2:$I$40,0))),""))</f>
        <v/>
      </c>
      <c r="P960" s="31" t="str">
        <f t="array" ref="P960">IF($A960="","",IFERROR(_xlfn.XLOOKUP($A960,'Movimentação'!$B$7:$B$1006,'Movimentação'!$F$7:$F$1006,"",0,-1),""))</f>
        <v/>
      </c>
      <c r="Q960" s="31">
        <f>IF(COUNTIFS('Manutenção'!$B$7:$B$1006,$A960,'Manutenção'!$H$7:$H$1006,"EM CONSERTO")&gt;0,1,0)</f>
        <v>0</v>
      </c>
    </row>
    <row r="961" ht="15.0" hidden="1" customHeight="1">
      <c r="A961" s="15"/>
      <c r="B961" s="17"/>
      <c r="C961" s="17"/>
      <c r="D961" s="17"/>
      <c r="E961" s="17"/>
      <c r="F961" s="17"/>
      <c r="G961" s="18"/>
      <c r="H961" s="15"/>
      <c r="I961" s="15"/>
      <c r="J961" s="24" t="str">
        <f t="array" ref="J961">IF($A961="","",IFERROR(_xlfn.XLOOKUP($A961,'Movimentação'!$B$7:$B$1006,'Movimentação'!$E$7:$E$1006,"",0,-1),""))</f>
        <v/>
      </c>
      <c r="K961" s="24" t="str">
        <f t="array" ref="K961">IF($A961="","",IFERROR(_xlfn.XLOOKUP($A961,'Movimentação'!$B$7:$B$1006,'Movimentação'!$G$7:$G$1006,"",0,-1),""))</f>
        <v/>
      </c>
      <c r="L961" s="24" t="str">
        <f t="shared" si="3"/>
        <v/>
      </c>
      <c r="M961" s="17"/>
      <c r="N961" s="30" t="str">
        <f t="array" ref="N961">IF($A961="","",IFERROR(IF(OR($L961="BAIXADO",$L961="FURTADO"),0,INDEX(Listas!$J$2:$J$40,MATCH($B961,Listas!$I$2:$I$40,0))),""))</f>
        <v/>
      </c>
      <c r="P961" s="31" t="str">
        <f t="array" ref="P961">IF($A961="","",IFERROR(_xlfn.XLOOKUP($A961,'Movimentação'!$B$7:$B$1006,'Movimentação'!$F$7:$F$1006,"",0,-1),""))</f>
        <v/>
      </c>
      <c r="Q961" s="31">
        <f>IF(COUNTIFS('Manutenção'!$B$7:$B$1006,$A961,'Manutenção'!$H$7:$H$1006,"EM CONSERTO")&gt;0,1,0)</f>
        <v>0</v>
      </c>
    </row>
    <row r="962" ht="15.0" hidden="1" customHeight="1">
      <c r="A962" s="15"/>
      <c r="B962" s="17"/>
      <c r="C962" s="17"/>
      <c r="D962" s="17"/>
      <c r="E962" s="17"/>
      <c r="F962" s="17"/>
      <c r="G962" s="18"/>
      <c r="H962" s="15"/>
      <c r="I962" s="15"/>
      <c r="J962" s="24" t="str">
        <f t="array" ref="J962">IF($A962="","",IFERROR(_xlfn.XLOOKUP($A962,'Movimentação'!$B$7:$B$1006,'Movimentação'!$E$7:$E$1006,"",0,-1),""))</f>
        <v/>
      </c>
      <c r="K962" s="24" t="str">
        <f t="array" ref="K962">IF($A962="","",IFERROR(_xlfn.XLOOKUP($A962,'Movimentação'!$B$7:$B$1006,'Movimentação'!$G$7:$G$1006,"",0,-1),""))</f>
        <v/>
      </c>
      <c r="L962" s="24" t="str">
        <f t="shared" si="3"/>
        <v/>
      </c>
      <c r="M962" s="17"/>
      <c r="N962" s="30" t="str">
        <f t="array" ref="N962">IF($A962="","",IFERROR(IF(OR($L962="BAIXADO",$L962="FURTADO"),0,INDEX(Listas!$J$2:$J$40,MATCH($B962,Listas!$I$2:$I$40,0))),""))</f>
        <v/>
      </c>
      <c r="P962" s="31" t="str">
        <f t="array" ref="P962">IF($A962="","",IFERROR(_xlfn.XLOOKUP($A962,'Movimentação'!$B$7:$B$1006,'Movimentação'!$F$7:$F$1006,"",0,-1),""))</f>
        <v/>
      </c>
      <c r="Q962" s="31">
        <f>IF(COUNTIFS('Manutenção'!$B$7:$B$1006,$A962,'Manutenção'!$H$7:$H$1006,"EM CONSERTO")&gt;0,1,0)</f>
        <v>0</v>
      </c>
    </row>
    <row r="963" ht="15.0" hidden="1" customHeight="1">
      <c r="A963" s="15"/>
      <c r="B963" s="17"/>
      <c r="C963" s="17"/>
      <c r="D963" s="17"/>
      <c r="E963" s="17"/>
      <c r="F963" s="17"/>
      <c r="G963" s="18"/>
      <c r="H963" s="15"/>
      <c r="I963" s="15"/>
      <c r="J963" s="24" t="str">
        <f t="array" ref="J963">IF($A963="","",IFERROR(_xlfn.XLOOKUP($A963,'Movimentação'!$B$7:$B$1006,'Movimentação'!$E$7:$E$1006,"",0,-1),""))</f>
        <v/>
      </c>
      <c r="K963" s="24" t="str">
        <f t="array" ref="K963">IF($A963="","",IFERROR(_xlfn.XLOOKUP($A963,'Movimentação'!$B$7:$B$1006,'Movimentação'!$G$7:$G$1006,"",0,-1),""))</f>
        <v/>
      </c>
      <c r="L963" s="24" t="str">
        <f t="shared" si="3"/>
        <v/>
      </c>
      <c r="M963" s="17"/>
      <c r="N963" s="30" t="str">
        <f t="array" ref="N963">IF($A963="","",IFERROR(IF(OR($L963="BAIXADO",$L963="FURTADO"),0,INDEX(Listas!$J$2:$J$40,MATCH($B963,Listas!$I$2:$I$40,0))),""))</f>
        <v/>
      </c>
      <c r="P963" s="31" t="str">
        <f t="array" ref="P963">IF($A963="","",IFERROR(_xlfn.XLOOKUP($A963,'Movimentação'!$B$7:$B$1006,'Movimentação'!$F$7:$F$1006,"",0,-1),""))</f>
        <v/>
      </c>
      <c r="Q963" s="31">
        <f>IF(COUNTIFS('Manutenção'!$B$7:$B$1006,$A963,'Manutenção'!$H$7:$H$1006,"EM CONSERTO")&gt;0,1,0)</f>
        <v>0</v>
      </c>
    </row>
    <row r="964" ht="15.0" hidden="1" customHeight="1">
      <c r="A964" s="15"/>
      <c r="B964" s="17"/>
      <c r="C964" s="17"/>
      <c r="D964" s="17"/>
      <c r="E964" s="17"/>
      <c r="F964" s="17"/>
      <c r="G964" s="18"/>
      <c r="H964" s="15"/>
      <c r="I964" s="15"/>
      <c r="J964" s="24" t="str">
        <f t="array" ref="J964">IF($A964="","",IFERROR(_xlfn.XLOOKUP($A964,'Movimentação'!$B$7:$B$1006,'Movimentação'!$E$7:$E$1006,"",0,-1),""))</f>
        <v/>
      </c>
      <c r="K964" s="24" t="str">
        <f t="array" ref="K964">IF($A964="","",IFERROR(_xlfn.XLOOKUP($A964,'Movimentação'!$B$7:$B$1006,'Movimentação'!$G$7:$G$1006,"",0,-1),""))</f>
        <v/>
      </c>
      <c r="L964" s="24" t="str">
        <f t="shared" si="3"/>
        <v/>
      </c>
      <c r="M964" s="17"/>
      <c r="N964" s="30" t="str">
        <f t="array" ref="N964">IF($A964="","",IFERROR(IF(OR($L964="BAIXADO",$L964="FURTADO"),0,INDEX(Listas!$J$2:$J$40,MATCH($B964,Listas!$I$2:$I$40,0))),""))</f>
        <v/>
      </c>
      <c r="P964" s="31" t="str">
        <f t="array" ref="P964">IF($A964="","",IFERROR(_xlfn.XLOOKUP($A964,'Movimentação'!$B$7:$B$1006,'Movimentação'!$F$7:$F$1006,"",0,-1),""))</f>
        <v/>
      </c>
      <c r="Q964" s="31">
        <f>IF(COUNTIFS('Manutenção'!$B$7:$B$1006,$A964,'Manutenção'!$H$7:$H$1006,"EM CONSERTO")&gt;0,1,0)</f>
        <v>0</v>
      </c>
    </row>
    <row r="965" ht="15.0" hidden="1" customHeight="1">
      <c r="A965" s="15"/>
      <c r="B965" s="17"/>
      <c r="C965" s="17"/>
      <c r="D965" s="17"/>
      <c r="E965" s="17"/>
      <c r="F965" s="17"/>
      <c r="G965" s="18"/>
      <c r="H965" s="15"/>
      <c r="I965" s="15"/>
      <c r="J965" s="24" t="str">
        <f t="array" ref="J965">IF($A965="","",IFERROR(_xlfn.XLOOKUP($A965,'Movimentação'!$B$7:$B$1006,'Movimentação'!$E$7:$E$1006,"",0,-1),""))</f>
        <v/>
      </c>
      <c r="K965" s="24" t="str">
        <f t="array" ref="K965">IF($A965="","",IFERROR(_xlfn.XLOOKUP($A965,'Movimentação'!$B$7:$B$1006,'Movimentação'!$G$7:$G$1006,"",0,-1),""))</f>
        <v/>
      </c>
      <c r="L965" s="24" t="str">
        <f t="shared" si="3"/>
        <v/>
      </c>
      <c r="M965" s="17"/>
      <c r="N965" s="30" t="str">
        <f t="array" ref="N965">IF($A965="","",IFERROR(IF(OR($L965="BAIXADO",$L965="FURTADO"),0,INDEX(Listas!$J$2:$J$40,MATCH($B965,Listas!$I$2:$I$40,0))),""))</f>
        <v/>
      </c>
      <c r="P965" s="31" t="str">
        <f t="array" ref="P965">IF($A965="","",IFERROR(_xlfn.XLOOKUP($A965,'Movimentação'!$B$7:$B$1006,'Movimentação'!$F$7:$F$1006,"",0,-1),""))</f>
        <v/>
      </c>
      <c r="Q965" s="31">
        <f>IF(COUNTIFS('Manutenção'!$B$7:$B$1006,$A965,'Manutenção'!$H$7:$H$1006,"EM CONSERTO")&gt;0,1,0)</f>
        <v>0</v>
      </c>
    </row>
    <row r="966" ht="15.0" hidden="1" customHeight="1">
      <c r="A966" s="15"/>
      <c r="B966" s="17"/>
      <c r="C966" s="17"/>
      <c r="D966" s="17"/>
      <c r="E966" s="17"/>
      <c r="F966" s="17"/>
      <c r="G966" s="18"/>
      <c r="H966" s="15"/>
      <c r="I966" s="15"/>
      <c r="J966" s="24" t="str">
        <f t="array" ref="J966">IF($A966="","",IFERROR(_xlfn.XLOOKUP($A966,'Movimentação'!$B$7:$B$1006,'Movimentação'!$E$7:$E$1006,"",0,-1),""))</f>
        <v/>
      </c>
      <c r="K966" s="24" t="str">
        <f t="array" ref="K966">IF($A966="","",IFERROR(_xlfn.XLOOKUP($A966,'Movimentação'!$B$7:$B$1006,'Movimentação'!$G$7:$G$1006,"",0,-1),""))</f>
        <v/>
      </c>
      <c r="L966" s="24" t="str">
        <f t="shared" si="3"/>
        <v/>
      </c>
      <c r="M966" s="17"/>
      <c r="N966" s="30" t="str">
        <f t="array" ref="N966">IF($A966="","",IFERROR(IF(OR($L966="BAIXADO",$L966="FURTADO"),0,INDEX(Listas!$J$2:$J$40,MATCH($B966,Listas!$I$2:$I$40,0))),""))</f>
        <v/>
      </c>
      <c r="P966" s="31" t="str">
        <f t="array" ref="P966">IF($A966="","",IFERROR(_xlfn.XLOOKUP($A966,'Movimentação'!$B$7:$B$1006,'Movimentação'!$F$7:$F$1006,"",0,-1),""))</f>
        <v/>
      </c>
      <c r="Q966" s="31">
        <f>IF(COUNTIFS('Manutenção'!$B$7:$B$1006,$A966,'Manutenção'!$H$7:$H$1006,"EM CONSERTO")&gt;0,1,0)</f>
        <v>0</v>
      </c>
    </row>
    <row r="967" ht="15.0" hidden="1" customHeight="1">
      <c r="A967" s="15"/>
      <c r="B967" s="17"/>
      <c r="C967" s="17"/>
      <c r="D967" s="17"/>
      <c r="E967" s="17"/>
      <c r="F967" s="17"/>
      <c r="G967" s="18"/>
      <c r="H967" s="15"/>
      <c r="I967" s="15"/>
      <c r="J967" s="24" t="str">
        <f t="array" ref="J967">IF($A967="","",IFERROR(_xlfn.XLOOKUP($A967,'Movimentação'!$B$7:$B$1006,'Movimentação'!$E$7:$E$1006,"",0,-1),""))</f>
        <v/>
      </c>
      <c r="K967" s="24" t="str">
        <f t="array" ref="K967">IF($A967="","",IFERROR(_xlfn.XLOOKUP($A967,'Movimentação'!$B$7:$B$1006,'Movimentação'!$G$7:$G$1006,"",0,-1),""))</f>
        <v/>
      </c>
      <c r="L967" s="24" t="str">
        <f t="shared" si="3"/>
        <v/>
      </c>
      <c r="M967" s="17"/>
      <c r="N967" s="30" t="str">
        <f t="array" ref="N967">IF($A967="","",IFERROR(IF(OR($L967="BAIXADO",$L967="FURTADO"),0,INDEX(Listas!$J$2:$J$40,MATCH($B967,Listas!$I$2:$I$40,0))),""))</f>
        <v/>
      </c>
      <c r="P967" s="31" t="str">
        <f t="array" ref="P967">IF($A967="","",IFERROR(_xlfn.XLOOKUP($A967,'Movimentação'!$B$7:$B$1006,'Movimentação'!$F$7:$F$1006,"",0,-1),""))</f>
        <v/>
      </c>
      <c r="Q967" s="31">
        <f>IF(COUNTIFS('Manutenção'!$B$7:$B$1006,$A967,'Manutenção'!$H$7:$H$1006,"EM CONSERTO")&gt;0,1,0)</f>
        <v>0</v>
      </c>
    </row>
    <row r="968" ht="15.0" hidden="1" customHeight="1">
      <c r="A968" s="15"/>
      <c r="B968" s="17"/>
      <c r="C968" s="17"/>
      <c r="D968" s="17"/>
      <c r="E968" s="17"/>
      <c r="F968" s="17"/>
      <c r="G968" s="18"/>
      <c r="H968" s="15"/>
      <c r="I968" s="15"/>
      <c r="J968" s="24" t="str">
        <f t="array" ref="J968">IF($A968="","",IFERROR(_xlfn.XLOOKUP($A968,'Movimentação'!$B$7:$B$1006,'Movimentação'!$E$7:$E$1006,"",0,-1),""))</f>
        <v/>
      </c>
      <c r="K968" s="24" t="str">
        <f t="array" ref="K968">IF($A968="","",IFERROR(_xlfn.XLOOKUP($A968,'Movimentação'!$B$7:$B$1006,'Movimentação'!$G$7:$G$1006,"",0,-1),""))</f>
        <v/>
      </c>
      <c r="L968" s="24" t="str">
        <f t="shared" si="3"/>
        <v/>
      </c>
      <c r="M968" s="17"/>
      <c r="N968" s="30" t="str">
        <f t="array" ref="N968">IF($A968="","",IFERROR(IF(OR($L968="BAIXADO",$L968="FURTADO"),0,INDEX(Listas!$J$2:$J$40,MATCH($B968,Listas!$I$2:$I$40,0))),""))</f>
        <v/>
      </c>
      <c r="P968" s="31" t="str">
        <f t="array" ref="P968">IF($A968="","",IFERROR(_xlfn.XLOOKUP($A968,'Movimentação'!$B$7:$B$1006,'Movimentação'!$F$7:$F$1006,"",0,-1),""))</f>
        <v/>
      </c>
      <c r="Q968" s="31">
        <f>IF(COUNTIFS('Manutenção'!$B$7:$B$1006,$A968,'Manutenção'!$H$7:$H$1006,"EM CONSERTO")&gt;0,1,0)</f>
        <v>0</v>
      </c>
    </row>
    <row r="969" ht="15.0" hidden="1" customHeight="1">
      <c r="A969" s="15"/>
      <c r="B969" s="17"/>
      <c r="C969" s="17"/>
      <c r="D969" s="17"/>
      <c r="E969" s="17"/>
      <c r="F969" s="17"/>
      <c r="G969" s="18"/>
      <c r="H969" s="15"/>
      <c r="I969" s="15"/>
      <c r="J969" s="24" t="str">
        <f t="array" ref="J969">IF($A969="","",IFERROR(_xlfn.XLOOKUP($A969,'Movimentação'!$B$7:$B$1006,'Movimentação'!$E$7:$E$1006,"",0,-1),""))</f>
        <v/>
      </c>
      <c r="K969" s="24" t="str">
        <f t="array" ref="K969">IF($A969="","",IFERROR(_xlfn.XLOOKUP($A969,'Movimentação'!$B$7:$B$1006,'Movimentação'!$G$7:$G$1006,"",0,-1),""))</f>
        <v/>
      </c>
      <c r="L969" s="24" t="str">
        <f t="shared" si="3"/>
        <v/>
      </c>
      <c r="M969" s="17"/>
      <c r="N969" s="30" t="str">
        <f t="array" ref="N969">IF($A969="","",IFERROR(IF(OR($L969="BAIXADO",$L969="FURTADO"),0,INDEX(Listas!$J$2:$J$40,MATCH($B969,Listas!$I$2:$I$40,0))),""))</f>
        <v/>
      </c>
      <c r="P969" s="31" t="str">
        <f t="array" ref="P969">IF($A969="","",IFERROR(_xlfn.XLOOKUP($A969,'Movimentação'!$B$7:$B$1006,'Movimentação'!$F$7:$F$1006,"",0,-1),""))</f>
        <v/>
      </c>
      <c r="Q969" s="31">
        <f>IF(COUNTIFS('Manutenção'!$B$7:$B$1006,$A969,'Manutenção'!$H$7:$H$1006,"EM CONSERTO")&gt;0,1,0)</f>
        <v>0</v>
      </c>
    </row>
    <row r="970" ht="15.0" hidden="1" customHeight="1">
      <c r="A970" s="15"/>
      <c r="B970" s="17"/>
      <c r="C970" s="17"/>
      <c r="D970" s="17"/>
      <c r="E970" s="17"/>
      <c r="F970" s="17"/>
      <c r="G970" s="18"/>
      <c r="H970" s="15"/>
      <c r="I970" s="15"/>
      <c r="J970" s="24" t="str">
        <f t="array" ref="J970">IF($A970="","",IFERROR(_xlfn.XLOOKUP($A970,'Movimentação'!$B$7:$B$1006,'Movimentação'!$E$7:$E$1006,"",0,-1),""))</f>
        <v/>
      </c>
      <c r="K970" s="24" t="str">
        <f t="array" ref="K970">IF($A970="","",IFERROR(_xlfn.XLOOKUP($A970,'Movimentação'!$B$7:$B$1006,'Movimentação'!$G$7:$G$1006,"",0,-1),""))</f>
        <v/>
      </c>
      <c r="L970" s="24" t="str">
        <f t="shared" si="3"/>
        <v/>
      </c>
      <c r="M970" s="17"/>
      <c r="N970" s="30" t="str">
        <f t="array" ref="N970">IF($A970="","",IFERROR(IF(OR($L970="BAIXADO",$L970="FURTADO"),0,INDEX(Listas!$J$2:$J$40,MATCH($B970,Listas!$I$2:$I$40,0))),""))</f>
        <v/>
      </c>
      <c r="P970" s="31" t="str">
        <f t="array" ref="P970">IF($A970="","",IFERROR(_xlfn.XLOOKUP($A970,'Movimentação'!$B$7:$B$1006,'Movimentação'!$F$7:$F$1006,"",0,-1),""))</f>
        <v/>
      </c>
      <c r="Q970" s="31">
        <f>IF(COUNTIFS('Manutenção'!$B$7:$B$1006,$A970,'Manutenção'!$H$7:$H$1006,"EM CONSERTO")&gt;0,1,0)</f>
        <v>0</v>
      </c>
    </row>
    <row r="971" ht="15.0" hidden="1" customHeight="1">
      <c r="A971" s="15"/>
      <c r="B971" s="17"/>
      <c r="C971" s="17"/>
      <c r="D971" s="17"/>
      <c r="E971" s="17"/>
      <c r="F971" s="17"/>
      <c r="G971" s="18"/>
      <c r="H971" s="15"/>
      <c r="I971" s="15"/>
      <c r="J971" s="24" t="str">
        <f t="array" ref="J971">IF($A971="","",IFERROR(_xlfn.XLOOKUP($A971,'Movimentação'!$B$7:$B$1006,'Movimentação'!$E$7:$E$1006,"",0,-1),""))</f>
        <v/>
      </c>
      <c r="K971" s="24" t="str">
        <f t="array" ref="K971">IF($A971="","",IFERROR(_xlfn.XLOOKUP($A971,'Movimentação'!$B$7:$B$1006,'Movimentação'!$G$7:$G$1006,"",0,-1),""))</f>
        <v/>
      </c>
      <c r="L971" s="24" t="str">
        <f t="shared" si="3"/>
        <v/>
      </c>
      <c r="M971" s="17"/>
      <c r="N971" s="30" t="str">
        <f t="array" ref="N971">IF($A971="","",IFERROR(IF(OR($L971="BAIXADO",$L971="FURTADO"),0,INDEX(Listas!$J$2:$J$40,MATCH($B971,Listas!$I$2:$I$40,0))),""))</f>
        <v/>
      </c>
      <c r="P971" s="31" t="str">
        <f t="array" ref="P971">IF($A971="","",IFERROR(_xlfn.XLOOKUP($A971,'Movimentação'!$B$7:$B$1006,'Movimentação'!$F$7:$F$1006,"",0,-1),""))</f>
        <v/>
      </c>
      <c r="Q971" s="31">
        <f>IF(COUNTIFS('Manutenção'!$B$7:$B$1006,$A971,'Manutenção'!$H$7:$H$1006,"EM CONSERTO")&gt;0,1,0)</f>
        <v>0</v>
      </c>
    </row>
    <row r="972" ht="15.0" hidden="1" customHeight="1">
      <c r="A972" s="15"/>
      <c r="B972" s="17"/>
      <c r="C972" s="17"/>
      <c r="D972" s="17"/>
      <c r="E972" s="17"/>
      <c r="F972" s="17"/>
      <c r="G972" s="18"/>
      <c r="H972" s="15"/>
      <c r="I972" s="15"/>
      <c r="J972" s="24" t="str">
        <f t="array" ref="J972">IF($A972="","",IFERROR(_xlfn.XLOOKUP($A972,'Movimentação'!$B$7:$B$1006,'Movimentação'!$E$7:$E$1006,"",0,-1),""))</f>
        <v/>
      </c>
      <c r="K972" s="24" t="str">
        <f t="array" ref="K972">IF($A972="","",IFERROR(_xlfn.XLOOKUP($A972,'Movimentação'!$B$7:$B$1006,'Movimentação'!$G$7:$G$1006,"",0,-1),""))</f>
        <v/>
      </c>
      <c r="L972" s="24" t="str">
        <f t="shared" si="3"/>
        <v/>
      </c>
      <c r="M972" s="17"/>
      <c r="N972" s="30" t="str">
        <f t="array" ref="N972">IF($A972="","",IFERROR(IF(OR($L972="BAIXADO",$L972="FURTADO"),0,INDEX(Listas!$J$2:$J$40,MATCH($B972,Listas!$I$2:$I$40,0))),""))</f>
        <v/>
      </c>
      <c r="P972" s="31" t="str">
        <f t="array" ref="P972">IF($A972="","",IFERROR(_xlfn.XLOOKUP($A972,'Movimentação'!$B$7:$B$1006,'Movimentação'!$F$7:$F$1006,"",0,-1),""))</f>
        <v/>
      </c>
      <c r="Q972" s="31">
        <f>IF(COUNTIFS('Manutenção'!$B$7:$B$1006,$A972,'Manutenção'!$H$7:$H$1006,"EM CONSERTO")&gt;0,1,0)</f>
        <v>0</v>
      </c>
    </row>
    <row r="973" ht="15.0" hidden="1" customHeight="1">
      <c r="A973" s="15"/>
      <c r="B973" s="17"/>
      <c r="C973" s="17"/>
      <c r="D973" s="17"/>
      <c r="E973" s="17"/>
      <c r="F973" s="17"/>
      <c r="G973" s="18"/>
      <c r="H973" s="15"/>
      <c r="I973" s="15"/>
      <c r="J973" s="24" t="str">
        <f t="array" ref="J973">IF($A973="","",IFERROR(_xlfn.XLOOKUP($A973,'Movimentação'!$B$7:$B$1006,'Movimentação'!$E$7:$E$1006,"",0,-1),""))</f>
        <v/>
      </c>
      <c r="K973" s="24" t="str">
        <f t="array" ref="K973">IF($A973="","",IFERROR(_xlfn.XLOOKUP($A973,'Movimentação'!$B$7:$B$1006,'Movimentação'!$G$7:$G$1006,"",0,-1),""))</f>
        <v/>
      </c>
      <c r="L973" s="24" t="str">
        <f t="shared" si="3"/>
        <v/>
      </c>
      <c r="M973" s="17"/>
      <c r="N973" s="30" t="str">
        <f t="array" ref="N973">IF($A973="","",IFERROR(IF(OR($L973="BAIXADO",$L973="FURTADO"),0,INDEX(Listas!$J$2:$J$40,MATCH($B973,Listas!$I$2:$I$40,0))),""))</f>
        <v/>
      </c>
      <c r="P973" s="31" t="str">
        <f t="array" ref="P973">IF($A973="","",IFERROR(_xlfn.XLOOKUP($A973,'Movimentação'!$B$7:$B$1006,'Movimentação'!$F$7:$F$1006,"",0,-1),""))</f>
        <v/>
      </c>
      <c r="Q973" s="31">
        <f>IF(COUNTIFS('Manutenção'!$B$7:$B$1006,$A973,'Manutenção'!$H$7:$H$1006,"EM CONSERTO")&gt;0,1,0)</f>
        <v>0</v>
      </c>
    </row>
    <row r="974" ht="15.0" hidden="1" customHeight="1">
      <c r="A974" s="15"/>
      <c r="B974" s="17"/>
      <c r="C974" s="17"/>
      <c r="D974" s="17"/>
      <c r="E974" s="17"/>
      <c r="F974" s="17"/>
      <c r="G974" s="18"/>
      <c r="H974" s="15"/>
      <c r="I974" s="15"/>
      <c r="J974" s="24" t="str">
        <f t="array" ref="J974">IF($A974="","",IFERROR(_xlfn.XLOOKUP($A974,'Movimentação'!$B$7:$B$1006,'Movimentação'!$E$7:$E$1006,"",0,-1),""))</f>
        <v/>
      </c>
      <c r="K974" s="24" t="str">
        <f t="array" ref="K974">IF($A974="","",IFERROR(_xlfn.XLOOKUP($A974,'Movimentação'!$B$7:$B$1006,'Movimentação'!$G$7:$G$1006,"",0,-1),""))</f>
        <v/>
      </c>
      <c r="L974" s="24" t="str">
        <f t="shared" si="3"/>
        <v/>
      </c>
      <c r="M974" s="17"/>
      <c r="N974" s="30" t="str">
        <f t="array" ref="N974">IF($A974="","",IFERROR(IF(OR($L974="BAIXADO",$L974="FURTADO"),0,INDEX(Listas!$J$2:$J$40,MATCH($B974,Listas!$I$2:$I$40,0))),""))</f>
        <v/>
      </c>
      <c r="P974" s="31" t="str">
        <f t="array" ref="P974">IF($A974="","",IFERROR(_xlfn.XLOOKUP($A974,'Movimentação'!$B$7:$B$1006,'Movimentação'!$F$7:$F$1006,"",0,-1),""))</f>
        <v/>
      </c>
      <c r="Q974" s="31">
        <f>IF(COUNTIFS('Manutenção'!$B$7:$B$1006,$A974,'Manutenção'!$H$7:$H$1006,"EM CONSERTO")&gt;0,1,0)</f>
        <v>0</v>
      </c>
    </row>
    <row r="975" ht="15.0" hidden="1" customHeight="1">
      <c r="A975" s="15"/>
      <c r="B975" s="17"/>
      <c r="C975" s="17"/>
      <c r="D975" s="17"/>
      <c r="E975" s="17"/>
      <c r="F975" s="17"/>
      <c r="G975" s="18"/>
      <c r="H975" s="15"/>
      <c r="I975" s="15"/>
      <c r="J975" s="24" t="str">
        <f t="array" ref="J975">IF($A975="","",IFERROR(_xlfn.XLOOKUP($A975,'Movimentação'!$B$7:$B$1006,'Movimentação'!$E$7:$E$1006,"",0,-1),""))</f>
        <v/>
      </c>
      <c r="K975" s="24" t="str">
        <f t="array" ref="K975">IF($A975="","",IFERROR(_xlfn.XLOOKUP($A975,'Movimentação'!$B$7:$B$1006,'Movimentação'!$G$7:$G$1006,"",0,-1),""))</f>
        <v/>
      </c>
      <c r="L975" s="24" t="str">
        <f t="shared" si="3"/>
        <v/>
      </c>
      <c r="M975" s="17"/>
      <c r="N975" s="30" t="str">
        <f t="array" ref="N975">IF($A975="","",IFERROR(IF(OR($L975="BAIXADO",$L975="FURTADO"),0,INDEX(Listas!$J$2:$J$40,MATCH($B975,Listas!$I$2:$I$40,0))),""))</f>
        <v/>
      </c>
      <c r="P975" s="31" t="str">
        <f t="array" ref="P975">IF($A975="","",IFERROR(_xlfn.XLOOKUP($A975,'Movimentação'!$B$7:$B$1006,'Movimentação'!$F$7:$F$1006,"",0,-1),""))</f>
        <v/>
      </c>
      <c r="Q975" s="31">
        <f>IF(COUNTIFS('Manutenção'!$B$7:$B$1006,$A975,'Manutenção'!$H$7:$H$1006,"EM CONSERTO")&gt;0,1,0)</f>
        <v>0</v>
      </c>
    </row>
    <row r="976" ht="15.0" hidden="1" customHeight="1">
      <c r="A976" s="15"/>
      <c r="B976" s="17"/>
      <c r="C976" s="17"/>
      <c r="D976" s="17"/>
      <c r="E976" s="17"/>
      <c r="F976" s="17"/>
      <c r="G976" s="18"/>
      <c r="H976" s="15"/>
      <c r="I976" s="15"/>
      <c r="J976" s="24" t="str">
        <f t="array" ref="J976">IF($A976="","",IFERROR(_xlfn.XLOOKUP($A976,'Movimentação'!$B$7:$B$1006,'Movimentação'!$E$7:$E$1006,"",0,-1),""))</f>
        <v/>
      </c>
      <c r="K976" s="24" t="str">
        <f t="array" ref="K976">IF($A976="","",IFERROR(_xlfn.XLOOKUP($A976,'Movimentação'!$B$7:$B$1006,'Movimentação'!$G$7:$G$1006,"",0,-1),""))</f>
        <v/>
      </c>
      <c r="L976" s="24" t="str">
        <f t="shared" si="3"/>
        <v/>
      </c>
      <c r="M976" s="17"/>
      <c r="N976" s="30" t="str">
        <f t="array" ref="N976">IF($A976="","",IFERROR(IF(OR($L976="BAIXADO",$L976="FURTADO"),0,INDEX(Listas!$J$2:$J$40,MATCH($B976,Listas!$I$2:$I$40,0))),""))</f>
        <v/>
      </c>
      <c r="P976" s="31" t="str">
        <f t="array" ref="P976">IF($A976="","",IFERROR(_xlfn.XLOOKUP($A976,'Movimentação'!$B$7:$B$1006,'Movimentação'!$F$7:$F$1006,"",0,-1),""))</f>
        <v/>
      </c>
      <c r="Q976" s="31">
        <f>IF(COUNTIFS('Manutenção'!$B$7:$B$1006,$A976,'Manutenção'!$H$7:$H$1006,"EM CONSERTO")&gt;0,1,0)</f>
        <v>0</v>
      </c>
    </row>
    <row r="977" ht="15.0" hidden="1" customHeight="1">
      <c r="A977" s="15"/>
      <c r="B977" s="17"/>
      <c r="C977" s="17"/>
      <c r="D977" s="17"/>
      <c r="E977" s="17"/>
      <c r="F977" s="17"/>
      <c r="G977" s="18"/>
      <c r="H977" s="15"/>
      <c r="I977" s="15"/>
      <c r="J977" s="24" t="str">
        <f t="array" ref="J977">IF($A977="","",IFERROR(_xlfn.XLOOKUP($A977,'Movimentação'!$B$7:$B$1006,'Movimentação'!$E$7:$E$1006,"",0,-1),""))</f>
        <v/>
      </c>
      <c r="K977" s="24" t="str">
        <f t="array" ref="K977">IF($A977="","",IFERROR(_xlfn.XLOOKUP($A977,'Movimentação'!$B$7:$B$1006,'Movimentação'!$G$7:$G$1006,"",0,-1),""))</f>
        <v/>
      </c>
      <c r="L977" s="24" t="str">
        <f t="shared" si="3"/>
        <v/>
      </c>
      <c r="M977" s="17"/>
      <c r="N977" s="30" t="str">
        <f t="array" ref="N977">IF($A977="","",IFERROR(IF(OR($L977="BAIXADO",$L977="FURTADO"),0,INDEX(Listas!$J$2:$J$40,MATCH($B977,Listas!$I$2:$I$40,0))),""))</f>
        <v/>
      </c>
      <c r="P977" s="31" t="str">
        <f t="array" ref="P977">IF($A977="","",IFERROR(_xlfn.XLOOKUP($A977,'Movimentação'!$B$7:$B$1006,'Movimentação'!$F$7:$F$1006,"",0,-1),""))</f>
        <v/>
      </c>
      <c r="Q977" s="31">
        <f>IF(COUNTIFS('Manutenção'!$B$7:$B$1006,$A977,'Manutenção'!$H$7:$H$1006,"EM CONSERTO")&gt;0,1,0)</f>
        <v>0</v>
      </c>
    </row>
    <row r="978" ht="15.0" hidden="1" customHeight="1">
      <c r="A978" s="15"/>
      <c r="B978" s="17"/>
      <c r="C978" s="17"/>
      <c r="D978" s="17"/>
      <c r="E978" s="17"/>
      <c r="F978" s="17"/>
      <c r="G978" s="18"/>
      <c r="H978" s="15"/>
      <c r="I978" s="15"/>
      <c r="J978" s="24" t="str">
        <f t="array" ref="J978">IF($A978="","",IFERROR(_xlfn.XLOOKUP($A978,'Movimentação'!$B$7:$B$1006,'Movimentação'!$E$7:$E$1006,"",0,-1),""))</f>
        <v/>
      </c>
      <c r="K978" s="24" t="str">
        <f t="array" ref="K978">IF($A978="","",IFERROR(_xlfn.XLOOKUP($A978,'Movimentação'!$B$7:$B$1006,'Movimentação'!$G$7:$G$1006,"",0,-1),""))</f>
        <v/>
      </c>
      <c r="L978" s="24" t="str">
        <f t="shared" si="3"/>
        <v/>
      </c>
      <c r="M978" s="17"/>
      <c r="N978" s="30" t="str">
        <f t="array" ref="N978">IF($A978="","",IFERROR(IF(OR($L978="BAIXADO",$L978="FURTADO"),0,INDEX(Listas!$J$2:$J$40,MATCH($B978,Listas!$I$2:$I$40,0))),""))</f>
        <v/>
      </c>
      <c r="P978" s="31" t="str">
        <f t="array" ref="P978">IF($A978="","",IFERROR(_xlfn.XLOOKUP($A978,'Movimentação'!$B$7:$B$1006,'Movimentação'!$F$7:$F$1006,"",0,-1),""))</f>
        <v/>
      </c>
      <c r="Q978" s="31">
        <f>IF(COUNTIFS('Manutenção'!$B$7:$B$1006,$A978,'Manutenção'!$H$7:$H$1006,"EM CONSERTO")&gt;0,1,0)</f>
        <v>0</v>
      </c>
    </row>
    <row r="979" ht="15.0" hidden="1" customHeight="1">
      <c r="A979" s="15"/>
      <c r="B979" s="17"/>
      <c r="C979" s="17"/>
      <c r="D979" s="17"/>
      <c r="E979" s="17"/>
      <c r="F979" s="17"/>
      <c r="G979" s="18"/>
      <c r="H979" s="15"/>
      <c r="I979" s="15"/>
      <c r="J979" s="24" t="str">
        <f t="array" ref="J979">IF($A979="","",IFERROR(_xlfn.XLOOKUP($A979,'Movimentação'!$B$7:$B$1006,'Movimentação'!$E$7:$E$1006,"",0,-1),""))</f>
        <v/>
      </c>
      <c r="K979" s="24" t="str">
        <f t="array" ref="K979">IF($A979="","",IFERROR(_xlfn.XLOOKUP($A979,'Movimentação'!$B$7:$B$1006,'Movimentação'!$G$7:$G$1006,"",0,-1),""))</f>
        <v/>
      </c>
      <c r="L979" s="24" t="str">
        <f t="shared" si="3"/>
        <v/>
      </c>
      <c r="M979" s="17"/>
      <c r="N979" s="30" t="str">
        <f t="array" ref="N979">IF($A979="","",IFERROR(IF(OR($L979="BAIXADO",$L979="FURTADO"),0,INDEX(Listas!$J$2:$J$40,MATCH($B979,Listas!$I$2:$I$40,0))),""))</f>
        <v/>
      </c>
      <c r="P979" s="31" t="str">
        <f t="array" ref="P979">IF($A979="","",IFERROR(_xlfn.XLOOKUP($A979,'Movimentação'!$B$7:$B$1006,'Movimentação'!$F$7:$F$1006,"",0,-1),""))</f>
        <v/>
      </c>
      <c r="Q979" s="31">
        <f>IF(COUNTIFS('Manutenção'!$B$7:$B$1006,$A979,'Manutenção'!$H$7:$H$1006,"EM CONSERTO")&gt;0,1,0)</f>
        <v>0</v>
      </c>
    </row>
    <row r="980" ht="15.0" hidden="1" customHeight="1">
      <c r="A980" s="15"/>
      <c r="B980" s="17"/>
      <c r="C980" s="17"/>
      <c r="D980" s="17"/>
      <c r="E980" s="17"/>
      <c r="F980" s="17"/>
      <c r="G980" s="18"/>
      <c r="H980" s="15"/>
      <c r="I980" s="15"/>
      <c r="J980" s="24" t="str">
        <f t="array" ref="J980">IF($A980="","",IFERROR(_xlfn.XLOOKUP($A980,'Movimentação'!$B$7:$B$1006,'Movimentação'!$E$7:$E$1006,"",0,-1),""))</f>
        <v/>
      </c>
      <c r="K980" s="24" t="str">
        <f t="array" ref="K980">IF($A980="","",IFERROR(_xlfn.XLOOKUP($A980,'Movimentação'!$B$7:$B$1006,'Movimentação'!$G$7:$G$1006,"",0,-1),""))</f>
        <v/>
      </c>
      <c r="L980" s="24" t="str">
        <f t="shared" si="3"/>
        <v/>
      </c>
      <c r="M980" s="17"/>
      <c r="N980" s="30" t="str">
        <f t="array" ref="N980">IF($A980="","",IFERROR(IF(OR($L980="BAIXADO",$L980="FURTADO"),0,INDEX(Listas!$J$2:$J$40,MATCH($B980,Listas!$I$2:$I$40,0))),""))</f>
        <v/>
      </c>
      <c r="P980" s="31" t="str">
        <f t="array" ref="P980">IF($A980="","",IFERROR(_xlfn.XLOOKUP($A980,'Movimentação'!$B$7:$B$1006,'Movimentação'!$F$7:$F$1006,"",0,-1),""))</f>
        <v/>
      </c>
      <c r="Q980" s="31">
        <f>IF(COUNTIFS('Manutenção'!$B$7:$B$1006,$A980,'Manutenção'!$H$7:$H$1006,"EM CONSERTO")&gt;0,1,0)</f>
        <v>0</v>
      </c>
    </row>
    <row r="981" ht="15.0" hidden="1" customHeight="1">
      <c r="A981" s="15"/>
      <c r="B981" s="17"/>
      <c r="C981" s="17"/>
      <c r="D981" s="17"/>
      <c r="E981" s="17"/>
      <c r="F981" s="17"/>
      <c r="G981" s="18"/>
      <c r="H981" s="15"/>
      <c r="I981" s="15"/>
      <c r="J981" s="24" t="str">
        <f t="array" ref="J981">IF($A981="","",IFERROR(_xlfn.XLOOKUP($A981,'Movimentação'!$B$7:$B$1006,'Movimentação'!$E$7:$E$1006,"",0,-1),""))</f>
        <v/>
      </c>
      <c r="K981" s="24" t="str">
        <f t="array" ref="K981">IF($A981="","",IFERROR(_xlfn.XLOOKUP($A981,'Movimentação'!$B$7:$B$1006,'Movimentação'!$G$7:$G$1006,"",0,-1),""))</f>
        <v/>
      </c>
      <c r="L981" s="24" t="str">
        <f t="shared" si="3"/>
        <v/>
      </c>
      <c r="M981" s="17"/>
      <c r="N981" s="30" t="str">
        <f t="array" ref="N981">IF($A981="","",IFERROR(IF(OR($L981="BAIXADO",$L981="FURTADO"),0,INDEX(Listas!$J$2:$J$40,MATCH($B981,Listas!$I$2:$I$40,0))),""))</f>
        <v/>
      </c>
      <c r="P981" s="31" t="str">
        <f t="array" ref="P981">IF($A981="","",IFERROR(_xlfn.XLOOKUP($A981,'Movimentação'!$B$7:$B$1006,'Movimentação'!$F$7:$F$1006,"",0,-1),""))</f>
        <v/>
      </c>
      <c r="Q981" s="31">
        <f>IF(COUNTIFS('Manutenção'!$B$7:$B$1006,$A981,'Manutenção'!$H$7:$H$1006,"EM CONSERTO")&gt;0,1,0)</f>
        <v>0</v>
      </c>
    </row>
    <row r="982" ht="15.0" hidden="1" customHeight="1">
      <c r="A982" s="15"/>
      <c r="B982" s="17"/>
      <c r="C982" s="17"/>
      <c r="D982" s="17"/>
      <c r="E982" s="17"/>
      <c r="F982" s="17"/>
      <c r="G982" s="18"/>
      <c r="H982" s="15"/>
      <c r="I982" s="15"/>
      <c r="J982" s="24" t="str">
        <f t="array" ref="J982">IF($A982="","",IFERROR(_xlfn.XLOOKUP($A982,'Movimentação'!$B$7:$B$1006,'Movimentação'!$E$7:$E$1006,"",0,-1),""))</f>
        <v/>
      </c>
      <c r="K982" s="24" t="str">
        <f t="array" ref="K982">IF($A982="","",IFERROR(_xlfn.XLOOKUP($A982,'Movimentação'!$B$7:$B$1006,'Movimentação'!$G$7:$G$1006,"",0,-1),""))</f>
        <v/>
      </c>
      <c r="L982" s="24" t="str">
        <f t="shared" si="3"/>
        <v/>
      </c>
      <c r="M982" s="17"/>
      <c r="N982" s="30" t="str">
        <f t="array" ref="N982">IF($A982="","",IFERROR(IF(OR($L982="BAIXADO",$L982="FURTADO"),0,INDEX(Listas!$J$2:$J$40,MATCH($B982,Listas!$I$2:$I$40,0))),""))</f>
        <v/>
      </c>
      <c r="P982" s="31" t="str">
        <f t="array" ref="P982">IF($A982="","",IFERROR(_xlfn.XLOOKUP($A982,'Movimentação'!$B$7:$B$1006,'Movimentação'!$F$7:$F$1006,"",0,-1),""))</f>
        <v/>
      </c>
      <c r="Q982" s="31">
        <f>IF(COUNTIFS('Manutenção'!$B$7:$B$1006,$A982,'Manutenção'!$H$7:$H$1006,"EM CONSERTO")&gt;0,1,0)</f>
        <v>0</v>
      </c>
    </row>
    <row r="983" ht="15.0" hidden="1" customHeight="1">
      <c r="A983" s="15"/>
      <c r="B983" s="17"/>
      <c r="C983" s="17"/>
      <c r="D983" s="17"/>
      <c r="E983" s="17"/>
      <c r="F983" s="17"/>
      <c r="G983" s="18"/>
      <c r="H983" s="15"/>
      <c r="I983" s="15"/>
      <c r="J983" s="24" t="str">
        <f t="array" ref="J983">IF($A983="","",IFERROR(_xlfn.XLOOKUP($A983,'Movimentação'!$B$7:$B$1006,'Movimentação'!$E$7:$E$1006,"",0,-1),""))</f>
        <v/>
      </c>
      <c r="K983" s="24" t="str">
        <f t="array" ref="K983">IF($A983="","",IFERROR(_xlfn.XLOOKUP($A983,'Movimentação'!$B$7:$B$1006,'Movimentação'!$G$7:$G$1006,"",0,-1),""))</f>
        <v/>
      </c>
      <c r="L983" s="24" t="str">
        <f t="shared" si="3"/>
        <v/>
      </c>
      <c r="M983" s="17"/>
      <c r="N983" s="30" t="str">
        <f t="array" ref="N983">IF($A983="","",IFERROR(IF(OR($L983="BAIXADO",$L983="FURTADO"),0,INDEX(Listas!$J$2:$J$40,MATCH($B983,Listas!$I$2:$I$40,0))),""))</f>
        <v/>
      </c>
      <c r="P983" s="31" t="str">
        <f t="array" ref="P983">IF($A983="","",IFERROR(_xlfn.XLOOKUP($A983,'Movimentação'!$B$7:$B$1006,'Movimentação'!$F$7:$F$1006,"",0,-1),""))</f>
        <v/>
      </c>
      <c r="Q983" s="31">
        <f>IF(COUNTIFS('Manutenção'!$B$7:$B$1006,$A983,'Manutenção'!$H$7:$H$1006,"EM CONSERTO")&gt;0,1,0)</f>
        <v>0</v>
      </c>
    </row>
    <row r="984" ht="15.0" hidden="1" customHeight="1">
      <c r="A984" s="15"/>
      <c r="B984" s="17"/>
      <c r="C984" s="17"/>
      <c r="D984" s="17"/>
      <c r="E984" s="17"/>
      <c r="F984" s="17"/>
      <c r="G984" s="18"/>
      <c r="H984" s="15"/>
      <c r="I984" s="15"/>
      <c r="J984" s="24" t="str">
        <f t="array" ref="J984">IF($A984="","",IFERROR(_xlfn.XLOOKUP($A984,'Movimentação'!$B$7:$B$1006,'Movimentação'!$E$7:$E$1006,"",0,-1),""))</f>
        <v/>
      </c>
      <c r="K984" s="24" t="str">
        <f t="array" ref="K984">IF($A984="","",IFERROR(_xlfn.XLOOKUP($A984,'Movimentação'!$B$7:$B$1006,'Movimentação'!$G$7:$G$1006,"",0,-1),""))</f>
        <v/>
      </c>
      <c r="L984" s="24" t="str">
        <f t="shared" si="3"/>
        <v/>
      </c>
      <c r="M984" s="17"/>
      <c r="N984" s="30" t="str">
        <f t="array" ref="N984">IF($A984="","",IFERROR(IF(OR($L984="BAIXADO",$L984="FURTADO"),0,INDEX(Listas!$J$2:$J$40,MATCH($B984,Listas!$I$2:$I$40,0))),""))</f>
        <v/>
      </c>
      <c r="P984" s="31" t="str">
        <f t="array" ref="P984">IF($A984="","",IFERROR(_xlfn.XLOOKUP($A984,'Movimentação'!$B$7:$B$1006,'Movimentação'!$F$7:$F$1006,"",0,-1),""))</f>
        <v/>
      </c>
      <c r="Q984" s="31">
        <f>IF(COUNTIFS('Manutenção'!$B$7:$B$1006,$A984,'Manutenção'!$H$7:$H$1006,"EM CONSERTO")&gt;0,1,0)</f>
        <v>0</v>
      </c>
    </row>
    <row r="985" ht="15.0" hidden="1" customHeight="1">
      <c r="A985" s="15"/>
      <c r="B985" s="17"/>
      <c r="C985" s="17"/>
      <c r="D985" s="17"/>
      <c r="E985" s="17"/>
      <c r="F985" s="17"/>
      <c r="G985" s="18"/>
      <c r="H985" s="15"/>
      <c r="I985" s="15"/>
      <c r="J985" s="24" t="str">
        <f t="array" ref="J985">IF($A985="","",IFERROR(_xlfn.XLOOKUP($A985,'Movimentação'!$B$7:$B$1006,'Movimentação'!$E$7:$E$1006,"",0,-1),""))</f>
        <v/>
      </c>
      <c r="K985" s="24" t="str">
        <f t="array" ref="K985">IF($A985="","",IFERROR(_xlfn.XLOOKUP($A985,'Movimentação'!$B$7:$B$1006,'Movimentação'!$G$7:$G$1006,"",0,-1),""))</f>
        <v/>
      </c>
      <c r="L985" s="24" t="str">
        <f t="shared" si="3"/>
        <v/>
      </c>
      <c r="M985" s="17"/>
      <c r="N985" s="30" t="str">
        <f t="array" ref="N985">IF($A985="","",IFERROR(IF(OR($L985="BAIXADO",$L985="FURTADO"),0,INDEX(Listas!$J$2:$J$40,MATCH($B985,Listas!$I$2:$I$40,0))),""))</f>
        <v/>
      </c>
      <c r="P985" s="31" t="str">
        <f t="array" ref="P985">IF($A985="","",IFERROR(_xlfn.XLOOKUP($A985,'Movimentação'!$B$7:$B$1006,'Movimentação'!$F$7:$F$1006,"",0,-1),""))</f>
        <v/>
      </c>
      <c r="Q985" s="31">
        <f>IF(COUNTIFS('Manutenção'!$B$7:$B$1006,$A985,'Manutenção'!$H$7:$H$1006,"EM CONSERTO")&gt;0,1,0)</f>
        <v>0</v>
      </c>
    </row>
    <row r="986" ht="15.0" hidden="1" customHeight="1">
      <c r="A986" s="15"/>
      <c r="B986" s="17"/>
      <c r="C986" s="17"/>
      <c r="D986" s="17"/>
      <c r="E986" s="17"/>
      <c r="F986" s="17"/>
      <c r="G986" s="18"/>
      <c r="H986" s="15"/>
      <c r="I986" s="15"/>
      <c r="J986" s="24" t="str">
        <f t="array" ref="J986">IF($A986="","",IFERROR(_xlfn.XLOOKUP($A986,'Movimentação'!$B$7:$B$1006,'Movimentação'!$E$7:$E$1006,"",0,-1),""))</f>
        <v/>
      </c>
      <c r="K986" s="24" t="str">
        <f t="array" ref="K986">IF($A986="","",IFERROR(_xlfn.XLOOKUP($A986,'Movimentação'!$B$7:$B$1006,'Movimentação'!$G$7:$G$1006,"",0,-1),""))</f>
        <v/>
      </c>
      <c r="L986" s="24" t="str">
        <f t="shared" si="3"/>
        <v/>
      </c>
      <c r="M986" s="17"/>
      <c r="N986" s="30" t="str">
        <f t="array" ref="N986">IF($A986="","",IFERROR(IF(OR($L986="BAIXADO",$L986="FURTADO"),0,INDEX(Listas!$J$2:$J$40,MATCH($B986,Listas!$I$2:$I$40,0))),""))</f>
        <v/>
      </c>
      <c r="P986" s="31" t="str">
        <f t="array" ref="P986">IF($A986="","",IFERROR(_xlfn.XLOOKUP($A986,'Movimentação'!$B$7:$B$1006,'Movimentação'!$F$7:$F$1006,"",0,-1),""))</f>
        <v/>
      </c>
      <c r="Q986" s="31">
        <f>IF(COUNTIFS('Manutenção'!$B$7:$B$1006,$A986,'Manutenção'!$H$7:$H$1006,"EM CONSERTO")&gt;0,1,0)</f>
        <v>0</v>
      </c>
    </row>
    <row r="987" ht="15.0" hidden="1" customHeight="1">
      <c r="A987" s="15"/>
      <c r="B987" s="17"/>
      <c r="C987" s="17"/>
      <c r="D987" s="17"/>
      <c r="E987" s="17"/>
      <c r="F987" s="17"/>
      <c r="G987" s="18"/>
      <c r="H987" s="15"/>
      <c r="I987" s="15"/>
      <c r="J987" s="24" t="str">
        <f t="array" ref="J987">IF($A987="","",IFERROR(_xlfn.XLOOKUP($A987,'Movimentação'!$B$7:$B$1006,'Movimentação'!$E$7:$E$1006,"",0,-1),""))</f>
        <v/>
      </c>
      <c r="K987" s="24" t="str">
        <f t="array" ref="K987">IF($A987="","",IFERROR(_xlfn.XLOOKUP($A987,'Movimentação'!$B$7:$B$1006,'Movimentação'!$G$7:$G$1006,"",0,-1),""))</f>
        <v/>
      </c>
      <c r="L987" s="24" t="str">
        <f t="shared" si="3"/>
        <v/>
      </c>
      <c r="M987" s="17"/>
      <c r="N987" s="30" t="str">
        <f t="array" ref="N987">IF($A987="","",IFERROR(IF(OR($L987="BAIXADO",$L987="FURTADO"),0,INDEX(Listas!$J$2:$J$40,MATCH($B987,Listas!$I$2:$I$40,0))),""))</f>
        <v/>
      </c>
      <c r="P987" s="31" t="str">
        <f t="array" ref="P987">IF($A987="","",IFERROR(_xlfn.XLOOKUP($A987,'Movimentação'!$B$7:$B$1006,'Movimentação'!$F$7:$F$1006,"",0,-1),""))</f>
        <v/>
      </c>
      <c r="Q987" s="31">
        <f>IF(COUNTIFS('Manutenção'!$B$7:$B$1006,$A987,'Manutenção'!$H$7:$H$1006,"EM CONSERTO")&gt;0,1,0)</f>
        <v>0</v>
      </c>
    </row>
    <row r="988" ht="15.0" hidden="1" customHeight="1">
      <c r="A988" s="15"/>
      <c r="B988" s="17"/>
      <c r="C988" s="17"/>
      <c r="D988" s="17"/>
      <c r="E988" s="17"/>
      <c r="F988" s="17"/>
      <c r="G988" s="18"/>
      <c r="H988" s="15"/>
      <c r="I988" s="15"/>
      <c r="J988" s="24" t="str">
        <f t="array" ref="J988">IF($A988="","",IFERROR(_xlfn.XLOOKUP($A988,'Movimentação'!$B$7:$B$1006,'Movimentação'!$E$7:$E$1006,"",0,-1),""))</f>
        <v/>
      </c>
      <c r="K988" s="24" t="str">
        <f t="array" ref="K988">IF($A988="","",IFERROR(_xlfn.XLOOKUP($A988,'Movimentação'!$B$7:$B$1006,'Movimentação'!$G$7:$G$1006,"",0,-1),""))</f>
        <v/>
      </c>
      <c r="L988" s="24" t="str">
        <f t="shared" si="3"/>
        <v/>
      </c>
      <c r="M988" s="17"/>
      <c r="N988" s="30" t="str">
        <f t="array" ref="N988">IF($A988="","",IFERROR(IF(OR($L988="BAIXADO",$L988="FURTADO"),0,INDEX(Listas!$J$2:$J$40,MATCH($B988,Listas!$I$2:$I$40,0))),""))</f>
        <v/>
      </c>
      <c r="P988" s="31" t="str">
        <f t="array" ref="P988">IF($A988="","",IFERROR(_xlfn.XLOOKUP($A988,'Movimentação'!$B$7:$B$1006,'Movimentação'!$F$7:$F$1006,"",0,-1),""))</f>
        <v/>
      </c>
      <c r="Q988" s="31">
        <f>IF(COUNTIFS('Manutenção'!$B$7:$B$1006,$A988,'Manutenção'!$H$7:$H$1006,"EM CONSERTO")&gt;0,1,0)</f>
        <v>0</v>
      </c>
    </row>
    <row r="989" ht="15.0" hidden="1" customHeight="1">
      <c r="A989" s="15"/>
      <c r="B989" s="17"/>
      <c r="C989" s="17"/>
      <c r="D989" s="17"/>
      <c r="E989" s="17"/>
      <c r="F989" s="17"/>
      <c r="G989" s="18"/>
      <c r="H989" s="15"/>
      <c r="I989" s="15"/>
      <c r="J989" s="24" t="str">
        <f t="array" ref="J989">IF($A989="","",IFERROR(_xlfn.XLOOKUP($A989,'Movimentação'!$B$7:$B$1006,'Movimentação'!$E$7:$E$1006,"",0,-1),""))</f>
        <v/>
      </c>
      <c r="K989" s="24" t="str">
        <f t="array" ref="K989">IF($A989="","",IFERROR(_xlfn.XLOOKUP($A989,'Movimentação'!$B$7:$B$1006,'Movimentação'!$G$7:$G$1006,"",0,-1),""))</f>
        <v/>
      </c>
      <c r="L989" s="24" t="str">
        <f t="shared" si="3"/>
        <v/>
      </c>
      <c r="M989" s="17"/>
      <c r="N989" s="30" t="str">
        <f t="array" ref="N989">IF($A989="","",IFERROR(IF(OR($L989="BAIXADO",$L989="FURTADO"),0,INDEX(Listas!$J$2:$J$40,MATCH($B989,Listas!$I$2:$I$40,0))),""))</f>
        <v/>
      </c>
      <c r="P989" s="31" t="str">
        <f t="array" ref="P989">IF($A989="","",IFERROR(_xlfn.XLOOKUP($A989,'Movimentação'!$B$7:$B$1006,'Movimentação'!$F$7:$F$1006,"",0,-1),""))</f>
        <v/>
      </c>
      <c r="Q989" s="31">
        <f>IF(COUNTIFS('Manutenção'!$B$7:$B$1006,$A989,'Manutenção'!$H$7:$H$1006,"EM CONSERTO")&gt;0,1,0)</f>
        <v>0</v>
      </c>
    </row>
    <row r="990" ht="15.0" hidden="1" customHeight="1">
      <c r="A990" s="15"/>
      <c r="B990" s="17"/>
      <c r="C990" s="17"/>
      <c r="D990" s="17"/>
      <c r="E990" s="17"/>
      <c r="F990" s="17"/>
      <c r="G990" s="18"/>
      <c r="H990" s="15"/>
      <c r="I990" s="15"/>
      <c r="J990" s="24" t="str">
        <f t="array" ref="J990">IF($A990="","",IFERROR(_xlfn.XLOOKUP($A990,'Movimentação'!$B$7:$B$1006,'Movimentação'!$E$7:$E$1006,"",0,-1),""))</f>
        <v/>
      </c>
      <c r="K990" s="24" t="str">
        <f t="array" ref="K990">IF($A990="","",IFERROR(_xlfn.XLOOKUP($A990,'Movimentação'!$B$7:$B$1006,'Movimentação'!$G$7:$G$1006,"",0,-1),""))</f>
        <v/>
      </c>
      <c r="L990" s="24" t="str">
        <f t="shared" si="3"/>
        <v/>
      </c>
      <c r="M990" s="17"/>
      <c r="N990" s="30" t="str">
        <f t="array" ref="N990">IF($A990="","",IFERROR(IF(OR($L990="BAIXADO",$L990="FURTADO"),0,INDEX(Listas!$J$2:$J$40,MATCH($B990,Listas!$I$2:$I$40,0))),""))</f>
        <v/>
      </c>
      <c r="P990" s="31" t="str">
        <f t="array" ref="P990">IF($A990="","",IFERROR(_xlfn.XLOOKUP($A990,'Movimentação'!$B$7:$B$1006,'Movimentação'!$F$7:$F$1006,"",0,-1),""))</f>
        <v/>
      </c>
      <c r="Q990" s="31">
        <f>IF(COUNTIFS('Manutenção'!$B$7:$B$1006,$A990,'Manutenção'!$H$7:$H$1006,"EM CONSERTO")&gt;0,1,0)</f>
        <v>0</v>
      </c>
    </row>
    <row r="991" ht="15.0" hidden="1" customHeight="1">
      <c r="A991" s="15"/>
      <c r="B991" s="17"/>
      <c r="C991" s="17"/>
      <c r="D991" s="17"/>
      <c r="E991" s="17"/>
      <c r="F991" s="17"/>
      <c r="G991" s="18"/>
      <c r="H991" s="15"/>
      <c r="I991" s="15"/>
      <c r="J991" s="24" t="str">
        <f t="array" ref="J991">IF($A991="","",IFERROR(_xlfn.XLOOKUP($A991,'Movimentação'!$B$7:$B$1006,'Movimentação'!$E$7:$E$1006,"",0,-1),""))</f>
        <v/>
      </c>
      <c r="K991" s="24" t="str">
        <f t="array" ref="K991">IF($A991="","",IFERROR(_xlfn.XLOOKUP($A991,'Movimentação'!$B$7:$B$1006,'Movimentação'!$G$7:$G$1006,"",0,-1),""))</f>
        <v/>
      </c>
      <c r="L991" s="24" t="str">
        <f t="shared" si="3"/>
        <v/>
      </c>
      <c r="M991" s="17"/>
      <c r="N991" s="30" t="str">
        <f t="array" ref="N991">IF($A991="","",IFERROR(IF(OR($L991="BAIXADO",$L991="FURTADO"),0,INDEX(Listas!$J$2:$J$40,MATCH($B991,Listas!$I$2:$I$40,0))),""))</f>
        <v/>
      </c>
      <c r="P991" s="31" t="str">
        <f t="array" ref="P991">IF($A991="","",IFERROR(_xlfn.XLOOKUP($A991,'Movimentação'!$B$7:$B$1006,'Movimentação'!$F$7:$F$1006,"",0,-1),""))</f>
        <v/>
      </c>
      <c r="Q991" s="31">
        <f>IF(COUNTIFS('Manutenção'!$B$7:$B$1006,$A991,'Manutenção'!$H$7:$H$1006,"EM CONSERTO")&gt;0,1,0)</f>
        <v>0</v>
      </c>
    </row>
    <row r="992" ht="15.0" hidden="1" customHeight="1">
      <c r="A992" s="15"/>
      <c r="B992" s="17"/>
      <c r="C992" s="17"/>
      <c r="D992" s="17"/>
      <c r="E992" s="17"/>
      <c r="F992" s="17"/>
      <c r="G992" s="18"/>
      <c r="H992" s="15"/>
      <c r="I992" s="15"/>
      <c r="J992" s="24" t="str">
        <f t="array" ref="J992">IF($A992="","",IFERROR(_xlfn.XLOOKUP($A992,'Movimentação'!$B$7:$B$1006,'Movimentação'!$E$7:$E$1006,"",0,-1),""))</f>
        <v/>
      </c>
      <c r="K992" s="24" t="str">
        <f t="array" ref="K992">IF($A992="","",IFERROR(_xlfn.XLOOKUP($A992,'Movimentação'!$B$7:$B$1006,'Movimentação'!$G$7:$G$1006,"",0,-1),""))</f>
        <v/>
      </c>
      <c r="L992" s="24" t="str">
        <f t="shared" si="3"/>
        <v/>
      </c>
      <c r="M992" s="17"/>
      <c r="N992" s="30" t="str">
        <f t="array" ref="N992">IF($A992="","",IFERROR(IF(OR($L992="BAIXADO",$L992="FURTADO"),0,INDEX(Listas!$J$2:$J$40,MATCH($B992,Listas!$I$2:$I$40,0))),""))</f>
        <v/>
      </c>
      <c r="P992" s="31" t="str">
        <f t="array" ref="P992">IF($A992="","",IFERROR(_xlfn.XLOOKUP($A992,'Movimentação'!$B$7:$B$1006,'Movimentação'!$F$7:$F$1006,"",0,-1),""))</f>
        <v/>
      </c>
      <c r="Q992" s="31">
        <f>IF(COUNTIFS('Manutenção'!$B$7:$B$1006,$A992,'Manutenção'!$H$7:$H$1006,"EM CONSERTO")&gt;0,1,0)</f>
        <v>0</v>
      </c>
    </row>
    <row r="993" ht="15.0" hidden="1" customHeight="1">
      <c r="A993" s="15"/>
      <c r="B993" s="17"/>
      <c r="C993" s="17"/>
      <c r="D993" s="17"/>
      <c r="E993" s="17"/>
      <c r="F993" s="17"/>
      <c r="G993" s="18"/>
      <c r="H993" s="15"/>
      <c r="I993" s="15"/>
      <c r="J993" s="24" t="str">
        <f t="array" ref="J993">IF($A993="","",IFERROR(_xlfn.XLOOKUP($A993,'Movimentação'!$B$7:$B$1006,'Movimentação'!$E$7:$E$1006,"",0,-1),""))</f>
        <v/>
      </c>
      <c r="K993" s="24" t="str">
        <f t="array" ref="K993">IF($A993="","",IFERROR(_xlfn.XLOOKUP($A993,'Movimentação'!$B$7:$B$1006,'Movimentação'!$G$7:$G$1006,"",0,-1),""))</f>
        <v/>
      </c>
      <c r="L993" s="24" t="str">
        <f t="shared" si="3"/>
        <v/>
      </c>
      <c r="M993" s="17"/>
      <c r="N993" s="30" t="str">
        <f t="array" ref="N993">IF($A993="","",IFERROR(IF(OR($L993="BAIXADO",$L993="FURTADO"),0,INDEX(Listas!$J$2:$J$40,MATCH($B993,Listas!$I$2:$I$40,0))),""))</f>
        <v/>
      </c>
      <c r="P993" s="31" t="str">
        <f t="array" ref="P993">IF($A993="","",IFERROR(_xlfn.XLOOKUP($A993,'Movimentação'!$B$7:$B$1006,'Movimentação'!$F$7:$F$1006,"",0,-1),""))</f>
        <v/>
      </c>
      <c r="Q993" s="31">
        <f>IF(COUNTIFS('Manutenção'!$B$7:$B$1006,$A993,'Manutenção'!$H$7:$H$1006,"EM CONSERTO")&gt;0,1,0)</f>
        <v>0</v>
      </c>
    </row>
    <row r="994" ht="15.0" hidden="1" customHeight="1">
      <c r="A994" s="15"/>
      <c r="B994" s="17"/>
      <c r="C994" s="17"/>
      <c r="D994" s="17"/>
      <c r="E994" s="17"/>
      <c r="F994" s="17"/>
      <c r="G994" s="18"/>
      <c r="H994" s="15"/>
      <c r="I994" s="15"/>
      <c r="J994" s="24" t="str">
        <f t="array" ref="J994">IF($A994="","",IFERROR(_xlfn.XLOOKUP($A994,'Movimentação'!$B$7:$B$1006,'Movimentação'!$E$7:$E$1006,"",0,-1),""))</f>
        <v/>
      </c>
      <c r="K994" s="24" t="str">
        <f t="array" ref="K994">IF($A994="","",IFERROR(_xlfn.XLOOKUP($A994,'Movimentação'!$B$7:$B$1006,'Movimentação'!$G$7:$G$1006,"",0,-1),""))</f>
        <v/>
      </c>
      <c r="L994" s="24" t="str">
        <f t="shared" si="3"/>
        <v/>
      </c>
      <c r="M994" s="17"/>
      <c r="N994" s="30" t="str">
        <f t="array" ref="N994">IF($A994="","",IFERROR(IF(OR($L994="BAIXADO",$L994="FURTADO"),0,INDEX(Listas!$J$2:$J$40,MATCH($B994,Listas!$I$2:$I$40,0))),""))</f>
        <v/>
      </c>
      <c r="P994" s="31" t="str">
        <f t="array" ref="P994">IF($A994="","",IFERROR(_xlfn.XLOOKUP($A994,'Movimentação'!$B$7:$B$1006,'Movimentação'!$F$7:$F$1006,"",0,-1),""))</f>
        <v/>
      </c>
      <c r="Q994" s="31">
        <f>IF(COUNTIFS('Manutenção'!$B$7:$B$1006,$A994,'Manutenção'!$H$7:$H$1006,"EM CONSERTO")&gt;0,1,0)</f>
        <v>0</v>
      </c>
    </row>
    <row r="995" ht="15.0" hidden="1" customHeight="1">
      <c r="A995" s="15"/>
      <c r="B995" s="17"/>
      <c r="C995" s="17"/>
      <c r="D995" s="17"/>
      <c r="E995" s="17"/>
      <c r="F995" s="17"/>
      <c r="G995" s="18"/>
      <c r="H995" s="15"/>
      <c r="I995" s="15"/>
      <c r="J995" s="24" t="str">
        <f t="array" ref="J995">IF($A995="","",IFERROR(_xlfn.XLOOKUP($A995,'Movimentação'!$B$7:$B$1006,'Movimentação'!$E$7:$E$1006,"",0,-1),""))</f>
        <v/>
      </c>
      <c r="K995" s="24" t="str">
        <f t="array" ref="K995">IF($A995="","",IFERROR(_xlfn.XLOOKUP($A995,'Movimentação'!$B$7:$B$1006,'Movimentação'!$G$7:$G$1006,"",0,-1),""))</f>
        <v/>
      </c>
      <c r="L995" s="24" t="str">
        <f t="shared" si="3"/>
        <v/>
      </c>
      <c r="M995" s="17"/>
      <c r="N995" s="30" t="str">
        <f t="array" ref="N995">IF($A995="","",IFERROR(IF(OR($L995="BAIXADO",$L995="FURTADO"),0,INDEX(Listas!$J$2:$J$40,MATCH($B995,Listas!$I$2:$I$40,0))),""))</f>
        <v/>
      </c>
      <c r="P995" s="31" t="str">
        <f t="array" ref="P995">IF($A995="","",IFERROR(_xlfn.XLOOKUP($A995,'Movimentação'!$B$7:$B$1006,'Movimentação'!$F$7:$F$1006,"",0,-1),""))</f>
        <v/>
      </c>
      <c r="Q995" s="31">
        <f>IF(COUNTIFS('Manutenção'!$B$7:$B$1006,$A995,'Manutenção'!$H$7:$H$1006,"EM CONSERTO")&gt;0,1,0)</f>
        <v>0</v>
      </c>
    </row>
    <row r="996" ht="15.0" hidden="1" customHeight="1">
      <c r="A996" s="15"/>
      <c r="B996" s="17"/>
      <c r="C996" s="17"/>
      <c r="D996" s="17"/>
      <c r="E996" s="17"/>
      <c r="F996" s="17"/>
      <c r="G996" s="18"/>
      <c r="H996" s="15"/>
      <c r="I996" s="15"/>
      <c r="J996" s="24" t="str">
        <f t="array" ref="J996">IF($A996="","",IFERROR(_xlfn.XLOOKUP($A996,'Movimentação'!$B$7:$B$1006,'Movimentação'!$E$7:$E$1006,"",0,-1),""))</f>
        <v/>
      </c>
      <c r="K996" s="24" t="str">
        <f t="array" ref="K996">IF($A996="","",IFERROR(_xlfn.XLOOKUP($A996,'Movimentação'!$B$7:$B$1006,'Movimentação'!$G$7:$G$1006,"",0,-1),""))</f>
        <v/>
      </c>
      <c r="L996" s="24" t="str">
        <f t="shared" si="3"/>
        <v/>
      </c>
      <c r="M996" s="17"/>
      <c r="N996" s="30" t="str">
        <f t="array" ref="N996">IF($A996="","",IFERROR(IF(OR($L996="BAIXADO",$L996="FURTADO"),0,INDEX(Listas!$J$2:$J$40,MATCH($B996,Listas!$I$2:$I$40,0))),""))</f>
        <v/>
      </c>
      <c r="P996" s="31" t="str">
        <f t="array" ref="P996">IF($A996="","",IFERROR(_xlfn.XLOOKUP($A996,'Movimentação'!$B$7:$B$1006,'Movimentação'!$F$7:$F$1006,"",0,-1),""))</f>
        <v/>
      </c>
      <c r="Q996" s="31">
        <f>IF(COUNTIFS('Manutenção'!$B$7:$B$1006,$A996,'Manutenção'!$H$7:$H$1006,"EM CONSERTO")&gt;0,1,0)</f>
        <v>0</v>
      </c>
    </row>
    <row r="997" ht="15.0" hidden="1" customHeight="1">
      <c r="A997" s="15"/>
      <c r="B997" s="17"/>
      <c r="C997" s="17"/>
      <c r="D997" s="17"/>
      <c r="E997" s="17"/>
      <c r="F997" s="17"/>
      <c r="G997" s="18"/>
      <c r="H997" s="15"/>
      <c r="I997" s="15"/>
      <c r="J997" s="24" t="str">
        <f t="array" ref="J997">IF($A997="","",IFERROR(_xlfn.XLOOKUP($A997,'Movimentação'!$B$7:$B$1006,'Movimentação'!$E$7:$E$1006,"",0,-1),""))</f>
        <v/>
      </c>
      <c r="K997" s="24" t="str">
        <f t="array" ref="K997">IF($A997="","",IFERROR(_xlfn.XLOOKUP($A997,'Movimentação'!$B$7:$B$1006,'Movimentação'!$G$7:$G$1006,"",0,-1),""))</f>
        <v/>
      </c>
      <c r="L997" s="24" t="str">
        <f t="shared" si="3"/>
        <v/>
      </c>
      <c r="M997" s="17"/>
      <c r="N997" s="30" t="str">
        <f t="array" ref="N997">IF($A997="","",IFERROR(IF(OR($L997="BAIXADO",$L997="FURTADO"),0,INDEX(Listas!$J$2:$J$40,MATCH($B997,Listas!$I$2:$I$40,0))),""))</f>
        <v/>
      </c>
      <c r="P997" s="31" t="str">
        <f t="array" ref="P997">IF($A997="","",IFERROR(_xlfn.XLOOKUP($A997,'Movimentação'!$B$7:$B$1006,'Movimentação'!$F$7:$F$1006,"",0,-1),""))</f>
        <v/>
      </c>
      <c r="Q997" s="31">
        <f>IF(COUNTIFS('Manutenção'!$B$7:$B$1006,$A997,'Manutenção'!$H$7:$H$1006,"EM CONSERTO")&gt;0,1,0)</f>
        <v>0</v>
      </c>
    </row>
    <row r="998" ht="15.0" hidden="1" customHeight="1">
      <c r="A998" s="15"/>
      <c r="B998" s="17"/>
      <c r="C998" s="17"/>
      <c r="D998" s="17"/>
      <c r="E998" s="17"/>
      <c r="F998" s="17"/>
      <c r="G998" s="18"/>
      <c r="H998" s="15"/>
      <c r="I998" s="15"/>
      <c r="J998" s="24" t="str">
        <f t="array" ref="J998">IF($A998="","",IFERROR(_xlfn.XLOOKUP($A998,'Movimentação'!$B$7:$B$1006,'Movimentação'!$E$7:$E$1006,"",0,-1),""))</f>
        <v/>
      </c>
      <c r="K998" s="24" t="str">
        <f t="array" ref="K998">IF($A998="","",IFERROR(_xlfn.XLOOKUP($A998,'Movimentação'!$B$7:$B$1006,'Movimentação'!$G$7:$G$1006,"",0,-1),""))</f>
        <v/>
      </c>
      <c r="L998" s="24" t="str">
        <f t="shared" si="3"/>
        <v/>
      </c>
      <c r="M998" s="17"/>
      <c r="N998" s="30" t="str">
        <f t="array" ref="N998">IF($A998="","",IFERROR(IF(OR($L998="BAIXADO",$L998="FURTADO"),0,INDEX(Listas!$J$2:$J$40,MATCH($B998,Listas!$I$2:$I$40,0))),""))</f>
        <v/>
      </c>
      <c r="P998" s="31" t="str">
        <f t="array" ref="P998">IF($A998="","",IFERROR(_xlfn.XLOOKUP($A998,'Movimentação'!$B$7:$B$1006,'Movimentação'!$F$7:$F$1006,"",0,-1),""))</f>
        <v/>
      </c>
      <c r="Q998" s="31">
        <f>IF(COUNTIFS('Manutenção'!$B$7:$B$1006,$A998,'Manutenção'!$H$7:$H$1006,"EM CONSERTO")&gt;0,1,0)</f>
        <v>0</v>
      </c>
    </row>
    <row r="999" ht="15.0" hidden="1" customHeight="1">
      <c r="A999" s="15"/>
      <c r="B999" s="17"/>
      <c r="C999" s="17"/>
      <c r="D999" s="17"/>
      <c r="E999" s="17"/>
      <c r="F999" s="17"/>
      <c r="G999" s="18"/>
      <c r="H999" s="15"/>
      <c r="I999" s="15"/>
      <c r="J999" s="24" t="str">
        <f t="array" ref="J999">IF($A999="","",IFERROR(_xlfn.XLOOKUP($A999,'Movimentação'!$B$7:$B$1006,'Movimentação'!$E$7:$E$1006,"",0,-1),""))</f>
        <v/>
      </c>
      <c r="K999" s="24" t="str">
        <f t="array" ref="K999">IF($A999="","",IFERROR(_xlfn.XLOOKUP($A999,'Movimentação'!$B$7:$B$1006,'Movimentação'!$G$7:$G$1006,"",0,-1),""))</f>
        <v/>
      </c>
      <c r="L999" s="24" t="str">
        <f t="shared" si="3"/>
        <v/>
      </c>
      <c r="M999" s="17"/>
      <c r="N999" s="30" t="str">
        <f t="array" ref="N999">IF($A999="","",IFERROR(IF(OR($L999="BAIXADO",$L999="FURTADO"),0,INDEX(Listas!$J$2:$J$40,MATCH($B999,Listas!$I$2:$I$40,0))),""))</f>
        <v/>
      </c>
      <c r="P999" s="31" t="str">
        <f t="array" ref="P999">IF($A999="","",IFERROR(_xlfn.XLOOKUP($A999,'Movimentação'!$B$7:$B$1006,'Movimentação'!$F$7:$F$1006,"",0,-1),""))</f>
        <v/>
      </c>
      <c r="Q999" s="31">
        <f>IF(COUNTIFS('Manutenção'!$B$7:$B$1006,$A999,'Manutenção'!$H$7:$H$1006,"EM CONSERTO")&gt;0,1,0)</f>
        <v>0</v>
      </c>
    </row>
    <row r="1000" ht="15.0" hidden="1" customHeight="1">
      <c r="A1000" s="15"/>
      <c r="B1000" s="17"/>
      <c r="C1000" s="17"/>
      <c r="D1000" s="17"/>
      <c r="E1000" s="17"/>
      <c r="F1000" s="17"/>
      <c r="G1000" s="18"/>
      <c r="H1000" s="15"/>
      <c r="I1000" s="15"/>
      <c r="J1000" s="24" t="str">
        <f t="array" ref="J1000">IF($A1000="","",IFERROR(_xlfn.XLOOKUP($A1000,'Movimentação'!$B$7:$B$1006,'Movimentação'!$E$7:$E$1006,"",0,-1),""))</f>
        <v/>
      </c>
      <c r="K1000" s="24" t="str">
        <f t="array" ref="K1000">IF($A1000="","",IFERROR(_xlfn.XLOOKUP($A1000,'Movimentação'!$B$7:$B$1006,'Movimentação'!$G$7:$G$1006,"",0,-1),""))</f>
        <v/>
      </c>
      <c r="L1000" s="24" t="str">
        <f t="shared" si="3"/>
        <v/>
      </c>
      <c r="M1000" s="17"/>
      <c r="N1000" s="30" t="str">
        <f t="array" ref="N1000">IF($A1000="","",IFERROR(IF(OR($L1000="BAIXADO",$L1000="FURTADO"),0,INDEX(Listas!$J$2:$J$40,MATCH($B1000,Listas!$I$2:$I$40,0))),""))</f>
        <v/>
      </c>
      <c r="P1000" s="31" t="str">
        <f t="array" ref="P1000">IF($A1000="","",IFERROR(_xlfn.XLOOKUP($A1000,'Movimentação'!$B$7:$B$1006,'Movimentação'!$F$7:$F$1006,"",0,-1),""))</f>
        <v/>
      </c>
      <c r="Q1000" s="31">
        <f>IF(COUNTIFS('Manutenção'!$B$7:$B$1006,$A1000,'Manutenção'!$H$7:$H$1006,"EM CONSERTO")&gt;0,1,0)</f>
        <v>0</v>
      </c>
    </row>
    <row r="1001" ht="15.0" hidden="1" customHeight="1">
      <c r="A1001" s="15"/>
      <c r="B1001" s="17"/>
      <c r="C1001" s="17"/>
      <c r="D1001" s="17"/>
      <c r="E1001" s="17"/>
      <c r="F1001" s="17"/>
      <c r="G1001" s="18"/>
      <c r="H1001" s="15"/>
      <c r="I1001" s="15"/>
      <c r="J1001" s="24" t="str">
        <f t="array" ref="J1001">IF($A1001="","",IFERROR(_xlfn.XLOOKUP($A1001,'Movimentação'!$B$7:$B$1006,'Movimentação'!$E$7:$E$1006,"",0,-1),""))</f>
        <v/>
      </c>
      <c r="K1001" s="24" t="str">
        <f t="array" ref="K1001">IF($A1001="","",IFERROR(_xlfn.XLOOKUP($A1001,'Movimentação'!$B$7:$B$1006,'Movimentação'!$G$7:$G$1006,"",0,-1),""))</f>
        <v/>
      </c>
      <c r="L1001" s="24" t="str">
        <f t="shared" si="3"/>
        <v/>
      </c>
      <c r="M1001" s="17"/>
      <c r="N1001" s="30" t="str">
        <f t="array" ref="N1001">IF($A1001="","",IFERROR(IF(OR($L1001="BAIXADO",$L1001="FURTADO"),0,INDEX(Listas!$J$2:$J$40,MATCH($B1001,Listas!$I$2:$I$40,0))),""))</f>
        <v/>
      </c>
      <c r="P1001" s="31" t="str">
        <f t="array" ref="P1001">IF($A1001="","",IFERROR(_xlfn.XLOOKUP($A1001,'Movimentação'!$B$7:$B$1006,'Movimentação'!$F$7:$F$1006,"",0,-1),""))</f>
        <v/>
      </c>
      <c r="Q1001" s="31">
        <f>IF(COUNTIFS('Manutenção'!$B$7:$B$1006,$A1001,'Manutenção'!$H$7:$H$1006,"EM CONSERTO")&gt;0,1,0)</f>
        <v>0</v>
      </c>
    </row>
    <row r="1002" ht="15.0" hidden="1" customHeight="1">
      <c r="A1002" s="15"/>
      <c r="B1002" s="17"/>
      <c r="C1002" s="17"/>
      <c r="D1002" s="17"/>
      <c r="E1002" s="17"/>
      <c r="F1002" s="17"/>
      <c r="G1002" s="18"/>
      <c r="H1002" s="15"/>
      <c r="I1002" s="15"/>
      <c r="J1002" s="24" t="str">
        <f t="array" ref="J1002">IF($A1002="","",IFERROR(_xlfn.XLOOKUP($A1002,'Movimentação'!$B$7:$B$1006,'Movimentação'!$E$7:$E$1006,"",0,-1),""))</f>
        <v/>
      </c>
      <c r="K1002" s="24" t="str">
        <f t="array" ref="K1002">IF($A1002="","",IFERROR(_xlfn.XLOOKUP($A1002,'Movimentação'!$B$7:$B$1006,'Movimentação'!$G$7:$G$1006,"",0,-1),""))</f>
        <v/>
      </c>
      <c r="L1002" s="24" t="str">
        <f t="shared" si="3"/>
        <v/>
      </c>
      <c r="M1002" s="17"/>
      <c r="N1002" s="30" t="str">
        <f t="array" ref="N1002">IF($A1002="","",IFERROR(IF(OR($L1002="BAIXADO",$L1002="FURTADO"),0,INDEX(Listas!$J$2:$J$40,MATCH($B1002,Listas!$I$2:$I$40,0))),""))</f>
        <v/>
      </c>
      <c r="P1002" s="31" t="str">
        <f t="array" ref="P1002">IF($A1002="","",IFERROR(_xlfn.XLOOKUP($A1002,'Movimentação'!$B$7:$B$1006,'Movimentação'!$F$7:$F$1006,"",0,-1),""))</f>
        <v/>
      </c>
      <c r="Q1002" s="31">
        <f>IF(COUNTIFS('Manutenção'!$B$7:$B$1006,$A1002,'Manutenção'!$H$7:$H$1006,"EM CONSERTO")&gt;0,1,0)</f>
        <v>0</v>
      </c>
    </row>
    <row r="1003" ht="15.0" hidden="1" customHeight="1">
      <c r="A1003" s="15"/>
      <c r="B1003" s="17"/>
      <c r="C1003" s="17"/>
      <c r="D1003" s="17"/>
      <c r="E1003" s="17"/>
      <c r="F1003" s="17"/>
      <c r="G1003" s="18"/>
      <c r="H1003" s="15"/>
      <c r="I1003" s="15"/>
      <c r="J1003" s="24" t="str">
        <f t="array" ref="J1003">IF($A1003="","",IFERROR(_xlfn.XLOOKUP($A1003,'Movimentação'!$B$7:$B$1006,'Movimentação'!$E$7:$E$1006,"",0,-1),""))</f>
        <v/>
      </c>
      <c r="K1003" s="24" t="str">
        <f t="array" ref="K1003">IF($A1003="","",IFERROR(_xlfn.XLOOKUP($A1003,'Movimentação'!$B$7:$B$1006,'Movimentação'!$G$7:$G$1006,"",0,-1),""))</f>
        <v/>
      </c>
      <c r="L1003" s="24" t="str">
        <f t="shared" si="3"/>
        <v/>
      </c>
      <c r="M1003" s="17"/>
      <c r="N1003" s="30" t="str">
        <f t="array" ref="N1003">IF($A1003="","",IFERROR(IF(OR($L1003="BAIXADO",$L1003="FURTADO"),0,INDEX(Listas!$J$2:$J$40,MATCH($B1003,Listas!$I$2:$I$40,0))),""))</f>
        <v/>
      </c>
      <c r="P1003" s="31" t="str">
        <f t="array" ref="P1003">IF($A1003="","",IFERROR(_xlfn.XLOOKUP($A1003,'Movimentação'!$B$7:$B$1006,'Movimentação'!$F$7:$F$1006,"",0,-1),""))</f>
        <v/>
      </c>
      <c r="Q1003" s="31">
        <f>IF(COUNTIFS('Manutenção'!$B$7:$B$1006,$A1003,'Manutenção'!$H$7:$H$1006,"EM CONSERTO")&gt;0,1,0)</f>
        <v>0</v>
      </c>
    </row>
    <row r="1004" ht="15.0" customHeight="1">
      <c r="A1004" s="51"/>
      <c r="B1004" s="50"/>
      <c r="C1004" s="50"/>
      <c r="D1004" s="50"/>
      <c r="E1004" s="50"/>
      <c r="F1004" s="50"/>
      <c r="G1004" s="52"/>
      <c r="H1004" s="51"/>
      <c r="I1004" s="51"/>
      <c r="J1004" s="66"/>
      <c r="K1004" s="66"/>
      <c r="L1004" s="66"/>
      <c r="M1004" s="50"/>
      <c r="N1004" s="67"/>
    </row>
    <row r="1005" ht="15.0" customHeight="1">
      <c r="A1005" s="51"/>
      <c r="B1005" s="50"/>
      <c r="C1005" s="50"/>
      <c r="D1005" s="50"/>
      <c r="E1005" s="50"/>
      <c r="F1005" s="50"/>
      <c r="G1005" s="52"/>
      <c r="H1005" s="51"/>
      <c r="I1005" s="51"/>
      <c r="J1005" s="66"/>
      <c r="K1005" s="66"/>
      <c r="L1005" s="66"/>
      <c r="M1005" s="50"/>
      <c r="N1005" s="67"/>
    </row>
    <row r="1006" ht="15.0" customHeight="1">
      <c r="A1006" s="51"/>
      <c r="B1006" s="50"/>
      <c r="C1006" s="50"/>
      <c r="D1006" s="50"/>
      <c r="E1006" s="50"/>
      <c r="F1006" s="50"/>
      <c r="G1006" s="52"/>
      <c r="H1006" s="51"/>
      <c r="I1006" s="51"/>
      <c r="J1006" s="66"/>
      <c r="K1006" s="66"/>
      <c r="L1006" s="66"/>
      <c r="M1006" s="50"/>
      <c r="N1006" s="67"/>
    </row>
    <row r="1007" ht="15.0" customHeight="1">
      <c r="A1007" s="51"/>
      <c r="B1007" s="50"/>
      <c r="C1007" s="50"/>
      <c r="D1007" s="50"/>
      <c r="E1007" s="50"/>
      <c r="F1007" s="50"/>
      <c r="G1007" s="52"/>
      <c r="H1007" s="51"/>
      <c r="I1007" s="51"/>
      <c r="J1007" s="66"/>
      <c r="K1007" s="66"/>
      <c r="L1007" s="66"/>
      <c r="M1007" s="50"/>
      <c r="N1007" s="67"/>
    </row>
    <row r="1008" ht="15.0" customHeight="1">
      <c r="A1008" s="51"/>
      <c r="B1008" s="50"/>
      <c r="C1008" s="50"/>
      <c r="D1008" s="50"/>
      <c r="E1008" s="50"/>
      <c r="F1008" s="50"/>
      <c r="G1008" s="52"/>
      <c r="H1008" s="51"/>
      <c r="I1008" s="51"/>
      <c r="J1008" s="66"/>
      <c r="K1008" s="66"/>
      <c r="L1008" s="66"/>
      <c r="M1008" s="50"/>
      <c r="N1008" s="67"/>
    </row>
    <row r="1009" ht="15.0" customHeight="1">
      <c r="A1009" s="51"/>
      <c r="B1009" s="50"/>
      <c r="C1009" s="50"/>
      <c r="D1009" s="50"/>
      <c r="E1009" s="50"/>
      <c r="F1009" s="50"/>
      <c r="G1009" s="52"/>
      <c r="H1009" s="51"/>
      <c r="I1009" s="51"/>
      <c r="J1009" s="66"/>
      <c r="K1009" s="66"/>
      <c r="L1009" s="66"/>
      <c r="M1009" s="50"/>
      <c r="N1009" s="67"/>
    </row>
    <row r="1010" ht="15.0" customHeight="1">
      <c r="A1010" s="51"/>
      <c r="B1010" s="50"/>
      <c r="C1010" s="50"/>
      <c r="D1010" s="50"/>
      <c r="E1010" s="50"/>
      <c r="F1010" s="50"/>
      <c r="G1010" s="52"/>
      <c r="H1010" s="51"/>
      <c r="I1010" s="51"/>
      <c r="J1010" s="66"/>
      <c r="K1010" s="66"/>
      <c r="L1010" s="66"/>
      <c r="M1010" s="50"/>
      <c r="N1010" s="67"/>
    </row>
    <row r="1011" ht="15.0" customHeight="1">
      <c r="A1011" s="51"/>
      <c r="B1011" s="50"/>
      <c r="C1011" s="50"/>
      <c r="D1011" s="50"/>
      <c r="E1011" s="50"/>
      <c r="F1011" s="50"/>
      <c r="G1011" s="52"/>
      <c r="H1011" s="51"/>
      <c r="I1011" s="51"/>
      <c r="J1011" s="66"/>
      <c r="K1011" s="66"/>
      <c r="L1011" s="66"/>
      <c r="M1011" s="50"/>
      <c r="N1011" s="67"/>
    </row>
    <row r="1012" ht="15.0" customHeight="1">
      <c r="A1012" s="51"/>
      <c r="B1012" s="50"/>
      <c r="C1012" s="50"/>
      <c r="D1012" s="50"/>
      <c r="E1012" s="50"/>
      <c r="F1012" s="50"/>
      <c r="G1012" s="52"/>
      <c r="H1012" s="51"/>
      <c r="I1012" s="51"/>
      <c r="J1012" s="66"/>
      <c r="K1012" s="66"/>
      <c r="L1012" s="66"/>
      <c r="M1012" s="50"/>
      <c r="N1012" s="67"/>
    </row>
    <row r="1013" ht="15.0" customHeight="1">
      <c r="A1013" s="51"/>
      <c r="B1013" s="50"/>
      <c r="C1013" s="50"/>
      <c r="D1013" s="50"/>
      <c r="E1013" s="50"/>
      <c r="F1013" s="50"/>
      <c r="G1013" s="52"/>
      <c r="H1013" s="51"/>
      <c r="I1013" s="51"/>
      <c r="J1013" s="66"/>
      <c r="K1013" s="66"/>
      <c r="L1013" s="66"/>
      <c r="M1013" s="50"/>
      <c r="N1013" s="67"/>
    </row>
    <row r="1014" ht="15.0" customHeight="1">
      <c r="A1014" s="51"/>
      <c r="B1014" s="50"/>
      <c r="C1014" s="50"/>
      <c r="D1014" s="50"/>
      <c r="E1014" s="50"/>
      <c r="F1014" s="50"/>
      <c r="G1014" s="52"/>
      <c r="H1014" s="51"/>
      <c r="I1014" s="51"/>
      <c r="J1014" s="66"/>
      <c r="K1014" s="66"/>
      <c r="L1014" s="66"/>
      <c r="M1014" s="50"/>
      <c r="N1014" s="67"/>
    </row>
    <row r="1015" ht="15.0" customHeight="1">
      <c r="A1015" s="51"/>
      <c r="B1015" s="50"/>
      <c r="C1015" s="50"/>
      <c r="D1015" s="50"/>
      <c r="E1015" s="50"/>
      <c r="F1015" s="50"/>
      <c r="G1015" s="52"/>
      <c r="H1015" s="51"/>
      <c r="I1015" s="51"/>
      <c r="J1015" s="66"/>
      <c r="K1015" s="66"/>
      <c r="L1015" s="66"/>
      <c r="M1015" s="50"/>
      <c r="N1015" s="67"/>
    </row>
    <row r="1016" ht="15.0" customHeight="1">
      <c r="A1016" s="51"/>
      <c r="B1016" s="50"/>
      <c r="C1016" s="50"/>
      <c r="D1016" s="50"/>
      <c r="E1016" s="50"/>
      <c r="F1016" s="50"/>
      <c r="G1016" s="52"/>
      <c r="H1016" s="51"/>
      <c r="I1016" s="51"/>
      <c r="J1016" s="66"/>
      <c r="K1016" s="66"/>
      <c r="L1016" s="66"/>
      <c r="M1016" s="50"/>
      <c r="N1016" s="67"/>
    </row>
    <row r="1017" ht="15.0" customHeight="1">
      <c r="A1017" s="51"/>
      <c r="B1017" s="50"/>
      <c r="C1017" s="50"/>
      <c r="D1017" s="50"/>
      <c r="E1017" s="50"/>
      <c r="F1017" s="50"/>
      <c r="G1017" s="52"/>
      <c r="H1017" s="51"/>
      <c r="I1017" s="51"/>
      <c r="J1017" s="66"/>
      <c r="K1017" s="66"/>
      <c r="L1017" s="66"/>
      <c r="M1017" s="50"/>
      <c r="N1017" s="67"/>
    </row>
    <row r="1018" ht="15.0" customHeight="1">
      <c r="A1018" s="51"/>
      <c r="B1018" s="50"/>
      <c r="C1018" s="50"/>
      <c r="D1018" s="50"/>
      <c r="E1018" s="50"/>
      <c r="F1018" s="50"/>
      <c r="G1018" s="52"/>
      <c r="H1018" s="51"/>
      <c r="I1018" s="51"/>
      <c r="J1018" s="66"/>
      <c r="K1018" s="66"/>
      <c r="L1018" s="66"/>
      <c r="M1018" s="50"/>
      <c r="N1018" s="67"/>
    </row>
    <row r="1019" ht="15.0" customHeight="1">
      <c r="A1019" s="51"/>
      <c r="B1019" s="50"/>
      <c r="C1019" s="50"/>
      <c r="D1019" s="50"/>
      <c r="E1019" s="50"/>
      <c r="F1019" s="50"/>
      <c r="G1019" s="52"/>
      <c r="H1019" s="51"/>
      <c r="I1019" s="51"/>
      <c r="J1019" s="66"/>
      <c r="K1019" s="66"/>
      <c r="L1019" s="66"/>
      <c r="M1019" s="50"/>
      <c r="N1019" s="67"/>
    </row>
    <row r="1020" ht="15.0" customHeight="1">
      <c r="A1020" s="51"/>
      <c r="B1020" s="50"/>
      <c r="C1020" s="50"/>
      <c r="D1020" s="50"/>
      <c r="E1020" s="50"/>
      <c r="F1020" s="50"/>
      <c r="G1020" s="52"/>
      <c r="H1020" s="51"/>
      <c r="I1020" s="51"/>
      <c r="J1020" s="66"/>
      <c r="K1020" s="66"/>
      <c r="L1020" s="66"/>
      <c r="M1020" s="50"/>
      <c r="N1020" s="67"/>
    </row>
    <row r="1021" ht="15.0" customHeight="1">
      <c r="A1021" s="51"/>
      <c r="B1021" s="50"/>
      <c r="C1021" s="50"/>
      <c r="D1021" s="50"/>
      <c r="E1021" s="50"/>
      <c r="F1021" s="50"/>
      <c r="G1021" s="52"/>
      <c r="H1021" s="51"/>
      <c r="I1021" s="51"/>
      <c r="J1021" s="66"/>
      <c r="K1021" s="66"/>
      <c r="L1021" s="66"/>
      <c r="M1021" s="50"/>
      <c r="N1021" s="67"/>
    </row>
    <row r="1022" ht="15.0" customHeight="1">
      <c r="A1022" s="51"/>
      <c r="B1022" s="50"/>
      <c r="C1022" s="50"/>
      <c r="D1022" s="50"/>
      <c r="E1022" s="50"/>
      <c r="F1022" s="50"/>
      <c r="G1022" s="52"/>
      <c r="H1022" s="51"/>
      <c r="I1022" s="51"/>
      <c r="J1022" s="66"/>
      <c r="K1022" s="66"/>
      <c r="L1022" s="66"/>
      <c r="M1022" s="50"/>
      <c r="N1022" s="67"/>
    </row>
    <row r="1023" ht="15.0" customHeight="1">
      <c r="A1023" s="51"/>
      <c r="B1023" s="50"/>
      <c r="C1023" s="50"/>
      <c r="D1023" s="50"/>
      <c r="E1023" s="50"/>
      <c r="F1023" s="50"/>
      <c r="G1023" s="52"/>
      <c r="H1023" s="51"/>
      <c r="I1023" s="51"/>
      <c r="J1023" s="66"/>
      <c r="K1023" s="66"/>
      <c r="L1023" s="66"/>
      <c r="M1023" s="50"/>
      <c r="N1023" s="67"/>
    </row>
    <row r="1024" ht="15.0" customHeight="1">
      <c r="A1024" s="51"/>
      <c r="B1024" s="50"/>
      <c r="C1024" s="50"/>
      <c r="D1024" s="50"/>
      <c r="E1024" s="50"/>
      <c r="F1024" s="50"/>
      <c r="G1024" s="52"/>
      <c r="H1024" s="51"/>
      <c r="I1024" s="51"/>
      <c r="J1024" s="66"/>
      <c r="K1024" s="66"/>
      <c r="L1024" s="66"/>
      <c r="M1024" s="50"/>
      <c r="N1024" s="67"/>
    </row>
    <row r="1025" ht="15.0" customHeight="1">
      <c r="A1025" s="51"/>
      <c r="B1025" s="50"/>
      <c r="C1025" s="50"/>
      <c r="D1025" s="50"/>
      <c r="E1025" s="50"/>
      <c r="F1025" s="50"/>
      <c r="G1025" s="52"/>
      <c r="H1025" s="51"/>
      <c r="I1025" s="51"/>
      <c r="J1025" s="66"/>
      <c r="K1025" s="66"/>
      <c r="L1025" s="66"/>
      <c r="M1025" s="50"/>
      <c r="N1025" s="67"/>
    </row>
    <row r="1026" ht="15.0" customHeight="1">
      <c r="A1026" s="51"/>
      <c r="B1026" s="50"/>
      <c r="C1026" s="50"/>
      <c r="D1026" s="50"/>
      <c r="E1026" s="50"/>
      <c r="F1026" s="50"/>
      <c r="G1026" s="52"/>
      <c r="H1026" s="51"/>
      <c r="I1026" s="51"/>
      <c r="J1026" s="66"/>
      <c r="K1026" s="66"/>
      <c r="L1026" s="66"/>
      <c r="M1026" s="50"/>
      <c r="N1026" s="67"/>
    </row>
    <row r="1027" ht="15.0" customHeight="1">
      <c r="A1027" s="51"/>
      <c r="B1027" s="50"/>
      <c r="C1027" s="50"/>
      <c r="D1027" s="50"/>
      <c r="E1027" s="50"/>
      <c r="F1027" s="50"/>
      <c r="G1027" s="52"/>
      <c r="H1027" s="51"/>
      <c r="I1027" s="51"/>
      <c r="J1027" s="66"/>
      <c r="K1027" s="66"/>
      <c r="L1027" s="66"/>
      <c r="M1027" s="50"/>
      <c r="N1027" s="67"/>
    </row>
    <row r="1028" ht="15.0" customHeight="1">
      <c r="A1028" s="51"/>
      <c r="B1028" s="50"/>
      <c r="C1028" s="50"/>
      <c r="D1028" s="50"/>
      <c r="E1028" s="50"/>
      <c r="F1028" s="50"/>
      <c r="G1028" s="52"/>
      <c r="H1028" s="51"/>
      <c r="I1028" s="51"/>
      <c r="J1028" s="66"/>
      <c r="K1028" s="66"/>
      <c r="L1028" s="66"/>
      <c r="M1028" s="50"/>
      <c r="N1028" s="67"/>
    </row>
    <row r="1029" ht="15.0" customHeight="1">
      <c r="A1029" s="51"/>
      <c r="B1029" s="50"/>
      <c r="C1029" s="50"/>
      <c r="D1029" s="50"/>
      <c r="E1029" s="50"/>
      <c r="F1029" s="50"/>
      <c r="G1029" s="52"/>
      <c r="H1029" s="51"/>
      <c r="I1029" s="51"/>
      <c r="J1029" s="66"/>
      <c r="K1029" s="66"/>
      <c r="L1029" s="66"/>
      <c r="M1029" s="50"/>
      <c r="N1029" s="67"/>
    </row>
    <row r="1030" ht="15.0" customHeight="1">
      <c r="A1030" s="51"/>
      <c r="B1030" s="50"/>
      <c r="C1030" s="50"/>
      <c r="D1030" s="50"/>
      <c r="E1030" s="50"/>
      <c r="F1030" s="50"/>
      <c r="G1030" s="52"/>
      <c r="H1030" s="51"/>
      <c r="I1030" s="51"/>
      <c r="J1030" s="66"/>
      <c r="K1030" s="66"/>
      <c r="L1030" s="66"/>
      <c r="M1030" s="50"/>
      <c r="N1030" s="67"/>
    </row>
    <row r="1031" ht="15.0" customHeight="1">
      <c r="A1031" s="51"/>
      <c r="B1031" s="50"/>
      <c r="C1031" s="50"/>
      <c r="D1031" s="50"/>
      <c r="E1031" s="50"/>
      <c r="F1031" s="50"/>
      <c r="G1031" s="52"/>
      <c r="H1031" s="51"/>
      <c r="I1031" s="51"/>
      <c r="J1031" s="66"/>
      <c r="K1031" s="66"/>
      <c r="L1031" s="66"/>
      <c r="M1031" s="50"/>
      <c r="N1031" s="67"/>
    </row>
    <row r="1032" ht="15.0" customHeight="1">
      <c r="A1032" s="51"/>
      <c r="B1032" s="50"/>
      <c r="C1032" s="50"/>
      <c r="D1032" s="50"/>
      <c r="E1032" s="50"/>
      <c r="F1032" s="50"/>
      <c r="G1032" s="52"/>
      <c r="H1032" s="51"/>
      <c r="I1032" s="51"/>
      <c r="J1032" s="66"/>
      <c r="K1032" s="66"/>
      <c r="L1032" s="66"/>
      <c r="M1032" s="50"/>
      <c r="N1032" s="67"/>
    </row>
    <row r="1033" ht="15.0" customHeight="1">
      <c r="A1033" s="51"/>
      <c r="B1033" s="50"/>
      <c r="C1033" s="50"/>
      <c r="D1033" s="50"/>
      <c r="E1033" s="50"/>
      <c r="F1033" s="50"/>
      <c r="G1033" s="52"/>
      <c r="H1033" s="51"/>
      <c r="I1033" s="51"/>
      <c r="J1033" s="66"/>
      <c r="K1033" s="66"/>
      <c r="L1033" s="66"/>
      <c r="M1033" s="50"/>
      <c r="N1033" s="67"/>
    </row>
    <row r="1034" ht="15.0" customHeight="1">
      <c r="A1034" s="51"/>
      <c r="B1034" s="50"/>
      <c r="C1034" s="50"/>
      <c r="D1034" s="50"/>
      <c r="E1034" s="50"/>
      <c r="F1034" s="50"/>
      <c r="G1034" s="52"/>
      <c r="H1034" s="51"/>
      <c r="I1034" s="51"/>
      <c r="J1034" s="66"/>
      <c r="K1034" s="66"/>
      <c r="L1034" s="66"/>
      <c r="M1034" s="50"/>
      <c r="N1034" s="67"/>
    </row>
    <row r="1035" ht="15.0" customHeight="1">
      <c r="A1035" s="51"/>
      <c r="B1035" s="50"/>
      <c r="C1035" s="50"/>
      <c r="D1035" s="50"/>
      <c r="E1035" s="50"/>
      <c r="F1035" s="50"/>
      <c r="G1035" s="52"/>
      <c r="H1035" s="51"/>
      <c r="I1035" s="51"/>
      <c r="J1035" s="66"/>
      <c r="K1035" s="66"/>
      <c r="L1035" s="66"/>
      <c r="M1035" s="50"/>
      <c r="N1035" s="67"/>
    </row>
    <row r="1036" ht="15.0" customHeight="1">
      <c r="A1036" s="51"/>
      <c r="B1036" s="50"/>
      <c r="C1036" s="50"/>
      <c r="D1036" s="50"/>
      <c r="E1036" s="50"/>
      <c r="F1036" s="50"/>
      <c r="G1036" s="52"/>
      <c r="H1036" s="51"/>
      <c r="I1036" s="51"/>
      <c r="J1036" s="66"/>
      <c r="K1036" s="66"/>
      <c r="L1036" s="66"/>
      <c r="M1036" s="50"/>
      <c r="N1036" s="67"/>
    </row>
    <row r="1037" ht="15.0" customHeight="1">
      <c r="A1037" s="51"/>
      <c r="B1037" s="50"/>
      <c r="C1037" s="50"/>
      <c r="D1037" s="50"/>
      <c r="E1037" s="50"/>
      <c r="F1037" s="50"/>
      <c r="G1037" s="52"/>
      <c r="H1037" s="51"/>
      <c r="I1037" s="51"/>
      <c r="J1037" s="66"/>
      <c r="K1037" s="66"/>
      <c r="L1037" s="66"/>
      <c r="M1037" s="50"/>
      <c r="N1037" s="67"/>
    </row>
    <row r="1038" ht="15.0" customHeight="1">
      <c r="A1038" s="51"/>
      <c r="B1038" s="50"/>
      <c r="C1038" s="50"/>
      <c r="D1038" s="50"/>
      <c r="E1038" s="50"/>
      <c r="F1038" s="50"/>
      <c r="G1038" s="52"/>
      <c r="H1038" s="51"/>
      <c r="I1038" s="51"/>
      <c r="J1038" s="66"/>
      <c r="K1038" s="66"/>
      <c r="L1038" s="66"/>
      <c r="M1038" s="50"/>
      <c r="N1038" s="67"/>
    </row>
    <row r="1039" ht="15.0" customHeight="1">
      <c r="A1039" s="51"/>
      <c r="B1039" s="50"/>
      <c r="C1039" s="50"/>
      <c r="D1039" s="50"/>
      <c r="E1039" s="50"/>
      <c r="F1039" s="50"/>
      <c r="G1039" s="52"/>
      <c r="H1039" s="51"/>
      <c r="I1039" s="51"/>
      <c r="J1039" s="66"/>
      <c r="K1039" s="66"/>
      <c r="L1039" s="66"/>
      <c r="M1039" s="50"/>
      <c r="N1039" s="67"/>
    </row>
    <row r="1040" ht="15.0" customHeight="1">
      <c r="A1040" s="51"/>
      <c r="B1040" s="50"/>
      <c r="C1040" s="50"/>
      <c r="D1040" s="50"/>
      <c r="E1040" s="50"/>
      <c r="F1040" s="50"/>
      <c r="G1040" s="52"/>
      <c r="H1040" s="51"/>
      <c r="I1040" s="51"/>
      <c r="J1040" s="66"/>
      <c r="K1040" s="66"/>
      <c r="L1040" s="66"/>
      <c r="M1040" s="50"/>
      <c r="N1040" s="67"/>
    </row>
    <row r="1041" ht="15.0" customHeight="1">
      <c r="A1041" s="51"/>
      <c r="B1041" s="50"/>
      <c r="C1041" s="50"/>
      <c r="D1041" s="50"/>
      <c r="E1041" s="50"/>
      <c r="F1041" s="50"/>
      <c r="G1041" s="52"/>
      <c r="H1041" s="51"/>
      <c r="I1041" s="51"/>
      <c r="J1041" s="66"/>
      <c r="K1041" s="66"/>
      <c r="L1041" s="66"/>
      <c r="M1041" s="50"/>
      <c r="N1041" s="67"/>
    </row>
    <row r="1042" ht="15.0" customHeight="1">
      <c r="A1042" s="51"/>
      <c r="B1042" s="50"/>
      <c r="C1042" s="50"/>
      <c r="D1042" s="50"/>
      <c r="E1042" s="50"/>
      <c r="F1042" s="50"/>
      <c r="G1042" s="52"/>
      <c r="H1042" s="51"/>
      <c r="I1042" s="51"/>
      <c r="J1042" s="66"/>
      <c r="K1042" s="66"/>
      <c r="L1042" s="66"/>
      <c r="M1042" s="50"/>
      <c r="N1042" s="67"/>
    </row>
    <row r="1043" ht="15.0" customHeight="1">
      <c r="A1043" s="51"/>
      <c r="B1043" s="50"/>
      <c r="C1043" s="50"/>
      <c r="D1043" s="50"/>
      <c r="E1043" s="50"/>
      <c r="F1043" s="50"/>
      <c r="G1043" s="52"/>
      <c r="H1043" s="51"/>
      <c r="I1043" s="51"/>
      <c r="J1043" s="66"/>
      <c r="K1043" s="66"/>
      <c r="L1043" s="66"/>
      <c r="M1043" s="50"/>
      <c r="N1043" s="67"/>
    </row>
    <row r="1044" ht="15.0" customHeight="1">
      <c r="A1044" s="51"/>
      <c r="B1044" s="50"/>
      <c r="C1044" s="50"/>
      <c r="D1044" s="50"/>
      <c r="E1044" s="50"/>
      <c r="F1044" s="50"/>
      <c r="G1044" s="52"/>
      <c r="H1044" s="51"/>
      <c r="I1044" s="51"/>
      <c r="J1044" s="66"/>
      <c r="K1044" s="66"/>
      <c r="L1044" s="66"/>
      <c r="M1044" s="50"/>
      <c r="N1044" s="67"/>
    </row>
    <row r="1045" ht="15.0" customHeight="1">
      <c r="A1045" s="51"/>
      <c r="B1045" s="50"/>
      <c r="C1045" s="50"/>
      <c r="D1045" s="50"/>
      <c r="E1045" s="50"/>
      <c r="F1045" s="50"/>
      <c r="G1045" s="52"/>
      <c r="H1045" s="51"/>
      <c r="I1045" s="51"/>
      <c r="J1045" s="66"/>
      <c r="K1045" s="66"/>
      <c r="L1045" s="66"/>
      <c r="M1045" s="50"/>
      <c r="N1045" s="67"/>
    </row>
    <row r="1046" ht="15.0" customHeight="1">
      <c r="A1046" s="51"/>
      <c r="B1046" s="50"/>
      <c r="C1046" s="50"/>
      <c r="D1046" s="50"/>
      <c r="E1046" s="50"/>
      <c r="F1046" s="50"/>
      <c r="G1046" s="52"/>
      <c r="H1046" s="51"/>
      <c r="I1046" s="51"/>
      <c r="J1046" s="66"/>
      <c r="K1046" s="66"/>
      <c r="L1046" s="66"/>
      <c r="M1046" s="50"/>
      <c r="N1046" s="67"/>
    </row>
    <row r="1047" ht="15.0" customHeight="1">
      <c r="A1047" s="51"/>
      <c r="B1047" s="50"/>
      <c r="C1047" s="50"/>
      <c r="D1047" s="50"/>
      <c r="E1047" s="50"/>
      <c r="F1047" s="50"/>
      <c r="G1047" s="52"/>
      <c r="H1047" s="51"/>
      <c r="I1047" s="51"/>
      <c r="J1047" s="66"/>
      <c r="K1047" s="66"/>
      <c r="L1047" s="66"/>
      <c r="M1047" s="50"/>
      <c r="N1047" s="67"/>
    </row>
    <row r="1048" ht="15.0" customHeight="1">
      <c r="A1048" s="51"/>
      <c r="B1048" s="50"/>
      <c r="C1048" s="50"/>
      <c r="D1048" s="50"/>
      <c r="E1048" s="50"/>
      <c r="F1048" s="50"/>
      <c r="G1048" s="52"/>
      <c r="H1048" s="51"/>
      <c r="I1048" s="51"/>
      <c r="J1048" s="66"/>
      <c r="K1048" s="66"/>
      <c r="L1048" s="66"/>
      <c r="M1048" s="50"/>
      <c r="N1048" s="67"/>
    </row>
    <row r="1049" ht="15.0" customHeight="1">
      <c r="A1049" s="51"/>
      <c r="B1049" s="50"/>
      <c r="C1049" s="50"/>
      <c r="D1049" s="50"/>
      <c r="E1049" s="50"/>
      <c r="F1049" s="50"/>
      <c r="G1049" s="52"/>
      <c r="H1049" s="51"/>
      <c r="I1049" s="51"/>
      <c r="J1049" s="66"/>
      <c r="K1049" s="66"/>
      <c r="L1049" s="66"/>
      <c r="M1049" s="50"/>
      <c r="N1049" s="67"/>
    </row>
    <row r="1050" ht="15.0" customHeight="1">
      <c r="A1050" s="51"/>
      <c r="B1050" s="50"/>
      <c r="C1050" s="50"/>
      <c r="D1050" s="50"/>
      <c r="E1050" s="50"/>
      <c r="F1050" s="50"/>
      <c r="G1050" s="52"/>
      <c r="H1050" s="51"/>
      <c r="I1050" s="51"/>
      <c r="J1050" s="66"/>
      <c r="K1050" s="66"/>
      <c r="L1050" s="66"/>
      <c r="M1050" s="50"/>
      <c r="N1050" s="67"/>
    </row>
    <row r="1051" ht="15.0" customHeight="1">
      <c r="A1051" s="51"/>
      <c r="B1051" s="50"/>
      <c r="C1051" s="50"/>
      <c r="D1051" s="50"/>
      <c r="E1051" s="50"/>
      <c r="F1051" s="50"/>
      <c r="G1051" s="52"/>
      <c r="H1051" s="51"/>
      <c r="I1051" s="51"/>
      <c r="J1051" s="66"/>
      <c r="K1051" s="66"/>
      <c r="L1051" s="66"/>
      <c r="M1051" s="50"/>
      <c r="N1051" s="67"/>
    </row>
    <row r="1052" ht="15.0" customHeight="1">
      <c r="A1052" s="51"/>
      <c r="B1052" s="50"/>
      <c r="C1052" s="50"/>
      <c r="D1052" s="50"/>
      <c r="E1052" s="50"/>
      <c r="F1052" s="50"/>
      <c r="G1052" s="52"/>
      <c r="H1052" s="51"/>
      <c r="I1052" s="51"/>
      <c r="J1052" s="66"/>
      <c r="K1052" s="66"/>
      <c r="L1052" s="66"/>
      <c r="M1052" s="50"/>
      <c r="N1052" s="67"/>
    </row>
    <row r="1053" ht="15.0" customHeight="1">
      <c r="A1053" s="51"/>
      <c r="B1053" s="50"/>
      <c r="C1053" s="50"/>
      <c r="D1053" s="50"/>
      <c r="E1053" s="50"/>
      <c r="F1053" s="50"/>
      <c r="G1053" s="52"/>
      <c r="H1053" s="51"/>
      <c r="I1053" s="51"/>
      <c r="J1053" s="66"/>
      <c r="K1053" s="66"/>
      <c r="L1053" s="66"/>
      <c r="M1053" s="50"/>
      <c r="N1053" s="67"/>
    </row>
    <row r="1054" ht="15.0" customHeight="1">
      <c r="A1054" s="51"/>
      <c r="B1054" s="50"/>
      <c r="C1054" s="50"/>
      <c r="D1054" s="50"/>
      <c r="E1054" s="50"/>
      <c r="F1054" s="50"/>
      <c r="G1054" s="52"/>
      <c r="H1054" s="51"/>
      <c r="I1054" s="51"/>
      <c r="J1054" s="66"/>
      <c r="K1054" s="66"/>
      <c r="L1054" s="66"/>
      <c r="M1054" s="50"/>
      <c r="N1054" s="67"/>
    </row>
    <row r="1055" ht="15.0" customHeight="1">
      <c r="A1055" s="51"/>
      <c r="B1055" s="50"/>
      <c r="C1055" s="50"/>
      <c r="D1055" s="50"/>
      <c r="E1055" s="50"/>
      <c r="F1055" s="50"/>
      <c r="G1055" s="52"/>
      <c r="H1055" s="51"/>
      <c r="I1055" s="51"/>
      <c r="J1055" s="66"/>
      <c r="K1055" s="66"/>
      <c r="L1055" s="66"/>
      <c r="M1055" s="50"/>
      <c r="N1055" s="67"/>
    </row>
    <row r="1056" ht="15.0" customHeight="1">
      <c r="A1056" s="51"/>
      <c r="B1056" s="50"/>
      <c r="C1056" s="50"/>
      <c r="D1056" s="50"/>
      <c r="E1056" s="50"/>
      <c r="F1056" s="50"/>
      <c r="G1056" s="52"/>
      <c r="H1056" s="51"/>
      <c r="I1056" s="51"/>
      <c r="J1056" s="66"/>
      <c r="K1056" s="66"/>
      <c r="L1056" s="66"/>
      <c r="M1056" s="50"/>
      <c r="N1056" s="67"/>
    </row>
    <row r="1057" ht="15.0" customHeight="1">
      <c r="A1057" s="51"/>
      <c r="B1057" s="50"/>
      <c r="C1057" s="50"/>
      <c r="D1057" s="50"/>
      <c r="E1057" s="50"/>
      <c r="F1057" s="50"/>
      <c r="G1057" s="52"/>
      <c r="H1057" s="51"/>
      <c r="I1057" s="51"/>
      <c r="J1057" s="66"/>
      <c r="K1057" s="66"/>
      <c r="L1057" s="66"/>
      <c r="M1057" s="50"/>
      <c r="N1057" s="67"/>
    </row>
    <row r="1058" ht="15.0" customHeight="1">
      <c r="A1058" s="51"/>
      <c r="B1058" s="50"/>
      <c r="C1058" s="50"/>
      <c r="D1058" s="50"/>
      <c r="E1058" s="50"/>
      <c r="F1058" s="50"/>
      <c r="G1058" s="52"/>
      <c r="H1058" s="51"/>
      <c r="I1058" s="51"/>
      <c r="J1058" s="66"/>
      <c r="K1058" s="66"/>
      <c r="L1058" s="66"/>
      <c r="M1058" s="50"/>
      <c r="N1058" s="67"/>
    </row>
    <row r="1059" ht="15.0" customHeight="1">
      <c r="A1059" s="51"/>
      <c r="B1059" s="50"/>
      <c r="C1059" s="50"/>
      <c r="D1059" s="50"/>
      <c r="E1059" s="50"/>
      <c r="F1059" s="50"/>
      <c r="G1059" s="52"/>
      <c r="H1059" s="51"/>
      <c r="I1059" s="51"/>
      <c r="J1059" s="66"/>
      <c r="K1059" s="66"/>
      <c r="L1059" s="66"/>
      <c r="M1059" s="50"/>
      <c r="N1059" s="67"/>
    </row>
    <row r="1060" ht="15.0" customHeight="1">
      <c r="A1060" s="51"/>
      <c r="B1060" s="50"/>
      <c r="C1060" s="50"/>
      <c r="D1060" s="50"/>
      <c r="E1060" s="50"/>
      <c r="F1060" s="50"/>
      <c r="G1060" s="52"/>
      <c r="H1060" s="51"/>
      <c r="I1060" s="51"/>
      <c r="J1060" s="66"/>
      <c r="K1060" s="66"/>
      <c r="L1060" s="66"/>
      <c r="M1060" s="50"/>
      <c r="N1060" s="67"/>
    </row>
    <row r="1061" ht="15.0" customHeight="1">
      <c r="A1061" s="51"/>
      <c r="B1061" s="50"/>
      <c r="C1061" s="50"/>
      <c r="D1061" s="50"/>
      <c r="E1061" s="50"/>
      <c r="F1061" s="50"/>
      <c r="G1061" s="52"/>
      <c r="H1061" s="51"/>
      <c r="I1061" s="51"/>
      <c r="J1061" s="66"/>
      <c r="K1061" s="66"/>
      <c r="L1061" s="66"/>
      <c r="M1061" s="50"/>
      <c r="N1061" s="67"/>
    </row>
    <row r="1062" ht="15.0" customHeight="1">
      <c r="A1062" s="51"/>
      <c r="B1062" s="50"/>
      <c r="C1062" s="50"/>
      <c r="D1062" s="50"/>
      <c r="E1062" s="50"/>
      <c r="F1062" s="50"/>
      <c r="G1062" s="52"/>
      <c r="H1062" s="51"/>
      <c r="I1062" s="51"/>
      <c r="J1062" s="66"/>
      <c r="K1062" s="66"/>
      <c r="L1062" s="66"/>
      <c r="M1062" s="50"/>
      <c r="N1062" s="67"/>
    </row>
    <row r="1063" ht="15.0" customHeight="1">
      <c r="A1063" s="51"/>
      <c r="B1063" s="50"/>
      <c r="C1063" s="50"/>
      <c r="D1063" s="50"/>
      <c r="E1063" s="50"/>
      <c r="F1063" s="50"/>
      <c r="G1063" s="52"/>
      <c r="H1063" s="51"/>
      <c r="I1063" s="51"/>
      <c r="J1063" s="66"/>
      <c r="K1063" s="66"/>
      <c r="L1063" s="66"/>
      <c r="M1063" s="50"/>
      <c r="N1063" s="67"/>
    </row>
    <row r="1064" ht="15.0" customHeight="1">
      <c r="A1064" s="51"/>
      <c r="B1064" s="50"/>
      <c r="C1064" s="50"/>
      <c r="D1064" s="50"/>
      <c r="E1064" s="50"/>
      <c r="F1064" s="50"/>
      <c r="G1064" s="52"/>
      <c r="H1064" s="51"/>
      <c r="I1064" s="51"/>
      <c r="J1064" s="66"/>
      <c r="K1064" s="66"/>
      <c r="L1064" s="66"/>
      <c r="M1064" s="50"/>
      <c r="N1064" s="67"/>
    </row>
    <row r="1065" ht="15.0" customHeight="1">
      <c r="A1065" s="51"/>
      <c r="B1065" s="50"/>
      <c r="C1065" s="50"/>
      <c r="D1065" s="50"/>
      <c r="E1065" s="50"/>
      <c r="F1065" s="50"/>
      <c r="G1065" s="52"/>
      <c r="H1065" s="51"/>
      <c r="I1065" s="51"/>
      <c r="J1065" s="66"/>
      <c r="K1065" s="66"/>
      <c r="L1065" s="66"/>
      <c r="M1065" s="50"/>
      <c r="N1065" s="67"/>
    </row>
    <row r="1066" ht="15.0" customHeight="1">
      <c r="A1066" s="51"/>
      <c r="B1066" s="50"/>
      <c r="C1066" s="50"/>
      <c r="D1066" s="50"/>
      <c r="E1066" s="50"/>
      <c r="F1066" s="50"/>
      <c r="G1066" s="52"/>
      <c r="H1066" s="51"/>
      <c r="I1066" s="51"/>
      <c r="J1066" s="66"/>
      <c r="K1066" s="66"/>
      <c r="L1066" s="66"/>
      <c r="M1066" s="50"/>
      <c r="N1066" s="67"/>
    </row>
    <row r="1067" ht="15.0" customHeight="1">
      <c r="A1067" s="51"/>
      <c r="B1067" s="50"/>
      <c r="C1067" s="50"/>
      <c r="D1067" s="50"/>
      <c r="E1067" s="50"/>
      <c r="F1067" s="50"/>
      <c r="G1067" s="52"/>
      <c r="H1067" s="51"/>
      <c r="I1067" s="51"/>
      <c r="J1067" s="66"/>
      <c r="K1067" s="66"/>
      <c r="L1067" s="66"/>
      <c r="M1067" s="50"/>
      <c r="N1067" s="67"/>
    </row>
    <row r="1068" ht="15.0" customHeight="1">
      <c r="A1068" s="51"/>
      <c r="B1068" s="50"/>
      <c r="C1068" s="50"/>
      <c r="D1068" s="50"/>
      <c r="E1068" s="50"/>
      <c r="F1068" s="50"/>
      <c r="G1068" s="52"/>
      <c r="H1068" s="51"/>
      <c r="I1068" s="51"/>
      <c r="J1068" s="66"/>
      <c r="K1068" s="66"/>
      <c r="L1068" s="66"/>
      <c r="M1068" s="50"/>
      <c r="N1068" s="67"/>
    </row>
    <row r="1069" ht="15.0" customHeight="1">
      <c r="A1069" s="51"/>
      <c r="B1069" s="50"/>
      <c r="C1069" s="50"/>
      <c r="D1069" s="50"/>
      <c r="E1069" s="50"/>
      <c r="F1069" s="50"/>
      <c r="G1069" s="52"/>
      <c r="H1069" s="51"/>
      <c r="I1069" s="51"/>
      <c r="J1069" s="66"/>
      <c r="K1069" s="66"/>
      <c r="L1069" s="66"/>
      <c r="M1069" s="50"/>
      <c r="N1069" s="67"/>
    </row>
    <row r="1070" ht="15.0" customHeight="1">
      <c r="A1070" s="51"/>
      <c r="B1070" s="50"/>
      <c r="C1070" s="50"/>
      <c r="D1070" s="50"/>
      <c r="E1070" s="50"/>
      <c r="F1070" s="50"/>
      <c r="G1070" s="52"/>
      <c r="H1070" s="51"/>
      <c r="I1070" s="51"/>
      <c r="J1070" s="66"/>
      <c r="K1070" s="66"/>
      <c r="L1070" s="66"/>
      <c r="M1070" s="50"/>
      <c r="N1070" s="67"/>
    </row>
    <row r="1071" ht="15.0" customHeight="1">
      <c r="A1071" s="51"/>
      <c r="B1071" s="50"/>
      <c r="C1071" s="50"/>
      <c r="D1071" s="50"/>
      <c r="E1071" s="50"/>
      <c r="F1071" s="50"/>
      <c r="G1071" s="52"/>
      <c r="H1071" s="51"/>
      <c r="I1071" s="51"/>
      <c r="J1071" s="66"/>
      <c r="K1071" s="66"/>
      <c r="L1071" s="66"/>
      <c r="M1071" s="50"/>
      <c r="N1071" s="67"/>
    </row>
    <row r="1072" ht="15.0" customHeight="1">
      <c r="A1072" s="51"/>
      <c r="B1072" s="50"/>
      <c r="C1072" s="50"/>
      <c r="D1072" s="50"/>
      <c r="E1072" s="50"/>
      <c r="F1072" s="50"/>
      <c r="G1072" s="52"/>
      <c r="H1072" s="51"/>
      <c r="I1072" s="51"/>
      <c r="J1072" s="66"/>
      <c r="K1072" s="66"/>
      <c r="L1072" s="66"/>
      <c r="M1072" s="50"/>
      <c r="N1072" s="67"/>
    </row>
    <row r="1073" ht="15.0" customHeight="1">
      <c r="A1073" s="51"/>
      <c r="B1073" s="50"/>
      <c r="C1073" s="50"/>
      <c r="D1073" s="50"/>
      <c r="E1073" s="50"/>
      <c r="F1073" s="50"/>
      <c r="G1073" s="52"/>
      <c r="H1073" s="51"/>
      <c r="I1073" s="51"/>
      <c r="J1073" s="66"/>
      <c r="K1073" s="66"/>
      <c r="L1073" s="66"/>
      <c r="M1073" s="50"/>
      <c r="N1073" s="67"/>
    </row>
    <row r="1074" ht="15.0" customHeight="1">
      <c r="A1074" s="51"/>
      <c r="B1074" s="50"/>
      <c r="C1074" s="50"/>
      <c r="D1074" s="50"/>
      <c r="E1074" s="50"/>
      <c r="F1074" s="50"/>
      <c r="G1074" s="52"/>
      <c r="H1074" s="51"/>
      <c r="I1074" s="51"/>
      <c r="J1074" s="66"/>
      <c r="K1074" s="66"/>
      <c r="L1074" s="66"/>
      <c r="M1074" s="50"/>
      <c r="N1074" s="67"/>
    </row>
    <row r="1075" ht="15.0" customHeight="1">
      <c r="A1075" s="51"/>
      <c r="B1075" s="50"/>
      <c r="C1075" s="50"/>
      <c r="D1075" s="50"/>
      <c r="E1075" s="50"/>
      <c r="F1075" s="50"/>
      <c r="G1075" s="52"/>
      <c r="H1075" s="51"/>
      <c r="I1075" s="51"/>
      <c r="J1075" s="66"/>
      <c r="K1075" s="66"/>
      <c r="L1075" s="66"/>
      <c r="M1075" s="50"/>
      <c r="N1075" s="67"/>
    </row>
    <row r="1076" ht="15.0" customHeight="1">
      <c r="A1076" s="51"/>
      <c r="B1076" s="50"/>
      <c r="C1076" s="50"/>
      <c r="D1076" s="50"/>
      <c r="E1076" s="50"/>
      <c r="F1076" s="50"/>
      <c r="G1076" s="52"/>
      <c r="H1076" s="51"/>
      <c r="I1076" s="51"/>
      <c r="J1076" s="66"/>
      <c r="K1076" s="66"/>
      <c r="L1076" s="66"/>
      <c r="M1076" s="50"/>
      <c r="N1076" s="67"/>
    </row>
    <row r="1077" ht="15.0" customHeight="1">
      <c r="A1077" s="51"/>
      <c r="B1077" s="50"/>
      <c r="C1077" s="50"/>
      <c r="D1077" s="50"/>
      <c r="E1077" s="50"/>
      <c r="F1077" s="50"/>
      <c r="G1077" s="52"/>
      <c r="H1077" s="51"/>
      <c r="I1077" s="51"/>
      <c r="J1077" s="66"/>
      <c r="K1077" s="66"/>
      <c r="L1077" s="66"/>
      <c r="M1077" s="50"/>
      <c r="N1077" s="67"/>
    </row>
    <row r="1078" ht="15.0" customHeight="1">
      <c r="A1078" s="51"/>
      <c r="B1078" s="50"/>
      <c r="C1078" s="50"/>
      <c r="D1078" s="50"/>
      <c r="E1078" s="50"/>
      <c r="F1078" s="50"/>
      <c r="G1078" s="52"/>
      <c r="H1078" s="51"/>
      <c r="I1078" s="51"/>
      <c r="J1078" s="66"/>
      <c r="K1078" s="66"/>
      <c r="L1078" s="66"/>
      <c r="M1078" s="50"/>
      <c r="N1078" s="67"/>
    </row>
    <row r="1079" ht="15.0" customHeight="1">
      <c r="A1079" s="51"/>
      <c r="B1079" s="50"/>
      <c r="C1079" s="50"/>
      <c r="D1079" s="50"/>
      <c r="E1079" s="50"/>
      <c r="F1079" s="50"/>
      <c r="G1079" s="52"/>
      <c r="H1079" s="51"/>
      <c r="I1079" s="51"/>
      <c r="J1079" s="66"/>
      <c r="K1079" s="66"/>
      <c r="L1079" s="66"/>
      <c r="M1079" s="50"/>
      <c r="N1079" s="67"/>
    </row>
    <row r="1080" ht="15.0" customHeight="1">
      <c r="A1080" s="51"/>
      <c r="B1080" s="50"/>
      <c r="C1080" s="50"/>
      <c r="D1080" s="50"/>
      <c r="E1080" s="50"/>
      <c r="F1080" s="50"/>
      <c r="G1080" s="52"/>
      <c r="H1080" s="51"/>
      <c r="I1080" s="51"/>
      <c r="J1080" s="66"/>
      <c r="K1080" s="66"/>
      <c r="L1080" s="66"/>
      <c r="M1080" s="50"/>
      <c r="N1080" s="67"/>
    </row>
    <row r="1081" ht="15.0" customHeight="1">
      <c r="A1081" s="51"/>
      <c r="B1081" s="50"/>
      <c r="C1081" s="50"/>
      <c r="D1081" s="50"/>
      <c r="E1081" s="50"/>
      <c r="F1081" s="50"/>
      <c r="G1081" s="52"/>
      <c r="H1081" s="51"/>
      <c r="I1081" s="51"/>
      <c r="J1081" s="66"/>
      <c r="K1081" s="66"/>
      <c r="L1081" s="66"/>
      <c r="M1081" s="50"/>
      <c r="N1081" s="67"/>
    </row>
    <row r="1082" ht="15.0" customHeight="1">
      <c r="A1082" s="51"/>
      <c r="B1082" s="50"/>
      <c r="C1082" s="50"/>
      <c r="D1082" s="50"/>
      <c r="E1082" s="50"/>
      <c r="F1082" s="50"/>
      <c r="G1082" s="52"/>
      <c r="H1082" s="51"/>
      <c r="I1082" s="51"/>
      <c r="J1082" s="66"/>
      <c r="K1082" s="66"/>
      <c r="L1082" s="66"/>
      <c r="M1082" s="50"/>
      <c r="N1082" s="67"/>
    </row>
    <row r="1083" ht="15.0" customHeight="1">
      <c r="A1083" s="51"/>
      <c r="B1083" s="50"/>
      <c r="C1083" s="50"/>
      <c r="D1083" s="50"/>
      <c r="E1083" s="50"/>
      <c r="F1083" s="50"/>
      <c r="G1083" s="52"/>
      <c r="H1083" s="51"/>
      <c r="I1083" s="51"/>
      <c r="J1083" s="66"/>
      <c r="K1083" s="66"/>
      <c r="L1083" s="66"/>
      <c r="M1083" s="50"/>
      <c r="N1083" s="67"/>
    </row>
    <row r="1084" ht="15.0" customHeight="1">
      <c r="A1084" s="51"/>
      <c r="B1084" s="50"/>
      <c r="C1084" s="50"/>
      <c r="D1084" s="50"/>
      <c r="E1084" s="50"/>
      <c r="F1084" s="50"/>
      <c r="G1084" s="52"/>
      <c r="H1084" s="51"/>
      <c r="I1084" s="51"/>
      <c r="J1084" s="66"/>
      <c r="K1084" s="66"/>
      <c r="L1084" s="66"/>
      <c r="M1084" s="50"/>
      <c r="N1084" s="67"/>
    </row>
    <row r="1085" ht="15.0" customHeight="1">
      <c r="A1085" s="51"/>
      <c r="B1085" s="50"/>
      <c r="C1085" s="50"/>
      <c r="D1085" s="50"/>
      <c r="E1085" s="50"/>
      <c r="F1085" s="50"/>
      <c r="G1085" s="52"/>
      <c r="H1085" s="51"/>
      <c r="I1085" s="51"/>
      <c r="J1085" s="66"/>
      <c r="K1085" s="66"/>
      <c r="L1085" s="66"/>
      <c r="M1085" s="50"/>
      <c r="N1085" s="67"/>
    </row>
    <row r="1086" ht="15.0" customHeight="1">
      <c r="A1086" s="51"/>
      <c r="B1086" s="50"/>
      <c r="C1086" s="50"/>
      <c r="D1086" s="50"/>
      <c r="E1086" s="50"/>
      <c r="F1086" s="50"/>
      <c r="G1086" s="52"/>
      <c r="H1086" s="51"/>
      <c r="I1086" s="51"/>
      <c r="J1086" s="66"/>
      <c r="K1086" s="66"/>
      <c r="L1086" s="66"/>
      <c r="M1086" s="50"/>
      <c r="N1086" s="67"/>
    </row>
    <row r="1087" ht="15.0" customHeight="1">
      <c r="A1087" s="51"/>
      <c r="B1087" s="50"/>
      <c r="C1087" s="50"/>
      <c r="D1087" s="50"/>
      <c r="E1087" s="50"/>
      <c r="F1087" s="50"/>
      <c r="G1087" s="52"/>
      <c r="H1087" s="51"/>
      <c r="I1087" s="51"/>
      <c r="J1087" s="66"/>
      <c r="K1087" s="66"/>
      <c r="L1087" s="66"/>
      <c r="M1087" s="50"/>
      <c r="N1087" s="67"/>
    </row>
    <row r="1088" ht="15.0" customHeight="1">
      <c r="A1088" s="51"/>
      <c r="B1088" s="50"/>
      <c r="C1088" s="50"/>
      <c r="D1088" s="50"/>
      <c r="E1088" s="50"/>
      <c r="F1088" s="50"/>
      <c r="G1088" s="52"/>
      <c r="H1088" s="51"/>
      <c r="I1088" s="51"/>
      <c r="J1088" s="66"/>
      <c r="K1088" s="66"/>
      <c r="L1088" s="66"/>
      <c r="M1088" s="50"/>
      <c r="N1088" s="67"/>
    </row>
    <row r="1089" ht="15.0" customHeight="1">
      <c r="A1089" s="51"/>
      <c r="B1089" s="50"/>
      <c r="C1089" s="50"/>
      <c r="D1089" s="50"/>
      <c r="E1089" s="50"/>
      <c r="F1089" s="50"/>
      <c r="G1089" s="52"/>
      <c r="H1089" s="51"/>
      <c r="I1089" s="51"/>
      <c r="J1089" s="66"/>
      <c r="K1089" s="66"/>
      <c r="L1089" s="66"/>
      <c r="M1089" s="50"/>
      <c r="N1089" s="67"/>
    </row>
    <row r="1090" ht="15.0" customHeight="1">
      <c r="A1090" s="51"/>
      <c r="B1090" s="50"/>
      <c r="C1090" s="50"/>
      <c r="D1090" s="50"/>
      <c r="E1090" s="50"/>
      <c r="F1090" s="50"/>
      <c r="G1090" s="52"/>
      <c r="H1090" s="51"/>
      <c r="I1090" s="51"/>
      <c r="J1090" s="66"/>
      <c r="K1090" s="66"/>
      <c r="L1090" s="66"/>
      <c r="M1090" s="50"/>
      <c r="N1090" s="67"/>
    </row>
    <row r="1091" ht="15.0" customHeight="1">
      <c r="A1091" s="51"/>
      <c r="B1091" s="50"/>
      <c r="C1091" s="50"/>
      <c r="D1091" s="50"/>
      <c r="E1091" s="50"/>
      <c r="F1091" s="50"/>
      <c r="G1091" s="52"/>
      <c r="H1091" s="51"/>
      <c r="I1091" s="51"/>
      <c r="J1091" s="66"/>
      <c r="K1091" s="66"/>
      <c r="L1091" s="66"/>
      <c r="M1091" s="50"/>
      <c r="N1091" s="67"/>
    </row>
    <row r="1092" ht="15.0" customHeight="1">
      <c r="A1092" s="51"/>
      <c r="B1092" s="50"/>
      <c r="C1092" s="50"/>
      <c r="D1092" s="50"/>
      <c r="E1092" s="50"/>
      <c r="F1092" s="50"/>
      <c r="G1092" s="52"/>
      <c r="H1092" s="51"/>
      <c r="I1092" s="51"/>
      <c r="J1092" s="66"/>
      <c r="K1092" s="66"/>
      <c r="L1092" s="66"/>
      <c r="M1092" s="50"/>
      <c r="N1092" s="67"/>
    </row>
    <row r="1093" ht="15.0" customHeight="1">
      <c r="A1093" s="51"/>
      <c r="B1093" s="50"/>
      <c r="C1093" s="50"/>
      <c r="D1093" s="50"/>
      <c r="E1093" s="50"/>
      <c r="F1093" s="50"/>
      <c r="G1093" s="52"/>
      <c r="H1093" s="51"/>
      <c r="I1093" s="51"/>
      <c r="J1093" s="66"/>
      <c r="K1093" s="66"/>
      <c r="L1093" s="66"/>
      <c r="M1093" s="50"/>
      <c r="N1093" s="67"/>
    </row>
    <row r="1094" ht="15.0" customHeight="1">
      <c r="A1094" s="51"/>
      <c r="B1094" s="50"/>
      <c r="C1094" s="50"/>
      <c r="D1094" s="50"/>
      <c r="E1094" s="50"/>
      <c r="F1094" s="50"/>
      <c r="G1094" s="52"/>
      <c r="H1094" s="51"/>
      <c r="I1094" s="51"/>
      <c r="J1094" s="66"/>
      <c r="K1094" s="66"/>
      <c r="L1094" s="66"/>
      <c r="M1094" s="50"/>
      <c r="N1094" s="67"/>
    </row>
    <row r="1095" ht="15.0" customHeight="1">
      <c r="A1095" s="51"/>
      <c r="B1095" s="50"/>
      <c r="C1095" s="50"/>
      <c r="D1095" s="50"/>
      <c r="E1095" s="50"/>
      <c r="F1095" s="50"/>
      <c r="G1095" s="52"/>
      <c r="H1095" s="51"/>
      <c r="I1095" s="51"/>
      <c r="J1095" s="66"/>
      <c r="K1095" s="66"/>
      <c r="L1095" s="66"/>
      <c r="M1095" s="50"/>
      <c r="N1095" s="67"/>
    </row>
    <row r="1096" ht="15.0" customHeight="1">
      <c r="A1096" s="51"/>
      <c r="B1096" s="50"/>
      <c r="C1096" s="50"/>
      <c r="D1096" s="50"/>
      <c r="E1096" s="50"/>
      <c r="F1096" s="50"/>
      <c r="G1096" s="52"/>
      <c r="H1096" s="51"/>
      <c r="I1096" s="51"/>
      <c r="J1096" s="66"/>
      <c r="K1096" s="66"/>
      <c r="L1096" s="66"/>
      <c r="M1096" s="50"/>
      <c r="N1096" s="67"/>
    </row>
    <row r="1097" ht="15.0" customHeight="1">
      <c r="A1097" s="51"/>
      <c r="B1097" s="50"/>
      <c r="C1097" s="50"/>
      <c r="D1097" s="50"/>
      <c r="E1097" s="50"/>
      <c r="F1097" s="50"/>
      <c r="G1097" s="52"/>
      <c r="H1097" s="51"/>
      <c r="I1097" s="51"/>
      <c r="J1097" s="66"/>
      <c r="K1097" s="66"/>
      <c r="L1097" s="66"/>
      <c r="M1097" s="50"/>
      <c r="N1097" s="67"/>
    </row>
    <row r="1098" ht="15.0" customHeight="1">
      <c r="A1098" s="51"/>
      <c r="B1098" s="50"/>
      <c r="C1098" s="50"/>
      <c r="D1098" s="50"/>
      <c r="E1098" s="50"/>
      <c r="F1098" s="50"/>
      <c r="G1098" s="52"/>
      <c r="H1098" s="51"/>
      <c r="I1098" s="51"/>
      <c r="J1098" s="66"/>
      <c r="K1098" s="66"/>
      <c r="L1098" s="66"/>
      <c r="M1098" s="50"/>
      <c r="N1098" s="67"/>
    </row>
    <row r="1099" ht="15.0" customHeight="1">
      <c r="A1099" s="51"/>
      <c r="B1099" s="50"/>
      <c r="C1099" s="50"/>
      <c r="D1099" s="50"/>
      <c r="E1099" s="50"/>
      <c r="F1099" s="50"/>
      <c r="G1099" s="52"/>
      <c r="H1099" s="51"/>
      <c r="I1099" s="51"/>
      <c r="J1099" s="66"/>
      <c r="K1099" s="66"/>
      <c r="L1099" s="66"/>
      <c r="M1099" s="50"/>
      <c r="N1099" s="67"/>
    </row>
    <row r="1100" ht="15.0" customHeight="1">
      <c r="A1100" s="51"/>
      <c r="B1100" s="50"/>
      <c r="C1100" s="50"/>
      <c r="D1100" s="50"/>
      <c r="E1100" s="50"/>
      <c r="F1100" s="50"/>
      <c r="G1100" s="52"/>
      <c r="H1100" s="51"/>
      <c r="I1100" s="51"/>
      <c r="J1100" s="66"/>
      <c r="K1100" s="66"/>
      <c r="L1100" s="66"/>
      <c r="M1100" s="50"/>
      <c r="N1100" s="67"/>
    </row>
    <row r="1101" ht="15.0" customHeight="1">
      <c r="A1101" s="51"/>
      <c r="B1101" s="50"/>
      <c r="C1101" s="50"/>
      <c r="D1101" s="50"/>
      <c r="E1101" s="50"/>
      <c r="F1101" s="50"/>
      <c r="G1101" s="52"/>
      <c r="H1101" s="51"/>
      <c r="I1101" s="51"/>
      <c r="J1101" s="66"/>
      <c r="K1101" s="66"/>
      <c r="L1101" s="66"/>
      <c r="M1101" s="50"/>
      <c r="N1101" s="67"/>
    </row>
    <row r="1102" ht="15.0" customHeight="1">
      <c r="A1102" s="51"/>
      <c r="B1102" s="50"/>
      <c r="C1102" s="50"/>
      <c r="D1102" s="50"/>
      <c r="E1102" s="50"/>
      <c r="F1102" s="50"/>
      <c r="G1102" s="52"/>
      <c r="H1102" s="51"/>
      <c r="I1102" s="51"/>
      <c r="J1102" s="66"/>
      <c r="K1102" s="66"/>
      <c r="L1102" s="66"/>
      <c r="M1102" s="50"/>
      <c r="N1102" s="67"/>
    </row>
    <row r="1103" ht="15.0" customHeight="1">
      <c r="A1103" s="51"/>
      <c r="B1103" s="50"/>
      <c r="C1103" s="50"/>
      <c r="D1103" s="50"/>
      <c r="E1103" s="50"/>
      <c r="F1103" s="50"/>
      <c r="G1103" s="52"/>
      <c r="H1103" s="51"/>
      <c r="I1103" s="51"/>
      <c r="J1103" s="66"/>
      <c r="K1103" s="66"/>
      <c r="L1103" s="66"/>
      <c r="M1103" s="50"/>
      <c r="N1103" s="67"/>
    </row>
    <row r="1104" ht="15.0" customHeight="1">
      <c r="A1104" s="51"/>
      <c r="B1104" s="50"/>
      <c r="C1104" s="50"/>
      <c r="D1104" s="50"/>
      <c r="E1104" s="50"/>
      <c r="F1104" s="50"/>
      <c r="G1104" s="52"/>
      <c r="H1104" s="51"/>
      <c r="I1104" s="51"/>
      <c r="J1104" s="66"/>
      <c r="K1104" s="66"/>
      <c r="L1104" s="66"/>
      <c r="M1104" s="50"/>
      <c r="N1104" s="67"/>
    </row>
    <row r="1105" ht="15.0" customHeight="1">
      <c r="A1105" s="51"/>
      <c r="B1105" s="50"/>
      <c r="C1105" s="50"/>
      <c r="D1105" s="50"/>
      <c r="E1105" s="50"/>
      <c r="F1105" s="50"/>
      <c r="G1105" s="52"/>
      <c r="H1105" s="51"/>
      <c r="I1105" s="51"/>
      <c r="J1105" s="66"/>
      <c r="K1105" s="66"/>
      <c r="L1105" s="66"/>
      <c r="M1105" s="50"/>
      <c r="N1105" s="67"/>
    </row>
    <row r="1106" ht="15.0" customHeight="1">
      <c r="A1106" s="51"/>
      <c r="B1106" s="50"/>
      <c r="C1106" s="50"/>
      <c r="D1106" s="50"/>
      <c r="E1106" s="50"/>
      <c r="F1106" s="50"/>
      <c r="G1106" s="52"/>
      <c r="H1106" s="51"/>
      <c r="I1106" s="51"/>
      <c r="J1106" s="66"/>
      <c r="K1106" s="66"/>
      <c r="L1106" s="66"/>
      <c r="M1106" s="50"/>
      <c r="N1106" s="67"/>
    </row>
    <row r="1107" ht="15.0" customHeight="1">
      <c r="A1107" s="51"/>
      <c r="B1107" s="50"/>
      <c r="C1107" s="50"/>
      <c r="D1107" s="50"/>
      <c r="E1107" s="50"/>
      <c r="F1107" s="50"/>
      <c r="G1107" s="52"/>
      <c r="H1107" s="51"/>
      <c r="I1107" s="51"/>
      <c r="J1107" s="66"/>
      <c r="K1107" s="66"/>
      <c r="L1107" s="66"/>
      <c r="M1107" s="50"/>
      <c r="N1107" s="67"/>
    </row>
    <row r="1108" ht="15.0" customHeight="1">
      <c r="A1108" s="51"/>
      <c r="B1108" s="50"/>
      <c r="C1108" s="50"/>
      <c r="D1108" s="50"/>
      <c r="E1108" s="50"/>
      <c r="F1108" s="50"/>
      <c r="G1108" s="52"/>
      <c r="H1108" s="51"/>
      <c r="I1108" s="51"/>
      <c r="J1108" s="66"/>
      <c r="K1108" s="66"/>
      <c r="L1108" s="66"/>
      <c r="M1108" s="50"/>
      <c r="N1108" s="67"/>
    </row>
    <row r="1109" ht="15.0" customHeight="1">
      <c r="A1109" s="51"/>
      <c r="B1109" s="50"/>
      <c r="C1109" s="50"/>
      <c r="D1109" s="50"/>
      <c r="E1109" s="50"/>
      <c r="F1109" s="50"/>
      <c r="G1109" s="52"/>
      <c r="H1109" s="51"/>
      <c r="I1109" s="51"/>
      <c r="J1109" s="66"/>
      <c r="K1109" s="66"/>
      <c r="L1109" s="66"/>
      <c r="M1109" s="50"/>
      <c r="N1109" s="67"/>
    </row>
    <row r="1110" ht="15.0" customHeight="1">
      <c r="A1110" s="51"/>
      <c r="B1110" s="50"/>
      <c r="C1110" s="50"/>
      <c r="D1110" s="50"/>
      <c r="E1110" s="50"/>
      <c r="F1110" s="50"/>
      <c r="G1110" s="52"/>
      <c r="H1110" s="51"/>
      <c r="I1110" s="51"/>
      <c r="J1110" s="66"/>
      <c r="K1110" s="66"/>
      <c r="L1110" s="66"/>
      <c r="M1110" s="50"/>
      <c r="N1110" s="67"/>
    </row>
    <row r="1111" ht="15.0" customHeight="1">
      <c r="A1111" s="51"/>
      <c r="B1111" s="50"/>
      <c r="C1111" s="50"/>
      <c r="D1111" s="50"/>
      <c r="E1111" s="50"/>
      <c r="F1111" s="50"/>
      <c r="G1111" s="52"/>
      <c r="H1111" s="51"/>
      <c r="I1111" s="51"/>
      <c r="J1111" s="66"/>
      <c r="K1111" s="66"/>
      <c r="L1111" s="66"/>
      <c r="M1111" s="50"/>
      <c r="N1111" s="67"/>
    </row>
    <row r="1112" ht="15.0" customHeight="1">
      <c r="A1112" s="51"/>
      <c r="B1112" s="50"/>
      <c r="C1112" s="50"/>
      <c r="D1112" s="50"/>
      <c r="E1112" s="50"/>
      <c r="F1112" s="50"/>
      <c r="G1112" s="52"/>
      <c r="H1112" s="51"/>
      <c r="I1112" s="51"/>
      <c r="J1112" s="66"/>
      <c r="K1112" s="66"/>
      <c r="L1112" s="66"/>
      <c r="M1112" s="50"/>
      <c r="N1112" s="67"/>
    </row>
    <row r="1113" ht="15.0" customHeight="1">
      <c r="A1113" s="51"/>
      <c r="B1113" s="50"/>
      <c r="C1113" s="50"/>
      <c r="D1113" s="50"/>
      <c r="E1113" s="50"/>
      <c r="F1113" s="50"/>
      <c r="G1113" s="52"/>
      <c r="H1113" s="51"/>
      <c r="I1113" s="51"/>
      <c r="J1113" s="66"/>
      <c r="K1113" s="66"/>
      <c r="L1113" s="66"/>
      <c r="M1113" s="50"/>
      <c r="N1113" s="67"/>
    </row>
    <row r="1114" ht="15.0" customHeight="1">
      <c r="A1114" s="51"/>
      <c r="B1114" s="50"/>
      <c r="C1114" s="50"/>
      <c r="D1114" s="50"/>
      <c r="E1114" s="50"/>
      <c r="F1114" s="50"/>
      <c r="G1114" s="52"/>
      <c r="H1114" s="51"/>
      <c r="I1114" s="51"/>
      <c r="J1114" s="66"/>
      <c r="K1114" s="66"/>
      <c r="L1114" s="66"/>
      <c r="M1114" s="50"/>
      <c r="N1114" s="67"/>
    </row>
    <row r="1115" ht="15.0" customHeight="1">
      <c r="A1115" s="51"/>
      <c r="B1115" s="50"/>
      <c r="C1115" s="50"/>
      <c r="D1115" s="50"/>
      <c r="E1115" s="50"/>
      <c r="F1115" s="50"/>
      <c r="G1115" s="52"/>
      <c r="H1115" s="51"/>
      <c r="I1115" s="51"/>
      <c r="J1115" s="66"/>
      <c r="K1115" s="66"/>
      <c r="L1115" s="66"/>
      <c r="M1115" s="50"/>
      <c r="N1115" s="67"/>
    </row>
    <row r="1116" ht="15.0" customHeight="1">
      <c r="A1116" s="51"/>
      <c r="B1116" s="50"/>
      <c r="C1116" s="50"/>
      <c r="D1116" s="50"/>
      <c r="E1116" s="50"/>
      <c r="F1116" s="50"/>
      <c r="G1116" s="52"/>
      <c r="H1116" s="51"/>
      <c r="I1116" s="51"/>
      <c r="J1116" s="66"/>
      <c r="K1116" s="66"/>
      <c r="L1116" s="66"/>
      <c r="M1116" s="50"/>
      <c r="N1116" s="67"/>
    </row>
    <row r="1117" ht="15.0" customHeight="1">
      <c r="A1117" s="51"/>
      <c r="B1117" s="50"/>
      <c r="C1117" s="50"/>
      <c r="D1117" s="50"/>
      <c r="E1117" s="50"/>
      <c r="F1117" s="50"/>
      <c r="G1117" s="52"/>
      <c r="H1117" s="51"/>
      <c r="I1117" s="51"/>
      <c r="J1117" s="66"/>
      <c r="K1117" s="66"/>
      <c r="L1117" s="66"/>
      <c r="M1117" s="50"/>
      <c r="N1117" s="67"/>
    </row>
    <row r="1118" ht="15.0" customHeight="1">
      <c r="A1118" s="51"/>
      <c r="B1118" s="50"/>
      <c r="C1118" s="50"/>
      <c r="D1118" s="50"/>
      <c r="E1118" s="50"/>
      <c r="F1118" s="50"/>
      <c r="G1118" s="52"/>
      <c r="H1118" s="51"/>
      <c r="I1118" s="51"/>
      <c r="J1118" s="66"/>
      <c r="K1118" s="66"/>
      <c r="L1118" s="66"/>
      <c r="M1118" s="50"/>
      <c r="N1118" s="67"/>
    </row>
    <row r="1119" ht="15.0" customHeight="1">
      <c r="A1119" s="51"/>
      <c r="B1119" s="50"/>
      <c r="C1119" s="50"/>
      <c r="D1119" s="50"/>
      <c r="E1119" s="50"/>
      <c r="F1119" s="50"/>
      <c r="G1119" s="52"/>
      <c r="H1119" s="51"/>
      <c r="I1119" s="51"/>
      <c r="J1119" s="66"/>
      <c r="K1119" s="66"/>
      <c r="L1119" s="66"/>
      <c r="M1119" s="50"/>
      <c r="N1119" s="67"/>
    </row>
    <row r="1120" ht="15.0" customHeight="1">
      <c r="A1120" s="51"/>
      <c r="B1120" s="50"/>
      <c r="C1120" s="50"/>
      <c r="D1120" s="50"/>
      <c r="E1120" s="50"/>
      <c r="F1120" s="50"/>
      <c r="G1120" s="52"/>
      <c r="H1120" s="51"/>
      <c r="I1120" s="51"/>
      <c r="J1120" s="66"/>
      <c r="K1120" s="66"/>
      <c r="L1120" s="66"/>
      <c r="M1120" s="50"/>
      <c r="N1120" s="67"/>
    </row>
    <row r="1121" ht="15.0" customHeight="1">
      <c r="A1121" s="51"/>
      <c r="B1121" s="50"/>
      <c r="C1121" s="50"/>
      <c r="D1121" s="50"/>
      <c r="E1121" s="50"/>
      <c r="F1121" s="50"/>
      <c r="G1121" s="52"/>
      <c r="H1121" s="51"/>
      <c r="I1121" s="51"/>
      <c r="J1121" s="66"/>
      <c r="K1121" s="66"/>
      <c r="L1121" s="66"/>
      <c r="M1121" s="50"/>
      <c r="N1121" s="67"/>
    </row>
    <row r="1122" ht="15.0" customHeight="1">
      <c r="A1122" s="51"/>
      <c r="B1122" s="50"/>
      <c r="C1122" s="50"/>
      <c r="D1122" s="50"/>
      <c r="E1122" s="50"/>
      <c r="F1122" s="50"/>
      <c r="G1122" s="52"/>
      <c r="H1122" s="51"/>
      <c r="I1122" s="51"/>
      <c r="J1122" s="66"/>
      <c r="K1122" s="66"/>
      <c r="L1122" s="66"/>
      <c r="M1122" s="50"/>
      <c r="N1122" s="67"/>
    </row>
    <row r="1123" ht="15.0" customHeight="1">
      <c r="A1123" s="51"/>
      <c r="B1123" s="50"/>
      <c r="C1123" s="50"/>
      <c r="D1123" s="50"/>
      <c r="E1123" s="50"/>
      <c r="F1123" s="50"/>
      <c r="G1123" s="52"/>
      <c r="H1123" s="51"/>
      <c r="I1123" s="51"/>
      <c r="J1123" s="66"/>
      <c r="K1123" s="66"/>
      <c r="L1123" s="66"/>
      <c r="M1123" s="50"/>
      <c r="N1123" s="67"/>
    </row>
    <row r="1124" ht="15.0" customHeight="1">
      <c r="A1124" s="51"/>
      <c r="B1124" s="50"/>
      <c r="C1124" s="50"/>
      <c r="D1124" s="50"/>
      <c r="E1124" s="50"/>
      <c r="F1124" s="50"/>
      <c r="G1124" s="52"/>
      <c r="H1124" s="51"/>
      <c r="I1124" s="51"/>
      <c r="J1124" s="66"/>
      <c r="K1124" s="66"/>
      <c r="L1124" s="66"/>
      <c r="M1124" s="50"/>
      <c r="N1124" s="67"/>
    </row>
    <row r="1125" ht="15.0" customHeight="1">
      <c r="A1125" s="51"/>
      <c r="B1125" s="50"/>
      <c r="C1125" s="50"/>
      <c r="D1125" s="50"/>
      <c r="E1125" s="50"/>
      <c r="F1125" s="50"/>
      <c r="G1125" s="52"/>
      <c r="H1125" s="51"/>
      <c r="I1125" s="51"/>
      <c r="J1125" s="66"/>
      <c r="K1125" s="66"/>
      <c r="L1125" s="66"/>
      <c r="M1125" s="50"/>
      <c r="N1125" s="67"/>
    </row>
    <row r="1126" ht="15.0" customHeight="1">
      <c r="A1126" s="51"/>
      <c r="B1126" s="50"/>
      <c r="C1126" s="50"/>
      <c r="D1126" s="50"/>
      <c r="E1126" s="50"/>
      <c r="F1126" s="50"/>
      <c r="G1126" s="52"/>
      <c r="H1126" s="51"/>
      <c r="I1126" s="51"/>
      <c r="J1126" s="66"/>
      <c r="K1126" s="66"/>
      <c r="L1126" s="66"/>
      <c r="M1126" s="50"/>
      <c r="N1126" s="67"/>
    </row>
    <row r="1127" ht="15.0" customHeight="1">
      <c r="A1127" s="51"/>
      <c r="B1127" s="50"/>
      <c r="C1127" s="50"/>
      <c r="D1127" s="50"/>
      <c r="E1127" s="50"/>
      <c r="F1127" s="50"/>
      <c r="G1127" s="52"/>
      <c r="H1127" s="51"/>
      <c r="I1127" s="51"/>
      <c r="J1127" s="66"/>
      <c r="K1127" s="66"/>
      <c r="L1127" s="66"/>
      <c r="M1127" s="50"/>
      <c r="N1127" s="67"/>
    </row>
    <row r="1128" ht="15.0" customHeight="1">
      <c r="A1128" s="51"/>
      <c r="B1128" s="50"/>
      <c r="C1128" s="50"/>
      <c r="D1128" s="50"/>
      <c r="E1128" s="50"/>
      <c r="F1128" s="50"/>
      <c r="G1128" s="52"/>
      <c r="H1128" s="51"/>
      <c r="I1128" s="51"/>
      <c r="J1128" s="66"/>
      <c r="K1128" s="66"/>
      <c r="L1128" s="66"/>
      <c r="M1128" s="50"/>
      <c r="N1128" s="67"/>
    </row>
    <row r="1129" ht="15.0" customHeight="1">
      <c r="A1129" s="51"/>
      <c r="B1129" s="50"/>
      <c r="C1129" s="50"/>
      <c r="D1129" s="50"/>
      <c r="E1129" s="50"/>
      <c r="F1129" s="50"/>
      <c r="G1129" s="52"/>
      <c r="H1129" s="51"/>
      <c r="I1129" s="51"/>
      <c r="J1129" s="66"/>
      <c r="K1129" s="66"/>
      <c r="L1129" s="66"/>
      <c r="M1129" s="50"/>
      <c r="N1129" s="67"/>
    </row>
    <row r="1130" ht="15.0" customHeight="1">
      <c r="A1130" s="51"/>
      <c r="B1130" s="50"/>
      <c r="C1130" s="50"/>
      <c r="D1130" s="50"/>
      <c r="E1130" s="50"/>
      <c r="F1130" s="50"/>
      <c r="G1130" s="52"/>
      <c r="H1130" s="51"/>
      <c r="I1130" s="51"/>
      <c r="J1130" s="66"/>
      <c r="K1130" s="66"/>
      <c r="L1130" s="66"/>
      <c r="M1130" s="50"/>
      <c r="N1130" s="67"/>
    </row>
    <row r="1131" ht="15.0" customHeight="1">
      <c r="A1131" s="51"/>
      <c r="B1131" s="50"/>
      <c r="C1131" s="50"/>
      <c r="D1131" s="50"/>
      <c r="E1131" s="50"/>
      <c r="F1131" s="50"/>
      <c r="G1131" s="52"/>
      <c r="H1131" s="51"/>
      <c r="I1131" s="51"/>
      <c r="J1131" s="66"/>
      <c r="K1131" s="66"/>
      <c r="L1131" s="66"/>
      <c r="M1131" s="50"/>
      <c r="N1131" s="67"/>
    </row>
    <row r="1132" ht="15.0" customHeight="1">
      <c r="A1132" s="51"/>
      <c r="B1132" s="50"/>
      <c r="C1132" s="50"/>
      <c r="D1132" s="50"/>
      <c r="E1132" s="50"/>
      <c r="F1132" s="50"/>
      <c r="G1132" s="52"/>
      <c r="H1132" s="51"/>
      <c r="I1132" s="51"/>
      <c r="J1132" s="66"/>
      <c r="K1132" s="66"/>
      <c r="L1132" s="66"/>
      <c r="M1132" s="50"/>
      <c r="N1132" s="67"/>
    </row>
    <row r="1133" ht="15.0" customHeight="1">
      <c r="A1133" s="51"/>
      <c r="B1133" s="50"/>
      <c r="C1133" s="50"/>
      <c r="D1133" s="50"/>
      <c r="E1133" s="50"/>
      <c r="F1133" s="50"/>
      <c r="G1133" s="52"/>
      <c r="H1133" s="51"/>
      <c r="I1133" s="51"/>
      <c r="J1133" s="66"/>
      <c r="K1133" s="66"/>
      <c r="L1133" s="66"/>
      <c r="M1133" s="50"/>
      <c r="N1133" s="67"/>
    </row>
    <row r="1134" ht="15.0" customHeight="1">
      <c r="A1134" s="51"/>
      <c r="B1134" s="50"/>
      <c r="C1134" s="50"/>
      <c r="D1134" s="50"/>
      <c r="E1134" s="50"/>
      <c r="F1134" s="50"/>
      <c r="G1134" s="52"/>
      <c r="H1134" s="51"/>
      <c r="I1134" s="51"/>
      <c r="J1134" s="66"/>
      <c r="K1134" s="66"/>
      <c r="L1134" s="66"/>
      <c r="M1134" s="50"/>
      <c r="N1134" s="67"/>
    </row>
    <row r="1135" ht="15.0" customHeight="1">
      <c r="A1135" s="51"/>
      <c r="B1135" s="50"/>
      <c r="C1135" s="50"/>
      <c r="D1135" s="50"/>
      <c r="E1135" s="50"/>
      <c r="F1135" s="50"/>
      <c r="G1135" s="52"/>
      <c r="H1135" s="51"/>
      <c r="I1135" s="51"/>
      <c r="J1135" s="66"/>
      <c r="K1135" s="66"/>
      <c r="L1135" s="66"/>
      <c r="M1135" s="50"/>
      <c r="N1135" s="67"/>
    </row>
    <row r="1136" ht="15.0" customHeight="1">
      <c r="A1136" s="51"/>
      <c r="B1136" s="50"/>
      <c r="C1136" s="50"/>
      <c r="D1136" s="50"/>
      <c r="E1136" s="50"/>
      <c r="F1136" s="50"/>
      <c r="G1136" s="52"/>
      <c r="H1136" s="51"/>
      <c r="I1136" s="51"/>
      <c r="J1136" s="66"/>
      <c r="K1136" s="66"/>
      <c r="L1136" s="66"/>
      <c r="M1136" s="50"/>
      <c r="N1136" s="67"/>
    </row>
    <row r="1137" ht="15.0" customHeight="1">
      <c r="A1137" s="51"/>
      <c r="B1137" s="50"/>
      <c r="C1137" s="50"/>
      <c r="D1137" s="50"/>
      <c r="E1137" s="50"/>
      <c r="F1137" s="50"/>
      <c r="G1137" s="52"/>
      <c r="H1137" s="51"/>
      <c r="I1137" s="51"/>
      <c r="J1137" s="66"/>
      <c r="K1137" s="66"/>
      <c r="L1137" s="66"/>
      <c r="M1137" s="50"/>
      <c r="N1137" s="67"/>
    </row>
    <row r="1138" ht="15.0" customHeight="1">
      <c r="A1138" s="51"/>
      <c r="B1138" s="50"/>
      <c r="C1138" s="50"/>
      <c r="D1138" s="50"/>
      <c r="E1138" s="50"/>
      <c r="F1138" s="50"/>
      <c r="G1138" s="52"/>
      <c r="H1138" s="51"/>
      <c r="I1138" s="51"/>
      <c r="J1138" s="66"/>
      <c r="K1138" s="66"/>
      <c r="L1138" s="66"/>
      <c r="M1138" s="50"/>
      <c r="N1138" s="67"/>
    </row>
    <row r="1139" ht="15.0" customHeight="1">
      <c r="A1139" s="51"/>
      <c r="B1139" s="50"/>
      <c r="C1139" s="50"/>
      <c r="D1139" s="50"/>
      <c r="E1139" s="50"/>
      <c r="F1139" s="50"/>
      <c r="G1139" s="52"/>
      <c r="H1139" s="51"/>
      <c r="I1139" s="51"/>
      <c r="J1139" s="66"/>
      <c r="K1139" s="66"/>
      <c r="L1139" s="66"/>
      <c r="M1139" s="50"/>
      <c r="N1139" s="67"/>
    </row>
    <row r="1140" ht="15.0" customHeight="1">
      <c r="A1140" s="51"/>
      <c r="B1140" s="50"/>
      <c r="C1140" s="50"/>
      <c r="D1140" s="50"/>
      <c r="E1140" s="50"/>
      <c r="F1140" s="50"/>
      <c r="G1140" s="52"/>
      <c r="H1140" s="51"/>
      <c r="I1140" s="51"/>
      <c r="J1140" s="66"/>
      <c r="K1140" s="66"/>
      <c r="L1140" s="66"/>
      <c r="M1140" s="50"/>
      <c r="N1140" s="67"/>
    </row>
    <row r="1141" ht="15.0" customHeight="1">
      <c r="A1141" s="51"/>
      <c r="B1141" s="50"/>
      <c r="C1141" s="50"/>
      <c r="D1141" s="50"/>
      <c r="E1141" s="50"/>
      <c r="F1141" s="50"/>
      <c r="G1141" s="52"/>
      <c r="H1141" s="51"/>
      <c r="I1141" s="51"/>
      <c r="J1141" s="66"/>
      <c r="K1141" s="66"/>
      <c r="L1141" s="66"/>
      <c r="M1141" s="50"/>
      <c r="N1141" s="67"/>
    </row>
    <row r="1142" ht="15.0" customHeight="1">
      <c r="A1142" s="51"/>
      <c r="B1142" s="50"/>
      <c r="C1142" s="50"/>
      <c r="D1142" s="50"/>
      <c r="E1142" s="50"/>
      <c r="F1142" s="50"/>
      <c r="G1142" s="52"/>
      <c r="H1142" s="51"/>
      <c r="I1142" s="51"/>
      <c r="J1142" s="66"/>
      <c r="K1142" s="66"/>
      <c r="L1142" s="66"/>
      <c r="M1142" s="50"/>
      <c r="N1142" s="67"/>
    </row>
    <row r="1143" ht="15.0" customHeight="1">
      <c r="A1143" s="51"/>
      <c r="B1143" s="50"/>
      <c r="C1143" s="50"/>
      <c r="D1143" s="50"/>
      <c r="E1143" s="50"/>
      <c r="F1143" s="50"/>
      <c r="G1143" s="52"/>
      <c r="H1143" s="51"/>
      <c r="I1143" s="51"/>
      <c r="J1143" s="66"/>
      <c r="K1143" s="66"/>
      <c r="L1143" s="66"/>
      <c r="M1143" s="50"/>
      <c r="N1143" s="67"/>
    </row>
    <row r="1144" ht="15.0" customHeight="1">
      <c r="A1144" s="51"/>
      <c r="B1144" s="50"/>
      <c r="C1144" s="50"/>
      <c r="D1144" s="50"/>
      <c r="E1144" s="50"/>
      <c r="F1144" s="50"/>
      <c r="G1144" s="52"/>
      <c r="H1144" s="51"/>
      <c r="I1144" s="51"/>
      <c r="J1144" s="66"/>
      <c r="K1144" s="66"/>
      <c r="L1144" s="66"/>
      <c r="M1144" s="50"/>
      <c r="N1144" s="67"/>
    </row>
    <row r="1145" ht="15.0" customHeight="1">
      <c r="A1145" s="51"/>
      <c r="B1145" s="50"/>
      <c r="C1145" s="50"/>
      <c r="D1145" s="50"/>
      <c r="E1145" s="50"/>
      <c r="F1145" s="50"/>
      <c r="G1145" s="52"/>
      <c r="H1145" s="51"/>
      <c r="I1145" s="51"/>
      <c r="J1145" s="66"/>
      <c r="K1145" s="66"/>
      <c r="L1145" s="66"/>
      <c r="M1145" s="50"/>
      <c r="N1145" s="67"/>
    </row>
    <row r="1146" ht="15.0" customHeight="1">
      <c r="A1146" s="51"/>
      <c r="B1146" s="50"/>
      <c r="C1146" s="50"/>
      <c r="D1146" s="50"/>
      <c r="E1146" s="50"/>
      <c r="F1146" s="50"/>
      <c r="G1146" s="52"/>
      <c r="H1146" s="51"/>
      <c r="I1146" s="51"/>
      <c r="J1146" s="66"/>
      <c r="K1146" s="66"/>
      <c r="L1146" s="66"/>
      <c r="M1146" s="50"/>
      <c r="N1146" s="67"/>
    </row>
    <row r="1147" ht="15.0" customHeight="1">
      <c r="A1147" s="51"/>
      <c r="B1147" s="50"/>
      <c r="C1147" s="50"/>
      <c r="D1147" s="50"/>
      <c r="E1147" s="50"/>
      <c r="F1147" s="50"/>
      <c r="G1147" s="52"/>
      <c r="H1147" s="51"/>
      <c r="I1147" s="51"/>
      <c r="J1147" s="66"/>
      <c r="K1147" s="66"/>
      <c r="L1147" s="66"/>
      <c r="M1147" s="50"/>
      <c r="N1147" s="67"/>
    </row>
    <row r="1148" ht="15.0" customHeight="1">
      <c r="A1148" s="51"/>
      <c r="B1148" s="50"/>
      <c r="C1148" s="50"/>
      <c r="D1148" s="50"/>
      <c r="E1148" s="50"/>
      <c r="F1148" s="50"/>
      <c r="G1148" s="52"/>
      <c r="H1148" s="51"/>
      <c r="I1148" s="51"/>
      <c r="J1148" s="66"/>
      <c r="K1148" s="66"/>
      <c r="L1148" s="66"/>
      <c r="M1148" s="50"/>
      <c r="N1148" s="67"/>
    </row>
    <row r="1149" ht="15.0" customHeight="1">
      <c r="A1149" s="51"/>
      <c r="B1149" s="50"/>
      <c r="C1149" s="50"/>
      <c r="D1149" s="50"/>
      <c r="E1149" s="50"/>
      <c r="F1149" s="50"/>
      <c r="G1149" s="52"/>
      <c r="H1149" s="51"/>
      <c r="I1149" s="51"/>
      <c r="J1149" s="66"/>
      <c r="K1149" s="66"/>
      <c r="L1149" s="66"/>
      <c r="M1149" s="50"/>
      <c r="N1149" s="67"/>
    </row>
    <row r="1150" ht="15.0" customHeight="1">
      <c r="A1150" s="51"/>
      <c r="B1150" s="50"/>
      <c r="C1150" s="50"/>
      <c r="D1150" s="50"/>
      <c r="E1150" s="50"/>
      <c r="F1150" s="50"/>
      <c r="G1150" s="52"/>
      <c r="H1150" s="51"/>
      <c r="I1150" s="51"/>
      <c r="J1150" s="66"/>
      <c r="K1150" s="66"/>
      <c r="L1150" s="66"/>
      <c r="M1150" s="50"/>
      <c r="N1150" s="67"/>
    </row>
    <row r="1151" ht="15.0" customHeight="1">
      <c r="A1151" s="51"/>
      <c r="B1151" s="50"/>
      <c r="C1151" s="50"/>
      <c r="D1151" s="50"/>
      <c r="E1151" s="50"/>
      <c r="F1151" s="50"/>
      <c r="G1151" s="52"/>
      <c r="H1151" s="51"/>
      <c r="I1151" s="51"/>
      <c r="J1151" s="66"/>
      <c r="K1151" s="66"/>
      <c r="L1151" s="66"/>
      <c r="M1151" s="50"/>
      <c r="N1151" s="67"/>
    </row>
    <row r="1152" ht="15.0" customHeight="1">
      <c r="A1152" s="51"/>
      <c r="B1152" s="50"/>
      <c r="C1152" s="50"/>
      <c r="D1152" s="50"/>
      <c r="E1152" s="50"/>
      <c r="F1152" s="50"/>
      <c r="G1152" s="52"/>
      <c r="H1152" s="51"/>
      <c r="I1152" s="51"/>
      <c r="J1152" s="66"/>
      <c r="K1152" s="66"/>
      <c r="L1152" s="66"/>
      <c r="M1152" s="50"/>
      <c r="N1152" s="67"/>
    </row>
    <row r="1153" ht="15.0" customHeight="1">
      <c r="A1153" s="51"/>
      <c r="B1153" s="50"/>
      <c r="C1153" s="50"/>
      <c r="D1153" s="50"/>
      <c r="E1153" s="50"/>
      <c r="F1153" s="50"/>
      <c r="G1153" s="52"/>
      <c r="H1153" s="51"/>
      <c r="I1153" s="51"/>
      <c r="J1153" s="66"/>
      <c r="K1153" s="66"/>
      <c r="L1153" s="66"/>
      <c r="M1153" s="50"/>
      <c r="N1153" s="67"/>
    </row>
    <row r="1154" ht="15.0" customHeight="1">
      <c r="A1154" s="51"/>
      <c r="B1154" s="50"/>
      <c r="C1154" s="50"/>
      <c r="D1154" s="50"/>
      <c r="E1154" s="50"/>
      <c r="F1154" s="50"/>
      <c r="G1154" s="52"/>
      <c r="H1154" s="51"/>
      <c r="I1154" s="51"/>
      <c r="J1154" s="66"/>
      <c r="K1154" s="66"/>
      <c r="L1154" s="66"/>
      <c r="M1154" s="50"/>
      <c r="N1154" s="67"/>
    </row>
    <row r="1155" ht="15.0" customHeight="1">
      <c r="A1155" s="51"/>
      <c r="B1155" s="50"/>
      <c r="C1155" s="50"/>
      <c r="D1155" s="50"/>
      <c r="E1155" s="50"/>
      <c r="F1155" s="50"/>
      <c r="G1155" s="52"/>
      <c r="H1155" s="51"/>
      <c r="I1155" s="51"/>
      <c r="J1155" s="66"/>
      <c r="K1155" s="66"/>
      <c r="L1155" s="66"/>
      <c r="M1155" s="50"/>
      <c r="N1155" s="67"/>
    </row>
    <row r="1156" ht="15.0" customHeight="1">
      <c r="A1156" s="51"/>
      <c r="B1156" s="50"/>
      <c r="C1156" s="50"/>
      <c r="D1156" s="50"/>
      <c r="E1156" s="50"/>
      <c r="F1156" s="50"/>
      <c r="G1156" s="52"/>
      <c r="H1156" s="51"/>
      <c r="I1156" s="51"/>
      <c r="J1156" s="66"/>
      <c r="K1156" s="66"/>
      <c r="L1156" s="66"/>
      <c r="M1156" s="50"/>
      <c r="N1156" s="67"/>
    </row>
    <row r="1157" ht="15.0" customHeight="1">
      <c r="A1157" s="51"/>
      <c r="B1157" s="50"/>
      <c r="C1157" s="50"/>
      <c r="D1157" s="50"/>
      <c r="E1157" s="50"/>
      <c r="F1157" s="50"/>
      <c r="G1157" s="52"/>
      <c r="H1157" s="51"/>
      <c r="I1157" s="51"/>
      <c r="J1157" s="66"/>
      <c r="K1157" s="66"/>
      <c r="L1157" s="66"/>
      <c r="M1157" s="50"/>
      <c r="N1157" s="67"/>
    </row>
    <row r="1158" ht="15.0" customHeight="1">
      <c r="A1158" s="51"/>
      <c r="B1158" s="50"/>
      <c r="C1158" s="50"/>
      <c r="D1158" s="50"/>
      <c r="E1158" s="50"/>
      <c r="F1158" s="50"/>
      <c r="G1158" s="52"/>
      <c r="H1158" s="51"/>
      <c r="I1158" s="51"/>
      <c r="J1158" s="66"/>
      <c r="K1158" s="66"/>
      <c r="L1158" s="66"/>
      <c r="M1158" s="50"/>
      <c r="N1158" s="67"/>
    </row>
    <row r="1159" ht="15.0" customHeight="1">
      <c r="A1159" s="51"/>
      <c r="B1159" s="50"/>
      <c r="C1159" s="50"/>
      <c r="D1159" s="50"/>
      <c r="E1159" s="50"/>
      <c r="F1159" s="50"/>
      <c r="G1159" s="52"/>
      <c r="H1159" s="51"/>
      <c r="I1159" s="51"/>
      <c r="J1159" s="66"/>
      <c r="K1159" s="66"/>
      <c r="L1159" s="66"/>
      <c r="M1159" s="50"/>
      <c r="N1159" s="67"/>
    </row>
    <row r="1160" ht="15.0" customHeight="1">
      <c r="A1160" s="51"/>
      <c r="B1160" s="50"/>
      <c r="C1160" s="50"/>
      <c r="D1160" s="50"/>
      <c r="E1160" s="50"/>
      <c r="F1160" s="50"/>
      <c r="G1160" s="52"/>
      <c r="H1160" s="51"/>
      <c r="I1160" s="51"/>
      <c r="J1160" s="66"/>
      <c r="K1160" s="66"/>
      <c r="L1160" s="66"/>
      <c r="M1160" s="50"/>
      <c r="N1160" s="67"/>
    </row>
    <row r="1161" ht="15.0" customHeight="1">
      <c r="A1161" s="51"/>
      <c r="B1161" s="50"/>
      <c r="C1161" s="50"/>
      <c r="D1161" s="50"/>
      <c r="E1161" s="50"/>
      <c r="F1161" s="50"/>
      <c r="G1161" s="52"/>
      <c r="H1161" s="51"/>
      <c r="I1161" s="51"/>
      <c r="J1161" s="66"/>
      <c r="K1161" s="66"/>
      <c r="L1161" s="66"/>
      <c r="M1161" s="50"/>
      <c r="N1161" s="67"/>
    </row>
    <row r="1162" ht="15.0" customHeight="1">
      <c r="A1162" s="51"/>
      <c r="B1162" s="50"/>
      <c r="C1162" s="50"/>
      <c r="D1162" s="50"/>
      <c r="E1162" s="50"/>
      <c r="F1162" s="50"/>
      <c r="G1162" s="52"/>
      <c r="H1162" s="51"/>
      <c r="I1162" s="51"/>
      <c r="J1162" s="66"/>
      <c r="K1162" s="66"/>
      <c r="L1162" s="66"/>
      <c r="M1162" s="50"/>
      <c r="N1162" s="67"/>
    </row>
    <row r="1163" ht="15.0" customHeight="1">
      <c r="A1163" s="51"/>
      <c r="B1163" s="50"/>
      <c r="C1163" s="50"/>
      <c r="D1163" s="50"/>
      <c r="E1163" s="50"/>
      <c r="F1163" s="50"/>
      <c r="G1163" s="52"/>
      <c r="H1163" s="51"/>
      <c r="I1163" s="51"/>
      <c r="J1163" s="66"/>
      <c r="K1163" s="66"/>
      <c r="L1163" s="66"/>
      <c r="M1163" s="50"/>
      <c r="N1163" s="67"/>
    </row>
    <row r="1164" ht="15.0" customHeight="1">
      <c r="A1164" s="51"/>
      <c r="B1164" s="50"/>
      <c r="C1164" s="50"/>
      <c r="D1164" s="50"/>
      <c r="E1164" s="50"/>
      <c r="F1164" s="50"/>
      <c r="G1164" s="52"/>
      <c r="H1164" s="51"/>
      <c r="I1164" s="51"/>
      <c r="J1164" s="66"/>
      <c r="K1164" s="66"/>
      <c r="L1164" s="66"/>
      <c r="M1164" s="50"/>
      <c r="N1164" s="67"/>
    </row>
    <row r="1165" ht="15.0" customHeight="1">
      <c r="A1165" s="51"/>
      <c r="B1165" s="50"/>
      <c r="C1165" s="50"/>
      <c r="D1165" s="50"/>
      <c r="E1165" s="50"/>
      <c r="F1165" s="50"/>
      <c r="G1165" s="52"/>
      <c r="H1165" s="51"/>
      <c r="I1165" s="51"/>
      <c r="J1165" s="66"/>
      <c r="K1165" s="66"/>
      <c r="L1165" s="66"/>
      <c r="M1165" s="50"/>
      <c r="N1165" s="67"/>
    </row>
    <row r="1166" ht="15.0" customHeight="1">
      <c r="A1166" s="51"/>
      <c r="B1166" s="50"/>
      <c r="C1166" s="50"/>
      <c r="D1166" s="50"/>
      <c r="E1166" s="50"/>
      <c r="F1166" s="50"/>
      <c r="G1166" s="52"/>
      <c r="H1166" s="51"/>
      <c r="I1166" s="51"/>
      <c r="J1166" s="66"/>
      <c r="K1166" s="66"/>
      <c r="L1166" s="66"/>
      <c r="M1166" s="50"/>
      <c r="N1166" s="67"/>
    </row>
    <row r="1167" ht="15.0" customHeight="1">
      <c r="A1167" s="51"/>
      <c r="B1167" s="50"/>
      <c r="C1167" s="50"/>
      <c r="D1167" s="50"/>
      <c r="E1167" s="50"/>
      <c r="F1167" s="50"/>
      <c r="G1167" s="52"/>
      <c r="H1167" s="51"/>
      <c r="I1167" s="51"/>
      <c r="J1167" s="66"/>
      <c r="K1167" s="66"/>
      <c r="L1167" s="66"/>
      <c r="M1167" s="50"/>
      <c r="N1167" s="67"/>
    </row>
    <row r="1168" ht="15.0" customHeight="1">
      <c r="A1168" s="51"/>
      <c r="B1168" s="50"/>
      <c r="C1168" s="50"/>
      <c r="D1168" s="50"/>
      <c r="E1168" s="50"/>
      <c r="F1168" s="50"/>
      <c r="G1168" s="52"/>
      <c r="H1168" s="51"/>
      <c r="I1168" s="51"/>
      <c r="J1168" s="66"/>
      <c r="K1168" s="66"/>
      <c r="L1168" s="66"/>
      <c r="M1168" s="50"/>
      <c r="N1168" s="67"/>
    </row>
    <row r="1169" ht="15.0" customHeight="1">
      <c r="A1169" s="51"/>
      <c r="B1169" s="50"/>
      <c r="C1169" s="50"/>
      <c r="D1169" s="50"/>
      <c r="E1169" s="50"/>
      <c r="F1169" s="50"/>
      <c r="G1169" s="52"/>
      <c r="H1169" s="51"/>
      <c r="I1169" s="51"/>
      <c r="J1169" s="66"/>
      <c r="K1169" s="66"/>
      <c r="L1169" s="66"/>
      <c r="M1169" s="50"/>
      <c r="N1169" s="67"/>
    </row>
    <row r="1170" ht="15.0" customHeight="1">
      <c r="A1170" s="51"/>
      <c r="B1170" s="50"/>
      <c r="C1170" s="50"/>
      <c r="D1170" s="50"/>
      <c r="E1170" s="50"/>
      <c r="F1170" s="50"/>
      <c r="G1170" s="52"/>
      <c r="H1170" s="51"/>
      <c r="I1170" s="51"/>
      <c r="J1170" s="66"/>
      <c r="K1170" s="66"/>
      <c r="L1170" s="66"/>
      <c r="M1170" s="50"/>
      <c r="N1170" s="67"/>
    </row>
    <row r="1171" ht="15.0" customHeight="1">
      <c r="A1171" s="51"/>
      <c r="B1171" s="50"/>
      <c r="C1171" s="50"/>
      <c r="D1171" s="50"/>
      <c r="E1171" s="50"/>
      <c r="F1171" s="50"/>
      <c r="G1171" s="52"/>
      <c r="H1171" s="51"/>
      <c r="I1171" s="51"/>
      <c r="J1171" s="66"/>
      <c r="K1171" s="66"/>
      <c r="L1171" s="66"/>
      <c r="M1171" s="50"/>
      <c r="N1171" s="67"/>
    </row>
    <row r="1172" ht="15.0" customHeight="1">
      <c r="A1172" s="51"/>
      <c r="B1172" s="50"/>
      <c r="C1172" s="50"/>
      <c r="D1172" s="50"/>
      <c r="E1172" s="50"/>
      <c r="F1172" s="50"/>
      <c r="G1172" s="52"/>
      <c r="H1172" s="51"/>
      <c r="I1172" s="51"/>
      <c r="J1172" s="66"/>
      <c r="K1172" s="66"/>
      <c r="L1172" s="66"/>
      <c r="M1172" s="50"/>
      <c r="N1172" s="67"/>
    </row>
    <row r="1173" ht="15.0" customHeight="1">
      <c r="A1173" s="51"/>
      <c r="B1173" s="50"/>
      <c r="C1173" s="50"/>
      <c r="D1173" s="50"/>
      <c r="E1173" s="50"/>
      <c r="F1173" s="50"/>
      <c r="G1173" s="52"/>
      <c r="H1173" s="51"/>
      <c r="I1173" s="51"/>
      <c r="J1173" s="66"/>
      <c r="K1173" s="66"/>
      <c r="L1173" s="66"/>
      <c r="M1173" s="50"/>
      <c r="N1173" s="67"/>
    </row>
    <row r="1174" ht="15.0" customHeight="1">
      <c r="A1174" s="51"/>
      <c r="B1174" s="50"/>
      <c r="C1174" s="50"/>
      <c r="D1174" s="50"/>
      <c r="E1174" s="50"/>
      <c r="F1174" s="50"/>
      <c r="G1174" s="52"/>
      <c r="H1174" s="51"/>
      <c r="I1174" s="51"/>
      <c r="J1174" s="66"/>
      <c r="K1174" s="66"/>
      <c r="L1174" s="66"/>
      <c r="M1174" s="50"/>
      <c r="N1174" s="67"/>
    </row>
    <row r="1175" ht="15.0" customHeight="1">
      <c r="A1175" s="51"/>
      <c r="B1175" s="50"/>
      <c r="C1175" s="50"/>
      <c r="D1175" s="50"/>
      <c r="E1175" s="50"/>
      <c r="F1175" s="50"/>
      <c r="G1175" s="52"/>
      <c r="H1175" s="51"/>
      <c r="I1175" s="51"/>
      <c r="J1175" s="66"/>
      <c r="K1175" s="66"/>
      <c r="L1175" s="66"/>
      <c r="M1175" s="50"/>
      <c r="N1175" s="67"/>
    </row>
    <row r="1176" ht="15.0" customHeight="1">
      <c r="A1176" s="51"/>
      <c r="B1176" s="50"/>
      <c r="C1176" s="50"/>
      <c r="D1176" s="50"/>
      <c r="E1176" s="50"/>
      <c r="F1176" s="50"/>
      <c r="G1176" s="52"/>
      <c r="H1176" s="51"/>
      <c r="I1176" s="51"/>
      <c r="J1176" s="66"/>
      <c r="K1176" s="66"/>
      <c r="L1176" s="66"/>
      <c r="M1176" s="50"/>
      <c r="N1176" s="67"/>
    </row>
    <row r="1177" ht="15.0" customHeight="1">
      <c r="A1177" s="51"/>
      <c r="B1177" s="50"/>
      <c r="C1177" s="50"/>
      <c r="D1177" s="50"/>
      <c r="E1177" s="50"/>
      <c r="F1177" s="50"/>
      <c r="G1177" s="52"/>
      <c r="H1177" s="51"/>
      <c r="I1177" s="51"/>
      <c r="J1177" s="66"/>
      <c r="K1177" s="66"/>
      <c r="L1177" s="66"/>
      <c r="M1177" s="50"/>
      <c r="N1177" s="67"/>
    </row>
    <row r="1178" ht="15.0" customHeight="1">
      <c r="A1178" s="51"/>
      <c r="B1178" s="50"/>
      <c r="C1178" s="50"/>
      <c r="D1178" s="50"/>
      <c r="E1178" s="50"/>
      <c r="F1178" s="50"/>
      <c r="G1178" s="52"/>
      <c r="H1178" s="51"/>
      <c r="I1178" s="51"/>
      <c r="J1178" s="66"/>
      <c r="K1178" s="66"/>
      <c r="L1178" s="66"/>
      <c r="M1178" s="50"/>
      <c r="N1178" s="67"/>
    </row>
    <row r="1179" ht="15.0" customHeight="1">
      <c r="A1179" s="51"/>
      <c r="B1179" s="50"/>
      <c r="C1179" s="50"/>
      <c r="D1179" s="50"/>
      <c r="E1179" s="50"/>
      <c r="F1179" s="50"/>
      <c r="G1179" s="52"/>
      <c r="H1179" s="51"/>
      <c r="I1179" s="51"/>
      <c r="J1179" s="66"/>
      <c r="K1179" s="66"/>
      <c r="L1179" s="66"/>
      <c r="M1179" s="50"/>
      <c r="N1179" s="67"/>
    </row>
    <row r="1180" ht="15.0" customHeight="1">
      <c r="A1180" s="51"/>
      <c r="B1180" s="50"/>
      <c r="C1180" s="50"/>
      <c r="D1180" s="50"/>
      <c r="E1180" s="50"/>
      <c r="F1180" s="50"/>
      <c r="G1180" s="52"/>
      <c r="H1180" s="51"/>
      <c r="I1180" s="51"/>
      <c r="J1180" s="66"/>
      <c r="K1180" s="66"/>
      <c r="L1180" s="66"/>
      <c r="M1180" s="50"/>
      <c r="N1180" s="67"/>
    </row>
    <row r="1181" ht="15.0" customHeight="1">
      <c r="A1181" s="51"/>
      <c r="B1181" s="50"/>
      <c r="C1181" s="50"/>
      <c r="D1181" s="50"/>
      <c r="E1181" s="50"/>
      <c r="F1181" s="50"/>
      <c r="G1181" s="52"/>
      <c r="H1181" s="51"/>
      <c r="I1181" s="51"/>
      <c r="J1181" s="66"/>
      <c r="K1181" s="66"/>
      <c r="L1181" s="66"/>
      <c r="M1181" s="50"/>
      <c r="N1181" s="67"/>
    </row>
    <row r="1182" ht="15.0" customHeight="1">
      <c r="A1182" s="51"/>
      <c r="B1182" s="50"/>
      <c r="C1182" s="50"/>
      <c r="D1182" s="50"/>
      <c r="E1182" s="50"/>
      <c r="F1182" s="50"/>
      <c r="G1182" s="52"/>
      <c r="H1182" s="51"/>
      <c r="I1182" s="51"/>
      <c r="J1182" s="66"/>
      <c r="K1182" s="66"/>
      <c r="L1182" s="66"/>
      <c r="M1182" s="50"/>
      <c r="N1182" s="67"/>
    </row>
    <row r="1183" ht="15.0" customHeight="1">
      <c r="A1183" s="51"/>
      <c r="B1183" s="50"/>
      <c r="C1183" s="50"/>
      <c r="D1183" s="50"/>
      <c r="E1183" s="50"/>
      <c r="F1183" s="50"/>
      <c r="G1183" s="52"/>
      <c r="H1183" s="51"/>
      <c r="I1183" s="51"/>
      <c r="J1183" s="66"/>
      <c r="K1183" s="66"/>
      <c r="L1183" s="66"/>
      <c r="M1183" s="50"/>
      <c r="N1183" s="67"/>
    </row>
    <row r="1184" ht="15.0" customHeight="1">
      <c r="A1184" s="51"/>
      <c r="B1184" s="50"/>
      <c r="C1184" s="50"/>
      <c r="D1184" s="50"/>
      <c r="E1184" s="50"/>
      <c r="F1184" s="50"/>
      <c r="G1184" s="52"/>
      <c r="H1184" s="51"/>
      <c r="I1184" s="51"/>
      <c r="J1184" s="66"/>
      <c r="K1184" s="66"/>
      <c r="L1184" s="66"/>
      <c r="M1184" s="50"/>
      <c r="N1184" s="67"/>
    </row>
    <row r="1185" ht="15.0" customHeight="1">
      <c r="A1185" s="51"/>
      <c r="B1185" s="50"/>
      <c r="C1185" s="50"/>
      <c r="D1185" s="50"/>
      <c r="E1185" s="50"/>
      <c r="F1185" s="50"/>
      <c r="G1185" s="52"/>
      <c r="H1185" s="51"/>
      <c r="I1185" s="51"/>
      <c r="J1185" s="66"/>
      <c r="K1185" s="66"/>
      <c r="L1185" s="66"/>
      <c r="M1185" s="50"/>
      <c r="N1185" s="67"/>
    </row>
    <row r="1186" ht="15.0" customHeight="1">
      <c r="A1186" s="51"/>
      <c r="B1186" s="50"/>
      <c r="C1186" s="50"/>
      <c r="D1186" s="50"/>
      <c r="E1186" s="50"/>
      <c r="F1186" s="50"/>
      <c r="G1186" s="52"/>
      <c r="H1186" s="51"/>
      <c r="I1186" s="51"/>
      <c r="J1186" s="66"/>
      <c r="K1186" s="66"/>
      <c r="L1186" s="66"/>
      <c r="M1186" s="50"/>
      <c r="N1186" s="67"/>
    </row>
    <row r="1187" ht="15.0" customHeight="1">
      <c r="A1187" s="51"/>
      <c r="B1187" s="50"/>
      <c r="C1187" s="50"/>
      <c r="D1187" s="50"/>
      <c r="E1187" s="50"/>
      <c r="F1187" s="50"/>
      <c r="G1187" s="52"/>
      <c r="H1187" s="51"/>
      <c r="I1187" s="51"/>
      <c r="J1187" s="66"/>
      <c r="K1187" s="66"/>
      <c r="L1187" s="66"/>
      <c r="M1187" s="50"/>
      <c r="N1187" s="67"/>
    </row>
    <row r="1188" ht="15.0" customHeight="1">
      <c r="A1188" s="51"/>
      <c r="B1188" s="50"/>
      <c r="C1188" s="50"/>
      <c r="D1188" s="50"/>
      <c r="E1188" s="50"/>
      <c r="F1188" s="50"/>
      <c r="G1188" s="52"/>
      <c r="H1188" s="51"/>
      <c r="I1188" s="51"/>
      <c r="J1188" s="66"/>
      <c r="K1188" s="66"/>
      <c r="L1188" s="66"/>
      <c r="M1188" s="50"/>
      <c r="N1188" s="67"/>
    </row>
    <row r="1189" ht="15.0" customHeight="1">
      <c r="A1189" s="51"/>
      <c r="B1189" s="50"/>
      <c r="C1189" s="50"/>
      <c r="D1189" s="50"/>
      <c r="E1189" s="50"/>
      <c r="F1189" s="50"/>
      <c r="G1189" s="52"/>
      <c r="H1189" s="51"/>
      <c r="I1189" s="51"/>
      <c r="J1189" s="66"/>
      <c r="K1189" s="66"/>
      <c r="L1189" s="66"/>
      <c r="M1189" s="50"/>
      <c r="N1189" s="67"/>
    </row>
    <row r="1190" ht="15.0" customHeight="1">
      <c r="A1190" s="51"/>
      <c r="B1190" s="50"/>
      <c r="C1190" s="50"/>
      <c r="D1190" s="50"/>
      <c r="E1190" s="50"/>
      <c r="F1190" s="50"/>
      <c r="G1190" s="52"/>
      <c r="H1190" s="51"/>
      <c r="I1190" s="51"/>
      <c r="J1190" s="66"/>
      <c r="K1190" s="66"/>
      <c r="L1190" s="66"/>
      <c r="M1190" s="50"/>
      <c r="N1190" s="67"/>
    </row>
    <row r="1191" ht="15.0" customHeight="1">
      <c r="A1191" s="51"/>
      <c r="B1191" s="50"/>
      <c r="C1191" s="50"/>
      <c r="D1191" s="50"/>
      <c r="E1191" s="50"/>
      <c r="F1191" s="50"/>
      <c r="G1191" s="52"/>
      <c r="H1191" s="51"/>
      <c r="I1191" s="51"/>
      <c r="J1191" s="66"/>
      <c r="K1191" s="66"/>
      <c r="L1191" s="66"/>
      <c r="M1191" s="50"/>
      <c r="N1191" s="67"/>
    </row>
    <row r="1192" ht="15.0" customHeight="1">
      <c r="A1192" s="51"/>
      <c r="B1192" s="50"/>
      <c r="C1192" s="50"/>
      <c r="D1192" s="50"/>
      <c r="E1192" s="50"/>
      <c r="F1192" s="50"/>
      <c r="G1192" s="52"/>
      <c r="H1192" s="51"/>
      <c r="I1192" s="51"/>
      <c r="J1192" s="66"/>
      <c r="K1192" s="66"/>
      <c r="L1192" s="66"/>
      <c r="M1192" s="50"/>
      <c r="N1192" s="67"/>
    </row>
    <row r="1193" ht="15.0" customHeight="1">
      <c r="A1193" s="51"/>
      <c r="B1193" s="50"/>
      <c r="C1193" s="50"/>
      <c r="D1193" s="50"/>
      <c r="E1193" s="50"/>
      <c r="F1193" s="50"/>
      <c r="G1193" s="52"/>
      <c r="H1193" s="51"/>
      <c r="I1193" s="51"/>
      <c r="J1193" s="66"/>
      <c r="K1193" s="66"/>
      <c r="L1193" s="66"/>
      <c r="M1193" s="50"/>
      <c r="N1193" s="67"/>
    </row>
    <row r="1194" ht="15.0" customHeight="1">
      <c r="A1194" s="51"/>
      <c r="B1194" s="50"/>
      <c r="C1194" s="50"/>
      <c r="D1194" s="50"/>
      <c r="E1194" s="50"/>
      <c r="F1194" s="50"/>
      <c r="G1194" s="52"/>
      <c r="H1194" s="51"/>
      <c r="I1194" s="51"/>
      <c r="J1194" s="66"/>
      <c r="K1194" s="66"/>
      <c r="L1194" s="66"/>
      <c r="M1194" s="50"/>
      <c r="N1194" s="67"/>
    </row>
    <row r="1195" ht="15.0" customHeight="1">
      <c r="A1195" s="51"/>
      <c r="B1195" s="50"/>
      <c r="C1195" s="50"/>
      <c r="D1195" s="50"/>
      <c r="E1195" s="50"/>
      <c r="F1195" s="50"/>
      <c r="G1195" s="52"/>
      <c r="H1195" s="51"/>
      <c r="I1195" s="51"/>
      <c r="J1195" s="66"/>
      <c r="K1195" s="66"/>
      <c r="L1195" s="66"/>
      <c r="M1195" s="50"/>
      <c r="N1195" s="67"/>
    </row>
    <row r="1196" ht="15.0" customHeight="1">
      <c r="A1196" s="51"/>
      <c r="B1196" s="50"/>
      <c r="C1196" s="50"/>
      <c r="D1196" s="50"/>
      <c r="E1196" s="50"/>
      <c r="F1196" s="50"/>
      <c r="G1196" s="52"/>
      <c r="H1196" s="51"/>
      <c r="I1196" s="51"/>
      <c r="J1196" s="66"/>
      <c r="K1196" s="66"/>
      <c r="L1196" s="66"/>
      <c r="M1196" s="50"/>
      <c r="N1196" s="67"/>
    </row>
    <row r="1197" ht="15.0" customHeight="1">
      <c r="A1197" s="51"/>
      <c r="B1197" s="50"/>
      <c r="C1197" s="50"/>
      <c r="D1197" s="50"/>
      <c r="E1197" s="50"/>
      <c r="F1197" s="50"/>
      <c r="G1197" s="52"/>
      <c r="H1197" s="51"/>
      <c r="I1197" s="51"/>
      <c r="J1197" s="66"/>
      <c r="K1197" s="66"/>
      <c r="L1197" s="66"/>
      <c r="M1197" s="50"/>
      <c r="N1197" s="67"/>
    </row>
    <row r="1198" ht="15.0" customHeight="1">
      <c r="A1198" s="51"/>
      <c r="B1198" s="50"/>
      <c r="C1198" s="50"/>
      <c r="D1198" s="50"/>
      <c r="E1198" s="50"/>
      <c r="F1198" s="50"/>
      <c r="G1198" s="52"/>
      <c r="H1198" s="51"/>
      <c r="I1198" s="51"/>
      <c r="J1198" s="66"/>
      <c r="K1198" s="66"/>
      <c r="L1198" s="66"/>
      <c r="M1198" s="50"/>
      <c r="N1198" s="67"/>
    </row>
    <row r="1199" ht="15.0" customHeight="1">
      <c r="A1199" s="51"/>
      <c r="B1199" s="50"/>
      <c r="C1199" s="50"/>
      <c r="D1199" s="50"/>
      <c r="E1199" s="50"/>
      <c r="F1199" s="50"/>
      <c r="G1199" s="52"/>
      <c r="H1199" s="51"/>
      <c r="I1199" s="51"/>
      <c r="J1199" s="66"/>
      <c r="K1199" s="66"/>
      <c r="L1199" s="66"/>
      <c r="M1199" s="50"/>
      <c r="N1199" s="67"/>
    </row>
    <row r="1200" ht="15.0" customHeight="1">
      <c r="A1200" s="51"/>
      <c r="B1200" s="50"/>
      <c r="C1200" s="50"/>
      <c r="D1200" s="50"/>
      <c r="E1200" s="50"/>
      <c r="F1200" s="50"/>
      <c r="G1200" s="52"/>
      <c r="H1200" s="51"/>
      <c r="I1200" s="51"/>
      <c r="J1200" s="66"/>
      <c r="K1200" s="66"/>
      <c r="L1200" s="66"/>
      <c r="M1200" s="50"/>
      <c r="N1200" s="67"/>
    </row>
    <row r="1201" ht="15.0" customHeight="1">
      <c r="A1201" s="51"/>
      <c r="B1201" s="50"/>
      <c r="C1201" s="50"/>
      <c r="D1201" s="50"/>
      <c r="E1201" s="50"/>
      <c r="F1201" s="50"/>
      <c r="G1201" s="52"/>
      <c r="H1201" s="51"/>
      <c r="I1201" s="51"/>
      <c r="J1201" s="66"/>
      <c r="K1201" s="66"/>
      <c r="L1201" s="66"/>
      <c r="M1201" s="50"/>
      <c r="N1201" s="67"/>
    </row>
    <row r="1202" ht="15.0" customHeight="1">
      <c r="A1202" s="51"/>
      <c r="B1202" s="50"/>
      <c r="C1202" s="50"/>
      <c r="D1202" s="50"/>
      <c r="E1202" s="50"/>
      <c r="F1202" s="50"/>
      <c r="G1202" s="52"/>
      <c r="H1202" s="51"/>
      <c r="I1202" s="51"/>
      <c r="J1202" s="66"/>
      <c r="K1202" s="66"/>
      <c r="L1202" s="66"/>
      <c r="M1202" s="50"/>
      <c r="N1202" s="67"/>
    </row>
    <row r="1203" ht="15.0" customHeight="1">
      <c r="A1203" s="51"/>
      <c r="B1203" s="50"/>
      <c r="C1203" s="50"/>
      <c r="D1203" s="50"/>
      <c r="E1203" s="50"/>
      <c r="F1203" s="50"/>
      <c r="G1203" s="52"/>
      <c r="H1203" s="51"/>
      <c r="I1203" s="51"/>
      <c r="J1203" s="66"/>
      <c r="K1203" s="66"/>
      <c r="L1203" s="66"/>
      <c r="M1203" s="50"/>
      <c r="N1203" s="67"/>
    </row>
    <row r="1204" ht="15.0" customHeight="1">
      <c r="A1204" s="51"/>
      <c r="B1204" s="50"/>
      <c r="C1204" s="50"/>
      <c r="D1204" s="50"/>
      <c r="E1204" s="50"/>
      <c r="F1204" s="50"/>
      <c r="G1204" s="52"/>
      <c r="H1204" s="51"/>
      <c r="I1204" s="51"/>
      <c r="J1204" s="66"/>
      <c r="K1204" s="66"/>
      <c r="L1204" s="66"/>
      <c r="M1204" s="50"/>
      <c r="N1204" s="67"/>
    </row>
    <row r="1205" ht="15.0" customHeight="1">
      <c r="A1205" s="51"/>
      <c r="B1205" s="50"/>
      <c r="C1205" s="50"/>
      <c r="D1205" s="50"/>
      <c r="E1205" s="50"/>
      <c r="F1205" s="50"/>
      <c r="G1205" s="52"/>
      <c r="H1205" s="51"/>
      <c r="I1205" s="51"/>
      <c r="J1205" s="66"/>
      <c r="K1205" s="66"/>
      <c r="L1205" s="66"/>
      <c r="M1205" s="50"/>
      <c r="N1205" s="67"/>
    </row>
    <row r="1206" ht="15.0" customHeight="1">
      <c r="A1206" s="51"/>
      <c r="B1206" s="50"/>
      <c r="C1206" s="50"/>
      <c r="D1206" s="50"/>
      <c r="E1206" s="50"/>
      <c r="F1206" s="50"/>
      <c r="G1206" s="52"/>
      <c r="H1206" s="51"/>
      <c r="I1206" s="51"/>
      <c r="J1206" s="66"/>
      <c r="K1206" s="66"/>
      <c r="L1206" s="66"/>
      <c r="M1206" s="50"/>
      <c r="N1206" s="67"/>
    </row>
    <row r="1207" ht="15.0" customHeight="1">
      <c r="A1207" s="51"/>
      <c r="B1207" s="50"/>
      <c r="C1207" s="50"/>
      <c r="D1207" s="50"/>
      <c r="E1207" s="50"/>
      <c r="F1207" s="50"/>
      <c r="G1207" s="52"/>
      <c r="H1207" s="51"/>
      <c r="I1207" s="51"/>
      <c r="J1207" s="66"/>
      <c r="K1207" s="66"/>
      <c r="L1207" s="66"/>
      <c r="M1207" s="50"/>
      <c r="N1207" s="67"/>
    </row>
    <row r="1208" ht="15.0" customHeight="1">
      <c r="A1208" s="51"/>
      <c r="B1208" s="50"/>
      <c r="C1208" s="50"/>
      <c r="D1208" s="50"/>
      <c r="E1208" s="50"/>
      <c r="F1208" s="50"/>
      <c r="G1208" s="52"/>
      <c r="H1208" s="51"/>
      <c r="I1208" s="51"/>
      <c r="J1208" s="66"/>
      <c r="K1208" s="66"/>
      <c r="L1208" s="66"/>
      <c r="M1208" s="50"/>
      <c r="N1208" s="67"/>
    </row>
    <row r="1209" ht="15.0" customHeight="1">
      <c r="A1209" s="51"/>
      <c r="B1209" s="50"/>
      <c r="C1209" s="50"/>
      <c r="D1209" s="50"/>
      <c r="E1209" s="50"/>
      <c r="F1209" s="50"/>
      <c r="G1209" s="52"/>
      <c r="H1209" s="51"/>
      <c r="I1209" s="51"/>
      <c r="J1209" s="66"/>
      <c r="K1209" s="66"/>
      <c r="L1209" s="66"/>
      <c r="M1209" s="50"/>
      <c r="N1209" s="67"/>
    </row>
    <row r="1210" ht="15.0" customHeight="1">
      <c r="A1210" s="51"/>
      <c r="B1210" s="50"/>
      <c r="C1210" s="50"/>
      <c r="D1210" s="50"/>
      <c r="E1210" s="50"/>
      <c r="F1210" s="50"/>
      <c r="G1210" s="52"/>
      <c r="H1210" s="51"/>
      <c r="I1210" s="51"/>
      <c r="J1210" s="66"/>
      <c r="K1210" s="66"/>
      <c r="L1210" s="66"/>
      <c r="M1210" s="50"/>
      <c r="N1210" s="67"/>
    </row>
    <row r="1211" ht="15.0" customHeight="1">
      <c r="A1211" s="51"/>
      <c r="B1211" s="50"/>
      <c r="C1211" s="50"/>
      <c r="D1211" s="50"/>
      <c r="E1211" s="50"/>
      <c r="F1211" s="50"/>
      <c r="G1211" s="52"/>
      <c r="H1211" s="51"/>
      <c r="I1211" s="51"/>
      <c r="J1211" s="66"/>
      <c r="K1211" s="66"/>
      <c r="L1211" s="66"/>
      <c r="M1211" s="50"/>
      <c r="N1211" s="67"/>
    </row>
    <row r="1212" ht="15.0" customHeight="1">
      <c r="A1212" s="51"/>
      <c r="B1212" s="50"/>
      <c r="C1212" s="50"/>
      <c r="D1212" s="50"/>
      <c r="E1212" s="50"/>
      <c r="F1212" s="50"/>
      <c r="G1212" s="52"/>
      <c r="H1212" s="51"/>
      <c r="I1212" s="51"/>
      <c r="J1212" s="66"/>
      <c r="K1212" s="66"/>
      <c r="L1212" s="66"/>
      <c r="M1212" s="50"/>
      <c r="N1212" s="67"/>
    </row>
    <row r="1213" ht="15.0" customHeight="1">
      <c r="A1213" s="51"/>
      <c r="B1213" s="50"/>
      <c r="C1213" s="50"/>
      <c r="D1213" s="50"/>
      <c r="E1213" s="50"/>
      <c r="F1213" s="50"/>
      <c r="G1213" s="52"/>
      <c r="H1213" s="51"/>
      <c r="I1213" s="51"/>
      <c r="J1213" s="66"/>
      <c r="K1213" s="66"/>
      <c r="L1213" s="66"/>
      <c r="M1213" s="50"/>
      <c r="N1213" s="67"/>
    </row>
    <row r="1214" ht="15.0" customHeight="1">
      <c r="A1214" s="51"/>
      <c r="B1214" s="50"/>
      <c r="C1214" s="50"/>
      <c r="D1214" s="50"/>
      <c r="E1214" s="50"/>
      <c r="F1214" s="50"/>
      <c r="G1214" s="52"/>
      <c r="H1214" s="51"/>
      <c r="I1214" s="51"/>
      <c r="J1214" s="66"/>
      <c r="K1214" s="66"/>
      <c r="L1214" s="66"/>
      <c r="M1214" s="50"/>
      <c r="N1214" s="67"/>
    </row>
    <row r="1215" ht="15.0" customHeight="1">
      <c r="A1215" s="51"/>
      <c r="B1215" s="50"/>
      <c r="C1215" s="50"/>
      <c r="D1215" s="50"/>
      <c r="E1215" s="50"/>
      <c r="F1215" s="50"/>
      <c r="G1215" s="52"/>
      <c r="H1215" s="51"/>
      <c r="I1215" s="51"/>
      <c r="J1215" s="66"/>
      <c r="K1215" s="66"/>
      <c r="L1215" s="66"/>
      <c r="M1215" s="50"/>
      <c r="N1215" s="67"/>
    </row>
    <row r="1216" ht="15.0" customHeight="1">
      <c r="A1216" s="51"/>
      <c r="B1216" s="50"/>
      <c r="C1216" s="50"/>
      <c r="D1216" s="50"/>
      <c r="E1216" s="50"/>
      <c r="F1216" s="50"/>
      <c r="G1216" s="52"/>
      <c r="H1216" s="51"/>
      <c r="I1216" s="51"/>
      <c r="J1216" s="66"/>
      <c r="K1216" s="66"/>
      <c r="L1216" s="66"/>
      <c r="M1216" s="50"/>
      <c r="N1216" s="67"/>
    </row>
    <row r="1217" ht="15.0" customHeight="1">
      <c r="A1217" s="51"/>
      <c r="B1217" s="50"/>
      <c r="C1217" s="50"/>
      <c r="D1217" s="50"/>
      <c r="E1217" s="50"/>
      <c r="F1217" s="50"/>
      <c r="G1217" s="52"/>
      <c r="H1217" s="51"/>
      <c r="I1217" s="51"/>
      <c r="J1217" s="66"/>
      <c r="K1217" s="66"/>
      <c r="L1217" s="66"/>
      <c r="M1217" s="50"/>
      <c r="N1217" s="67"/>
    </row>
    <row r="1218" ht="15.0" customHeight="1">
      <c r="A1218" s="51"/>
      <c r="B1218" s="50"/>
      <c r="C1218" s="50"/>
      <c r="D1218" s="50"/>
      <c r="E1218" s="50"/>
      <c r="F1218" s="50"/>
      <c r="G1218" s="52"/>
      <c r="H1218" s="51"/>
      <c r="I1218" s="51"/>
      <c r="J1218" s="66"/>
      <c r="K1218" s="66"/>
      <c r="L1218" s="66"/>
      <c r="M1218" s="50"/>
      <c r="N1218" s="67"/>
    </row>
    <row r="1219" ht="15.0" customHeight="1">
      <c r="A1219" s="51"/>
      <c r="B1219" s="50"/>
      <c r="C1219" s="50"/>
      <c r="D1219" s="50"/>
      <c r="E1219" s="50"/>
      <c r="F1219" s="50"/>
      <c r="G1219" s="52"/>
      <c r="H1219" s="51"/>
      <c r="I1219" s="51"/>
      <c r="J1219" s="66"/>
      <c r="K1219" s="66"/>
      <c r="L1219" s="66"/>
      <c r="M1219" s="50"/>
      <c r="N1219" s="67"/>
    </row>
    <row r="1220" ht="15.0" customHeight="1">
      <c r="A1220" s="51"/>
      <c r="B1220" s="50"/>
      <c r="C1220" s="50"/>
      <c r="D1220" s="50"/>
      <c r="E1220" s="50"/>
      <c r="F1220" s="50"/>
      <c r="G1220" s="52"/>
      <c r="H1220" s="51"/>
      <c r="I1220" s="51"/>
      <c r="J1220" s="66"/>
      <c r="K1220" s="66"/>
      <c r="L1220" s="66"/>
      <c r="M1220" s="50"/>
      <c r="N1220" s="67"/>
    </row>
    <row r="1221" ht="15.0" customHeight="1">
      <c r="A1221" s="51"/>
      <c r="B1221" s="50"/>
      <c r="C1221" s="50"/>
      <c r="D1221" s="50"/>
      <c r="E1221" s="50"/>
      <c r="F1221" s="50"/>
      <c r="G1221" s="52"/>
      <c r="H1221" s="51"/>
      <c r="I1221" s="51"/>
      <c r="J1221" s="66"/>
      <c r="K1221" s="66"/>
      <c r="L1221" s="66"/>
      <c r="M1221" s="50"/>
      <c r="N1221" s="67"/>
    </row>
    <row r="1222" ht="15.0" customHeight="1">
      <c r="A1222" s="51"/>
      <c r="B1222" s="50"/>
      <c r="C1222" s="50"/>
      <c r="D1222" s="50"/>
      <c r="E1222" s="50"/>
      <c r="F1222" s="50"/>
      <c r="G1222" s="52"/>
      <c r="H1222" s="51"/>
      <c r="I1222" s="51"/>
      <c r="J1222" s="66"/>
      <c r="K1222" s="66"/>
      <c r="L1222" s="66"/>
      <c r="M1222" s="50"/>
      <c r="N1222" s="67"/>
    </row>
    <row r="1223" ht="15.0" customHeight="1">
      <c r="A1223" s="51"/>
      <c r="B1223" s="50"/>
      <c r="C1223" s="50"/>
      <c r="D1223" s="50"/>
      <c r="E1223" s="50"/>
      <c r="F1223" s="50"/>
      <c r="G1223" s="52"/>
      <c r="H1223" s="51"/>
      <c r="I1223" s="51"/>
      <c r="J1223" s="66"/>
      <c r="K1223" s="66"/>
      <c r="L1223" s="66"/>
      <c r="M1223" s="50"/>
      <c r="N1223" s="67"/>
    </row>
    <row r="1224" ht="15.0" customHeight="1">
      <c r="A1224" s="51"/>
      <c r="B1224" s="50"/>
      <c r="C1224" s="50"/>
      <c r="D1224" s="50"/>
      <c r="E1224" s="50"/>
      <c r="F1224" s="50"/>
      <c r="G1224" s="52"/>
      <c r="H1224" s="51"/>
      <c r="I1224" s="51"/>
      <c r="J1224" s="66"/>
      <c r="K1224" s="66"/>
      <c r="L1224" s="66"/>
      <c r="M1224" s="50"/>
      <c r="N1224" s="67"/>
    </row>
    <row r="1225" ht="15.0" customHeight="1">
      <c r="A1225" s="51"/>
      <c r="B1225" s="50"/>
      <c r="C1225" s="50"/>
      <c r="D1225" s="50"/>
      <c r="E1225" s="50"/>
      <c r="F1225" s="50"/>
      <c r="G1225" s="52"/>
      <c r="H1225" s="51"/>
      <c r="I1225" s="51"/>
      <c r="J1225" s="66"/>
      <c r="K1225" s="66"/>
      <c r="L1225" s="66"/>
      <c r="M1225" s="50"/>
      <c r="N1225" s="67"/>
    </row>
    <row r="1226" ht="15.0" customHeight="1">
      <c r="A1226" s="51"/>
      <c r="B1226" s="50"/>
      <c r="C1226" s="50"/>
      <c r="D1226" s="50"/>
      <c r="E1226" s="50"/>
      <c r="F1226" s="50"/>
      <c r="G1226" s="52"/>
      <c r="H1226" s="51"/>
      <c r="I1226" s="51"/>
      <c r="J1226" s="66"/>
      <c r="K1226" s="66"/>
      <c r="L1226" s="66"/>
      <c r="M1226" s="50"/>
      <c r="N1226" s="67"/>
    </row>
    <row r="1227" ht="15.0" customHeight="1">
      <c r="A1227" s="51"/>
      <c r="B1227" s="50"/>
      <c r="C1227" s="50"/>
      <c r="D1227" s="50"/>
      <c r="E1227" s="50"/>
      <c r="F1227" s="50"/>
      <c r="G1227" s="52"/>
      <c r="H1227" s="51"/>
      <c r="I1227" s="51"/>
      <c r="J1227" s="66"/>
      <c r="K1227" s="66"/>
      <c r="L1227" s="66"/>
      <c r="M1227" s="50"/>
      <c r="N1227" s="67"/>
    </row>
    <row r="1228" ht="15.0" customHeight="1">
      <c r="A1228" s="51"/>
      <c r="B1228" s="50"/>
      <c r="C1228" s="50"/>
      <c r="D1228" s="50"/>
      <c r="E1228" s="50"/>
      <c r="F1228" s="50"/>
      <c r="G1228" s="52"/>
      <c r="H1228" s="51"/>
      <c r="I1228" s="51"/>
      <c r="J1228" s="66"/>
      <c r="K1228" s="66"/>
      <c r="L1228" s="66"/>
      <c r="M1228" s="50"/>
      <c r="N1228" s="67"/>
    </row>
    <row r="1229" ht="15.0" customHeight="1">
      <c r="A1229" s="51"/>
      <c r="B1229" s="50"/>
      <c r="C1229" s="50"/>
      <c r="D1229" s="50"/>
      <c r="E1229" s="50"/>
      <c r="F1229" s="50"/>
      <c r="G1229" s="52"/>
      <c r="H1229" s="51"/>
      <c r="I1229" s="51"/>
      <c r="J1229" s="66"/>
      <c r="K1229" s="66"/>
      <c r="L1229" s="66"/>
      <c r="M1229" s="50"/>
      <c r="N1229" s="67"/>
    </row>
    <row r="1230" ht="15.0" customHeight="1">
      <c r="A1230" s="51"/>
      <c r="B1230" s="50"/>
      <c r="C1230" s="50"/>
      <c r="D1230" s="50"/>
      <c r="E1230" s="50"/>
      <c r="F1230" s="50"/>
      <c r="G1230" s="52"/>
      <c r="H1230" s="51"/>
      <c r="I1230" s="51"/>
      <c r="J1230" s="66"/>
      <c r="K1230" s="66"/>
      <c r="L1230" s="66"/>
      <c r="M1230" s="50"/>
      <c r="N1230" s="67"/>
    </row>
    <row r="1231" ht="15.0" customHeight="1">
      <c r="A1231" s="51"/>
      <c r="B1231" s="50"/>
      <c r="C1231" s="50"/>
      <c r="D1231" s="50"/>
      <c r="E1231" s="50"/>
      <c r="F1231" s="50"/>
      <c r="G1231" s="52"/>
      <c r="H1231" s="51"/>
      <c r="I1231" s="51"/>
      <c r="J1231" s="66"/>
      <c r="K1231" s="66"/>
      <c r="L1231" s="66"/>
      <c r="M1231" s="50"/>
      <c r="N1231" s="67"/>
    </row>
    <row r="1232" ht="15.0" customHeight="1">
      <c r="A1232" s="51"/>
      <c r="B1232" s="50"/>
      <c r="C1232" s="50"/>
      <c r="D1232" s="50"/>
      <c r="E1232" s="50"/>
      <c r="F1232" s="50"/>
      <c r="G1232" s="52"/>
      <c r="H1232" s="51"/>
      <c r="I1232" s="51"/>
      <c r="J1232" s="66"/>
      <c r="K1232" s="66"/>
      <c r="L1232" s="66"/>
      <c r="M1232" s="50"/>
      <c r="N1232" s="67"/>
    </row>
    <row r="1233" ht="15.0" customHeight="1">
      <c r="A1233" s="51"/>
      <c r="B1233" s="50"/>
      <c r="C1233" s="50"/>
      <c r="D1233" s="50"/>
      <c r="E1233" s="50"/>
      <c r="F1233" s="50"/>
      <c r="G1233" s="52"/>
      <c r="H1233" s="51"/>
      <c r="I1233" s="51"/>
      <c r="J1233" s="66"/>
      <c r="K1233" s="66"/>
      <c r="L1233" s="66"/>
      <c r="M1233" s="50"/>
      <c r="N1233" s="67"/>
    </row>
    <row r="1234" ht="15.0" customHeight="1">
      <c r="A1234" s="51"/>
      <c r="B1234" s="50"/>
      <c r="C1234" s="50"/>
      <c r="D1234" s="50"/>
      <c r="E1234" s="50"/>
      <c r="F1234" s="50"/>
      <c r="G1234" s="52"/>
      <c r="H1234" s="51"/>
      <c r="I1234" s="51"/>
      <c r="J1234" s="66"/>
      <c r="K1234" s="66"/>
      <c r="L1234" s="66"/>
      <c r="M1234" s="50"/>
      <c r="N1234" s="67"/>
    </row>
    <row r="1235" ht="15.0" customHeight="1">
      <c r="A1235" s="51"/>
      <c r="B1235" s="50"/>
      <c r="C1235" s="50"/>
      <c r="D1235" s="50"/>
      <c r="E1235" s="50"/>
      <c r="F1235" s="50"/>
      <c r="G1235" s="52"/>
      <c r="H1235" s="51"/>
      <c r="I1235" s="51"/>
      <c r="J1235" s="66"/>
      <c r="K1235" s="66"/>
      <c r="L1235" s="66"/>
      <c r="M1235" s="50"/>
      <c r="N1235" s="67"/>
    </row>
    <row r="1236" ht="15.0" customHeight="1">
      <c r="A1236" s="51"/>
      <c r="B1236" s="50"/>
      <c r="C1236" s="50"/>
      <c r="D1236" s="50"/>
      <c r="E1236" s="50"/>
      <c r="F1236" s="50"/>
      <c r="G1236" s="52"/>
      <c r="H1236" s="51"/>
      <c r="I1236" s="51"/>
      <c r="J1236" s="66"/>
      <c r="K1236" s="66"/>
      <c r="L1236" s="66"/>
      <c r="M1236" s="50"/>
      <c r="N1236" s="67"/>
    </row>
    <row r="1237" ht="15.0" customHeight="1">
      <c r="A1237" s="51"/>
      <c r="B1237" s="50"/>
      <c r="C1237" s="50"/>
      <c r="D1237" s="50"/>
      <c r="E1237" s="50"/>
      <c r="F1237" s="50"/>
      <c r="G1237" s="52"/>
      <c r="H1237" s="51"/>
      <c r="I1237" s="51"/>
      <c r="J1237" s="66"/>
      <c r="K1237" s="66"/>
      <c r="L1237" s="66"/>
      <c r="M1237" s="50"/>
      <c r="N1237" s="67"/>
    </row>
    <row r="1238" ht="15.0" customHeight="1">
      <c r="A1238" s="51"/>
      <c r="B1238" s="50"/>
      <c r="C1238" s="50"/>
      <c r="D1238" s="50"/>
      <c r="E1238" s="50"/>
      <c r="F1238" s="50"/>
      <c r="G1238" s="52"/>
      <c r="H1238" s="51"/>
      <c r="I1238" s="51"/>
      <c r="J1238" s="66"/>
      <c r="K1238" s="66"/>
      <c r="L1238" s="66"/>
      <c r="M1238" s="50"/>
      <c r="N1238" s="67"/>
    </row>
    <row r="1239" ht="15.0" customHeight="1">
      <c r="A1239" s="51"/>
      <c r="B1239" s="50"/>
      <c r="C1239" s="50"/>
      <c r="D1239" s="50"/>
      <c r="E1239" s="50"/>
      <c r="F1239" s="50"/>
      <c r="G1239" s="52"/>
      <c r="H1239" s="51"/>
      <c r="I1239" s="51"/>
      <c r="J1239" s="66"/>
      <c r="K1239" s="66"/>
      <c r="L1239" s="66"/>
      <c r="M1239" s="50"/>
      <c r="N1239" s="67"/>
    </row>
    <row r="1240" ht="15.0" customHeight="1">
      <c r="A1240" s="51"/>
      <c r="B1240" s="50"/>
      <c r="C1240" s="50"/>
      <c r="D1240" s="50"/>
      <c r="E1240" s="50"/>
      <c r="F1240" s="50"/>
      <c r="G1240" s="52"/>
      <c r="H1240" s="51"/>
      <c r="I1240" s="51"/>
      <c r="J1240" s="66"/>
      <c r="K1240" s="66"/>
      <c r="L1240" s="66"/>
      <c r="M1240" s="50"/>
      <c r="N1240" s="67"/>
    </row>
    <row r="1241" ht="15.0" customHeight="1">
      <c r="A1241" s="51"/>
      <c r="B1241" s="50"/>
      <c r="C1241" s="50"/>
      <c r="D1241" s="50"/>
      <c r="E1241" s="50"/>
      <c r="F1241" s="50"/>
      <c r="G1241" s="52"/>
      <c r="H1241" s="51"/>
      <c r="I1241" s="51"/>
      <c r="J1241" s="66"/>
      <c r="K1241" s="66"/>
      <c r="L1241" s="66"/>
      <c r="M1241" s="50"/>
      <c r="N1241" s="67"/>
    </row>
    <row r="1242" ht="15.0" customHeight="1">
      <c r="A1242" s="51"/>
      <c r="B1242" s="50"/>
      <c r="C1242" s="50"/>
      <c r="D1242" s="50"/>
      <c r="E1242" s="50"/>
      <c r="F1242" s="50"/>
      <c r="G1242" s="52"/>
      <c r="H1242" s="51"/>
      <c r="I1242" s="51"/>
      <c r="J1242" s="66"/>
      <c r="K1242" s="66"/>
      <c r="L1242" s="66"/>
      <c r="M1242" s="50"/>
      <c r="N1242" s="67"/>
    </row>
    <row r="1243" ht="15.0" customHeight="1">
      <c r="A1243" s="51"/>
      <c r="B1243" s="50"/>
      <c r="C1243" s="50"/>
      <c r="D1243" s="50"/>
      <c r="E1243" s="50"/>
      <c r="F1243" s="50"/>
      <c r="G1243" s="52"/>
      <c r="H1243" s="51"/>
      <c r="I1243" s="51"/>
      <c r="J1243" s="66"/>
      <c r="K1243" s="66"/>
      <c r="L1243" s="66"/>
      <c r="M1243" s="50"/>
      <c r="N1243" s="67"/>
    </row>
    <row r="1244" ht="15.0" customHeight="1">
      <c r="A1244" s="51"/>
      <c r="B1244" s="50"/>
      <c r="C1244" s="50"/>
      <c r="D1244" s="50"/>
      <c r="E1244" s="50"/>
      <c r="F1244" s="50"/>
      <c r="G1244" s="52"/>
      <c r="H1244" s="51"/>
      <c r="I1244" s="51"/>
      <c r="J1244" s="66"/>
      <c r="K1244" s="66"/>
      <c r="L1244" s="66"/>
      <c r="M1244" s="50"/>
      <c r="N1244" s="67"/>
    </row>
    <row r="1245" ht="15.0" customHeight="1">
      <c r="A1245" s="51"/>
      <c r="B1245" s="50"/>
      <c r="C1245" s="50"/>
      <c r="D1245" s="50"/>
      <c r="E1245" s="50"/>
      <c r="F1245" s="50"/>
      <c r="G1245" s="52"/>
      <c r="H1245" s="51"/>
      <c r="I1245" s="51"/>
      <c r="J1245" s="66"/>
      <c r="K1245" s="66"/>
      <c r="L1245" s="66"/>
      <c r="M1245" s="50"/>
      <c r="N1245" s="67"/>
    </row>
    <row r="1246" ht="15.0" customHeight="1">
      <c r="A1246" s="51"/>
      <c r="B1246" s="50"/>
      <c r="C1246" s="50"/>
      <c r="D1246" s="50"/>
      <c r="E1246" s="50"/>
      <c r="F1246" s="50"/>
      <c r="G1246" s="52"/>
      <c r="H1246" s="51"/>
      <c r="I1246" s="51"/>
      <c r="J1246" s="66"/>
      <c r="K1246" s="66"/>
      <c r="L1246" s="66"/>
      <c r="M1246" s="50"/>
      <c r="N1246" s="67"/>
    </row>
    <row r="1247" ht="15.0" customHeight="1">
      <c r="A1247" s="51"/>
      <c r="B1247" s="50"/>
      <c r="C1247" s="50"/>
      <c r="D1247" s="50"/>
      <c r="E1247" s="50"/>
      <c r="F1247" s="50"/>
      <c r="G1247" s="52"/>
      <c r="H1247" s="51"/>
      <c r="I1247" s="51"/>
      <c r="J1247" s="66"/>
      <c r="K1247" s="66"/>
      <c r="L1247" s="66"/>
      <c r="M1247" s="50"/>
      <c r="N1247" s="67"/>
    </row>
    <row r="1248" ht="15.0" customHeight="1">
      <c r="A1248" s="51"/>
      <c r="B1248" s="50"/>
      <c r="C1248" s="50"/>
      <c r="D1248" s="50"/>
      <c r="E1248" s="50"/>
      <c r="F1248" s="50"/>
      <c r="G1248" s="52"/>
      <c r="H1248" s="51"/>
      <c r="I1248" s="51"/>
      <c r="J1248" s="66"/>
      <c r="K1248" s="66"/>
      <c r="L1248" s="66"/>
      <c r="M1248" s="50"/>
      <c r="N1248" s="67"/>
    </row>
    <row r="1249" ht="15.0" customHeight="1">
      <c r="A1249" s="51"/>
      <c r="B1249" s="50"/>
      <c r="C1249" s="50"/>
      <c r="D1249" s="50"/>
      <c r="E1249" s="50"/>
      <c r="F1249" s="50"/>
      <c r="G1249" s="52"/>
      <c r="H1249" s="51"/>
      <c r="I1249" s="51"/>
      <c r="J1249" s="66"/>
      <c r="K1249" s="66"/>
      <c r="L1249" s="66"/>
      <c r="M1249" s="50"/>
      <c r="N1249" s="67"/>
    </row>
    <row r="1250" ht="15.0" customHeight="1">
      <c r="A1250" s="51"/>
      <c r="B1250" s="50"/>
      <c r="C1250" s="50"/>
      <c r="D1250" s="50"/>
      <c r="E1250" s="50"/>
      <c r="F1250" s="50"/>
      <c r="G1250" s="52"/>
      <c r="H1250" s="51"/>
      <c r="I1250" s="51"/>
      <c r="J1250" s="66"/>
      <c r="K1250" s="66"/>
      <c r="L1250" s="66"/>
      <c r="M1250" s="50"/>
      <c r="N1250" s="67"/>
    </row>
    <row r="1251" ht="15.0" customHeight="1">
      <c r="A1251" s="51"/>
      <c r="B1251" s="50"/>
      <c r="C1251" s="50"/>
      <c r="D1251" s="50"/>
      <c r="E1251" s="50"/>
      <c r="F1251" s="50"/>
      <c r="G1251" s="52"/>
      <c r="H1251" s="51"/>
      <c r="I1251" s="51"/>
      <c r="J1251" s="66"/>
      <c r="K1251" s="66"/>
      <c r="L1251" s="66"/>
      <c r="M1251" s="50"/>
      <c r="N1251" s="67"/>
    </row>
    <row r="1252" ht="15.0" customHeight="1">
      <c r="A1252" s="51"/>
      <c r="B1252" s="50"/>
      <c r="C1252" s="50"/>
      <c r="D1252" s="50"/>
      <c r="E1252" s="50"/>
      <c r="F1252" s="50"/>
      <c r="G1252" s="52"/>
      <c r="H1252" s="51"/>
      <c r="I1252" s="51"/>
      <c r="J1252" s="66"/>
      <c r="K1252" s="66"/>
      <c r="L1252" s="66"/>
      <c r="M1252" s="50"/>
      <c r="N1252" s="67"/>
    </row>
    <row r="1253" ht="15.0" customHeight="1">
      <c r="A1253" s="51"/>
      <c r="B1253" s="50"/>
      <c r="C1253" s="50"/>
      <c r="D1253" s="50"/>
      <c r="E1253" s="50"/>
      <c r="F1253" s="50"/>
      <c r="G1253" s="52"/>
      <c r="H1253" s="51"/>
      <c r="I1253" s="51"/>
      <c r="J1253" s="66"/>
      <c r="K1253" s="66"/>
      <c r="L1253" s="66"/>
      <c r="M1253" s="50"/>
      <c r="N1253" s="67"/>
    </row>
    <row r="1254" ht="15.0" customHeight="1">
      <c r="A1254" s="51"/>
      <c r="B1254" s="50"/>
      <c r="C1254" s="50"/>
      <c r="D1254" s="50"/>
      <c r="E1254" s="50"/>
      <c r="F1254" s="50"/>
      <c r="G1254" s="52"/>
      <c r="H1254" s="51"/>
      <c r="I1254" s="51"/>
      <c r="J1254" s="66"/>
      <c r="K1254" s="66"/>
      <c r="L1254" s="66"/>
      <c r="M1254" s="50"/>
      <c r="N1254" s="67"/>
    </row>
    <row r="1255" ht="15.0" customHeight="1">
      <c r="A1255" s="51"/>
      <c r="B1255" s="50"/>
      <c r="C1255" s="50"/>
      <c r="D1255" s="50"/>
      <c r="E1255" s="50"/>
      <c r="F1255" s="50"/>
      <c r="G1255" s="52"/>
      <c r="H1255" s="51"/>
      <c r="I1255" s="51"/>
      <c r="J1255" s="66"/>
      <c r="K1255" s="66"/>
      <c r="L1255" s="66"/>
      <c r="M1255" s="50"/>
      <c r="N1255" s="67"/>
    </row>
    <row r="1256" ht="15.0" customHeight="1">
      <c r="A1256" s="51"/>
      <c r="B1256" s="50"/>
      <c r="C1256" s="50"/>
      <c r="D1256" s="50"/>
      <c r="E1256" s="50"/>
      <c r="F1256" s="50"/>
      <c r="G1256" s="52"/>
      <c r="H1256" s="51"/>
      <c r="I1256" s="51"/>
      <c r="J1256" s="66"/>
      <c r="K1256" s="66"/>
      <c r="L1256" s="66"/>
      <c r="M1256" s="50"/>
      <c r="N1256" s="67"/>
    </row>
    <row r="1257" ht="15.0" customHeight="1">
      <c r="A1257" s="51"/>
      <c r="B1257" s="50"/>
      <c r="C1257" s="50"/>
      <c r="D1257" s="50"/>
      <c r="E1257" s="50"/>
      <c r="F1257" s="50"/>
      <c r="G1257" s="52"/>
      <c r="H1257" s="51"/>
      <c r="I1257" s="51"/>
      <c r="J1257" s="66"/>
      <c r="K1257" s="66"/>
      <c r="L1257" s="66"/>
      <c r="M1257" s="50"/>
      <c r="N1257" s="67"/>
    </row>
    <row r="1258" ht="15.0" customHeight="1">
      <c r="A1258" s="51"/>
      <c r="B1258" s="50"/>
      <c r="C1258" s="50"/>
      <c r="D1258" s="50"/>
      <c r="E1258" s="50"/>
      <c r="F1258" s="50"/>
      <c r="G1258" s="52"/>
      <c r="H1258" s="51"/>
      <c r="I1258" s="51"/>
      <c r="J1258" s="66"/>
      <c r="K1258" s="66"/>
      <c r="L1258" s="66"/>
      <c r="M1258" s="50"/>
      <c r="N1258" s="67"/>
    </row>
    <row r="1259" ht="15.0" customHeight="1">
      <c r="A1259" s="51"/>
      <c r="B1259" s="50"/>
      <c r="C1259" s="50"/>
      <c r="D1259" s="50"/>
      <c r="E1259" s="50"/>
      <c r="F1259" s="50"/>
      <c r="G1259" s="52"/>
      <c r="H1259" s="51"/>
      <c r="I1259" s="51"/>
      <c r="J1259" s="66"/>
      <c r="K1259" s="66"/>
      <c r="L1259" s="66"/>
      <c r="M1259" s="50"/>
      <c r="N1259" s="67"/>
    </row>
    <row r="1260" ht="15.0" customHeight="1">
      <c r="A1260" s="51"/>
      <c r="B1260" s="50"/>
      <c r="C1260" s="50"/>
      <c r="D1260" s="50"/>
      <c r="E1260" s="50"/>
      <c r="F1260" s="50"/>
      <c r="G1260" s="52"/>
      <c r="H1260" s="51"/>
      <c r="I1260" s="51"/>
      <c r="J1260" s="66"/>
      <c r="K1260" s="66"/>
      <c r="L1260" s="66"/>
      <c r="M1260" s="50"/>
      <c r="N1260" s="67"/>
    </row>
    <row r="1261" ht="15.0" customHeight="1">
      <c r="A1261" s="51"/>
      <c r="B1261" s="50"/>
      <c r="C1261" s="50"/>
      <c r="D1261" s="50"/>
      <c r="E1261" s="50"/>
      <c r="F1261" s="50"/>
      <c r="G1261" s="52"/>
      <c r="H1261" s="51"/>
      <c r="I1261" s="51"/>
      <c r="J1261" s="66"/>
      <c r="K1261" s="66"/>
      <c r="L1261" s="66"/>
      <c r="M1261" s="50"/>
      <c r="N1261" s="67"/>
    </row>
    <row r="1262" ht="15.0" customHeight="1">
      <c r="A1262" s="51"/>
      <c r="B1262" s="50"/>
      <c r="C1262" s="50"/>
      <c r="D1262" s="50"/>
      <c r="E1262" s="50"/>
      <c r="F1262" s="50"/>
      <c r="G1262" s="52"/>
      <c r="H1262" s="51"/>
      <c r="I1262" s="51"/>
      <c r="J1262" s="66"/>
      <c r="K1262" s="66"/>
      <c r="L1262" s="66"/>
      <c r="M1262" s="50"/>
      <c r="N1262" s="67"/>
    </row>
    <row r="1263" ht="15.0" customHeight="1">
      <c r="A1263" s="51"/>
      <c r="B1263" s="50"/>
      <c r="C1263" s="50"/>
      <c r="D1263" s="50"/>
      <c r="E1263" s="50"/>
      <c r="F1263" s="50"/>
      <c r="G1263" s="52"/>
      <c r="H1263" s="51"/>
      <c r="I1263" s="51"/>
      <c r="J1263" s="66"/>
      <c r="K1263" s="66"/>
      <c r="L1263" s="66"/>
      <c r="M1263" s="50"/>
      <c r="N1263" s="67"/>
    </row>
    <row r="1264" ht="15.0" customHeight="1">
      <c r="A1264" s="51"/>
      <c r="B1264" s="50"/>
      <c r="C1264" s="50"/>
      <c r="D1264" s="50"/>
      <c r="E1264" s="50"/>
      <c r="F1264" s="50"/>
      <c r="G1264" s="52"/>
      <c r="H1264" s="51"/>
      <c r="I1264" s="51"/>
      <c r="J1264" s="66"/>
      <c r="K1264" s="66"/>
      <c r="L1264" s="66"/>
      <c r="M1264" s="50"/>
      <c r="N1264" s="67"/>
    </row>
    <row r="1265" ht="15.0" customHeight="1">
      <c r="A1265" s="51"/>
      <c r="B1265" s="50"/>
      <c r="C1265" s="50"/>
      <c r="D1265" s="50"/>
      <c r="E1265" s="50"/>
      <c r="F1265" s="50"/>
      <c r="G1265" s="52"/>
      <c r="H1265" s="51"/>
      <c r="I1265" s="51"/>
      <c r="J1265" s="66"/>
      <c r="K1265" s="66"/>
      <c r="L1265" s="66"/>
      <c r="M1265" s="50"/>
      <c r="N1265" s="67"/>
    </row>
    <row r="1266" ht="15.0" customHeight="1">
      <c r="A1266" s="51"/>
      <c r="B1266" s="50"/>
      <c r="C1266" s="50"/>
      <c r="D1266" s="50"/>
      <c r="E1266" s="50"/>
      <c r="F1266" s="50"/>
      <c r="G1266" s="52"/>
      <c r="H1266" s="51"/>
      <c r="I1266" s="51"/>
      <c r="J1266" s="66"/>
      <c r="K1266" s="66"/>
      <c r="L1266" s="66"/>
      <c r="M1266" s="50"/>
      <c r="N1266" s="67"/>
    </row>
    <row r="1267" ht="15.0" customHeight="1">
      <c r="A1267" s="51"/>
      <c r="B1267" s="50"/>
      <c r="C1267" s="50"/>
      <c r="D1267" s="50"/>
      <c r="E1267" s="50"/>
      <c r="F1267" s="50"/>
      <c r="G1267" s="52"/>
      <c r="H1267" s="51"/>
      <c r="I1267" s="51"/>
      <c r="J1267" s="66"/>
      <c r="K1267" s="66"/>
      <c r="L1267" s="66"/>
      <c r="M1267" s="50"/>
      <c r="N1267" s="67"/>
    </row>
    <row r="1268" ht="15.0" customHeight="1">
      <c r="A1268" s="51"/>
      <c r="B1268" s="50"/>
      <c r="C1268" s="50"/>
      <c r="D1268" s="50"/>
      <c r="E1268" s="50"/>
      <c r="F1268" s="50"/>
      <c r="G1268" s="52"/>
      <c r="H1268" s="51"/>
      <c r="I1268" s="51"/>
      <c r="J1268" s="66"/>
      <c r="K1268" s="66"/>
      <c r="L1268" s="66"/>
      <c r="M1268" s="50"/>
      <c r="N1268" s="67"/>
    </row>
    <row r="1269" ht="15.0" customHeight="1">
      <c r="A1269" s="51"/>
      <c r="B1269" s="50"/>
      <c r="C1269" s="50"/>
      <c r="D1269" s="50"/>
      <c r="E1269" s="50"/>
      <c r="F1269" s="50"/>
      <c r="G1269" s="52"/>
      <c r="H1269" s="51"/>
      <c r="I1269" s="51"/>
      <c r="J1269" s="66"/>
      <c r="K1269" s="66"/>
      <c r="L1269" s="66"/>
      <c r="M1269" s="50"/>
      <c r="N1269" s="67"/>
    </row>
    <row r="1270" ht="15.0" customHeight="1">
      <c r="A1270" s="51"/>
      <c r="B1270" s="50"/>
      <c r="C1270" s="50"/>
      <c r="D1270" s="50"/>
      <c r="E1270" s="50"/>
      <c r="F1270" s="50"/>
      <c r="G1270" s="52"/>
      <c r="H1270" s="51"/>
      <c r="I1270" s="51"/>
      <c r="J1270" s="66"/>
      <c r="K1270" s="66"/>
      <c r="L1270" s="66"/>
      <c r="M1270" s="50"/>
      <c r="N1270" s="67"/>
    </row>
    <row r="1271" ht="15.0" customHeight="1">
      <c r="A1271" s="51"/>
      <c r="B1271" s="50"/>
      <c r="C1271" s="50"/>
      <c r="D1271" s="50"/>
      <c r="E1271" s="50"/>
      <c r="F1271" s="50"/>
      <c r="G1271" s="52"/>
      <c r="H1271" s="51"/>
      <c r="I1271" s="51"/>
      <c r="J1271" s="66"/>
      <c r="K1271" s="66"/>
      <c r="L1271" s="66"/>
      <c r="M1271" s="50"/>
      <c r="N1271" s="67"/>
    </row>
    <row r="1272" ht="15.0" customHeight="1">
      <c r="A1272" s="51"/>
      <c r="B1272" s="50"/>
      <c r="C1272" s="50"/>
      <c r="D1272" s="50"/>
      <c r="E1272" s="50"/>
      <c r="F1272" s="50"/>
      <c r="G1272" s="52"/>
      <c r="H1272" s="51"/>
      <c r="I1272" s="51"/>
      <c r="J1272" s="66"/>
      <c r="K1272" s="66"/>
      <c r="L1272" s="66"/>
      <c r="M1272" s="50"/>
      <c r="N1272" s="67"/>
    </row>
    <row r="1273" ht="15.0" customHeight="1">
      <c r="A1273" s="51"/>
      <c r="B1273" s="50"/>
      <c r="C1273" s="50"/>
      <c r="D1273" s="50"/>
      <c r="E1273" s="50"/>
      <c r="F1273" s="50"/>
      <c r="G1273" s="52"/>
      <c r="H1273" s="51"/>
      <c r="I1273" s="51"/>
      <c r="J1273" s="66"/>
      <c r="K1273" s="66"/>
      <c r="L1273" s="66"/>
      <c r="M1273" s="50"/>
      <c r="N1273" s="67"/>
    </row>
    <row r="1274" ht="15.0" customHeight="1">
      <c r="A1274" s="51"/>
      <c r="B1274" s="50"/>
      <c r="C1274" s="50"/>
      <c r="D1274" s="50"/>
      <c r="E1274" s="50"/>
      <c r="F1274" s="50"/>
      <c r="G1274" s="52"/>
      <c r="H1274" s="51"/>
      <c r="I1274" s="51"/>
      <c r="J1274" s="66"/>
      <c r="K1274" s="66"/>
      <c r="L1274" s="66"/>
      <c r="M1274" s="50"/>
      <c r="N1274" s="67"/>
    </row>
    <row r="1275" ht="15.0" customHeight="1">
      <c r="A1275" s="51"/>
      <c r="B1275" s="50"/>
      <c r="C1275" s="50"/>
      <c r="D1275" s="50"/>
      <c r="E1275" s="50"/>
      <c r="F1275" s="50"/>
      <c r="G1275" s="52"/>
      <c r="H1275" s="51"/>
      <c r="I1275" s="51"/>
      <c r="J1275" s="66"/>
      <c r="K1275" s="66"/>
      <c r="L1275" s="66"/>
      <c r="M1275" s="50"/>
      <c r="N1275" s="67"/>
    </row>
    <row r="1276" ht="15.0" customHeight="1">
      <c r="A1276" s="51"/>
      <c r="B1276" s="50"/>
      <c r="C1276" s="50"/>
      <c r="D1276" s="50"/>
      <c r="E1276" s="50"/>
      <c r="F1276" s="50"/>
      <c r="G1276" s="52"/>
      <c r="H1276" s="51"/>
      <c r="I1276" s="51"/>
      <c r="J1276" s="66"/>
      <c r="K1276" s="66"/>
      <c r="L1276" s="66"/>
      <c r="M1276" s="50"/>
      <c r="N1276" s="67"/>
    </row>
    <row r="1277" ht="15.0" customHeight="1">
      <c r="A1277" s="51"/>
      <c r="B1277" s="50"/>
      <c r="C1277" s="50"/>
      <c r="D1277" s="50"/>
      <c r="E1277" s="50"/>
      <c r="F1277" s="50"/>
      <c r="G1277" s="52"/>
      <c r="H1277" s="51"/>
      <c r="I1277" s="51"/>
      <c r="J1277" s="66"/>
      <c r="K1277" s="66"/>
      <c r="L1277" s="66"/>
      <c r="M1277" s="50"/>
      <c r="N1277" s="67"/>
    </row>
    <row r="1278" ht="15.0" customHeight="1">
      <c r="A1278" s="51"/>
      <c r="B1278" s="50"/>
      <c r="C1278" s="50"/>
      <c r="D1278" s="50"/>
      <c r="E1278" s="50"/>
      <c r="F1278" s="50"/>
      <c r="G1278" s="52"/>
      <c r="H1278" s="51"/>
      <c r="I1278" s="51"/>
      <c r="J1278" s="66"/>
      <c r="K1278" s="66"/>
      <c r="L1278" s="66"/>
      <c r="M1278" s="50"/>
      <c r="N1278" s="67"/>
    </row>
    <row r="1279" ht="15.0" customHeight="1">
      <c r="A1279" s="51"/>
      <c r="B1279" s="50"/>
      <c r="C1279" s="50"/>
      <c r="D1279" s="50"/>
      <c r="E1279" s="50"/>
      <c r="F1279" s="50"/>
      <c r="G1279" s="52"/>
      <c r="H1279" s="51"/>
      <c r="I1279" s="51"/>
      <c r="J1279" s="66"/>
      <c r="K1279" s="66"/>
      <c r="L1279" s="66"/>
      <c r="M1279" s="50"/>
      <c r="N1279" s="67"/>
    </row>
    <row r="1280" ht="15.0" customHeight="1">
      <c r="A1280" s="51"/>
      <c r="B1280" s="50"/>
      <c r="C1280" s="50"/>
      <c r="D1280" s="50"/>
      <c r="E1280" s="50"/>
      <c r="F1280" s="50"/>
      <c r="G1280" s="52"/>
      <c r="H1280" s="51"/>
      <c r="I1280" s="51"/>
      <c r="J1280" s="66"/>
      <c r="K1280" s="66"/>
      <c r="L1280" s="66"/>
      <c r="M1280" s="50"/>
      <c r="N1280" s="67"/>
    </row>
    <row r="1281" ht="15.0" customHeight="1">
      <c r="A1281" s="51"/>
      <c r="B1281" s="50"/>
      <c r="C1281" s="50"/>
      <c r="D1281" s="50"/>
      <c r="E1281" s="50"/>
      <c r="F1281" s="50"/>
      <c r="G1281" s="52"/>
      <c r="H1281" s="51"/>
      <c r="I1281" s="51"/>
      <c r="J1281" s="66"/>
      <c r="K1281" s="66"/>
      <c r="L1281" s="66"/>
      <c r="M1281" s="50"/>
      <c r="N1281" s="67"/>
    </row>
    <row r="1282" ht="15.0" customHeight="1">
      <c r="A1282" s="51"/>
      <c r="B1282" s="50"/>
      <c r="C1282" s="50"/>
      <c r="D1282" s="50"/>
      <c r="E1282" s="50"/>
      <c r="F1282" s="50"/>
      <c r="G1282" s="52"/>
      <c r="H1282" s="51"/>
      <c r="I1282" s="51"/>
      <c r="J1282" s="66"/>
      <c r="K1282" s="66"/>
      <c r="L1282" s="66"/>
      <c r="M1282" s="50"/>
      <c r="N1282" s="67"/>
    </row>
    <row r="1283" ht="15.0" customHeight="1">
      <c r="A1283" s="51"/>
      <c r="B1283" s="50"/>
      <c r="C1283" s="50"/>
      <c r="D1283" s="50"/>
      <c r="E1283" s="50"/>
      <c r="F1283" s="50"/>
      <c r="G1283" s="52"/>
      <c r="H1283" s="51"/>
      <c r="I1283" s="51"/>
      <c r="J1283" s="66"/>
      <c r="K1283" s="66"/>
      <c r="L1283" s="66"/>
      <c r="M1283" s="50"/>
      <c r="N1283" s="67"/>
    </row>
    <row r="1284" ht="15.0" customHeight="1">
      <c r="A1284" s="51"/>
      <c r="B1284" s="50"/>
      <c r="C1284" s="50"/>
      <c r="D1284" s="50"/>
      <c r="E1284" s="50"/>
      <c r="F1284" s="50"/>
      <c r="G1284" s="52"/>
      <c r="H1284" s="51"/>
      <c r="I1284" s="51"/>
      <c r="J1284" s="66"/>
      <c r="K1284" s="66"/>
      <c r="L1284" s="66"/>
      <c r="M1284" s="50"/>
      <c r="N1284" s="67"/>
    </row>
    <row r="1285" ht="15.0" customHeight="1">
      <c r="A1285" s="51"/>
      <c r="B1285" s="50"/>
      <c r="C1285" s="50"/>
      <c r="D1285" s="50"/>
      <c r="E1285" s="50"/>
      <c r="F1285" s="50"/>
      <c r="G1285" s="52"/>
      <c r="H1285" s="51"/>
      <c r="I1285" s="51"/>
      <c r="J1285" s="66"/>
      <c r="K1285" s="66"/>
      <c r="L1285" s="66"/>
      <c r="M1285" s="50"/>
      <c r="N1285" s="67"/>
    </row>
    <row r="1286" ht="15.0" customHeight="1">
      <c r="A1286" s="51"/>
      <c r="B1286" s="50"/>
      <c r="C1286" s="50"/>
      <c r="D1286" s="50"/>
      <c r="E1286" s="50"/>
      <c r="F1286" s="50"/>
      <c r="G1286" s="52"/>
      <c r="H1286" s="51"/>
      <c r="I1286" s="51"/>
      <c r="J1286" s="66"/>
      <c r="K1286" s="66"/>
      <c r="L1286" s="66"/>
      <c r="M1286" s="50"/>
      <c r="N1286" s="67"/>
    </row>
    <row r="1287" ht="15.0" customHeight="1">
      <c r="A1287" s="51"/>
      <c r="B1287" s="50"/>
      <c r="C1287" s="50"/>
      <c r="D1287" s="50"/>
      <c r="E1287" s="50"/>
      <c r="F1287" s="50"/>
      <c r="G1287" s="52"/>
      <c r="H1287" s="51"/>
      <c r="I1287" s="51"/>
      <c r="J1287" s="66"/>
      <c r="K1287" s="66"/>
      <c r="L1287" s="66"/>
      <c r="M1287" s="50"/>
      <c r="N1287" s="67"/>
    </row>
    <row r="1288" ht="15.0" customHeight="1">
      <c r="A1288" s="51"/>
      <c r="B1288" s="50"/>
      <c r="C1288" s="50"/>
      <c r="D1288" s="50"/>
      <c r="E1288" s="50"/>
      <c r="F1288" s="50"/>
      <c r="G1288" s="52"/>
      <c r="H1288" s="51"/>
      <c r="I1288" s="51"/>
      <c r="J1288" s="66"/>
      <c r="K1288" s="66"/>
      <c r="L1288" s="66"/>
      <c r="M1288" s="50"/>
      <c r="N1288" s="67"/>
    </row>
    <row r="1289" ht="15.0" customHeight="1">
      <c r="A1289" s="51"/>
      <c r="B1289" s="50"/>
      <c r="C1289" s="50"/>
      <c r="D1289" s="50"/>
      <c r="E1289" s="50"/>
      <c r="F1289" s="50"/>
      <c r="G1289" s="52"/>
      <c r="H1289" s="51"/>
      <c r="I1289" s="51"/>
      <c r="J1289" s="66"/>
      <c r="K1289" s="66"/>
      <c r="L1289" s="66"/>
      <c r="M1289" s="50"/>
      <c r="N1289" s="67"/>
    </row>
    <row r="1290" ht="15.0" customHeight="1">
      <c r="A1290" s="51"/>
      <c r="B1290" s="50"/>
      <c r="C1290" s="50"/>
      <c r="D1290" s="50"/>
      <c r="E1290" s="50"/>
      <c r="F1290" s="50"/>
      <c r="G1290" s="52"/>
      <c r="H1290" s="51"/>
      <c r="I1290" s="51"/>
      <c r="J1290" s="66"/>
      <c r="K1290" s="66"/>
      <c r="L1290" s="66"/>
      <c r="M1290" s="50"/>
      <c r="N1290" s="67"/>
    </row>
    <row r="1291" ht="15.0" customHeight="1">
      <c r="A1291" s="51"/>
      <c r="B1291" s="50"/>
      <c r="C1291" s="50"/>
      <c r="D1291" s="50"/>
      <c r="E1291" s="50"/>
      <c r="F1291" s="50"/>
      <c r="G1291" s="52"/>
      <c r="H1291" s="51"/>
      <c r="I1291" s="51"/>
      <c r="J1291" s="66"/>
      <c r="K1291" s="66"/>
      <c r="L1291" s="66"/>
      <c r="M1291" s="50"/>
      <c r="N1291" s="67"/>
    </row>
    <row r="1292" ht="15.0" customHeight="1">
      <c r="A1292" s="51"/>
      <c r="B1292" s="50"/>
      <c r="C1292" s="50"/>
      <c r="D1292" s="50"/>
      <c r="E1292" s="50"/>
      <c r="F1292" s="50"/>
      <c r="G1292" s="52"/>
      <c r="H1292" s="51"/>
      <c r="I1292" s="51"/>
      <c r="J1292" s="66"/>
      <c r="K1292" s="66"/>
      <c r="L1292" s="66"/>
      <c r="M1292" s="50"/>
      <c r="N1292" s="67"/>
    </row>
    <row r="1293" ht="15.0" customHeight="1">
      <c r="A1293" s="51"/>
      <c r="B1293" s="50"/>
      <c r="C1293" s="50"/>
      <c r="D1293" s="50"/>
      <c r="E1293" s="50"/>
      <c r="F1293" s="50"/>
      <c r="G1293" s="52"/>
      <c r="H1293" s="51"/>
      <c r="I1293" s="51"/>
      <c r="J1293" s="66"/>
      <c r="K1293" s="66"/>
      <c r="L1293" s="66"/>
      <c r="M1293" s="50"/>
      <c r="N1293" s="67"/>
    </row>
    <row r="1294" ht="15.0" customHeight="1">
      <c r="A1294" s="51"/>
      <c r="B1294" s="50"/>
      <c r="C1294" s="50"/>
      <c r="D1294" s="50"/>
      <c r="E1294" s="50"/>
      <c r="F1294" s="50"/>
      <c r="G1294" s="52"/>
      <c r="H1294" s="51"/>
      <c r="I1294" s="51"/>
      <c r="J1294" s="66"/>
      <c r="K1294" s="66"/>
      <c r="L1294" s="66"/>
      <c r="M1294" s="50"/>
      <c r="N1294" s="67"/>
    </row>
    <row r="1295" ht="15.0" customHeight="1">
      <c r="A1295" s="51"/>
      <c r="B1295" s="50"/>
      <c r="C1295" s="50"/>
      <c r="D1295" s="50"/>
      <c r="E1295" s="50"/>
      <c r="F1295" s="50"/>
      <c r="G1295" s="52"/>
      <c r="H1295" s="51"/>
      <c r="I1295" s="51"/>
      <c r="J1295" s="66"/>
      <c r="K1295" s="66"/>
      <c r="L1295" s="66"/>
      <c r="M1295" s="50"/>
      <c r="N1295" s="67"/>
    </row>
    <row r="1296" ht="15.0" customHeight="1">
      <c r="A1296" s="51"/>
      <c r="B1296" s="50"/>
      <c r="C1296" s="50"/>
      <c r="D1296" s="50"/>
      <c r="E1296" s="50"/>
      <c r="F1296" s="50"/>
      <c r="G1296" s="52"/>
      <c r="H1296" s="51"/>
      <c r="I1296" s="51"/>
      <c r="J1296" s="66"/>
      <c r="K1296" s="66"/>
      <c r="L1296" s="66"/>
      <c r="M1296" s="50"/>
      <c r="N1296" s="67"/>
    </row>
    <row r="1297" ht="15.0" customHeight="1">
      <c r="A1297" s="51"/>
      <c r="B1297" s="50"/>
      <c r="C1297" s="50"/>
      <c r="D1297" s="50"/>
      <c r="E1297" s="50"/>
      <c r="F1297" s="50"/>
      <c r="G1297" s="52"/>
      <c r="H1297" s="51"/>
      <c r="I1297" s="51"/>
      <c r="J1297" s="66"/>
      <c r="K1297" s="66"/>
      <c r="L1297" s="66"/>
      <c r="M1297" s="50"/>
      <c r="N1297" s="67"/>
    </row>
    <row r="1298" ht="15.0" customHeight="1">
      <c r="A1298" s="51"/>
      <c r="B1298" s="50"/>
      <c r="C1298" s="50"/>
      <c r="D1298" s="50"/>
      <c r="E1298" s="50"/>
      <c r="F1298" s="50"/>
      <c r="G1298" s="52"/>
      <c r="H1298" s="51"/>
      <c r="I1298" s="51"/>
      <c r="J1298" s="66"/>
      <c r="K1298" s="66"/>
      <c r="L1298" s="66"/>
      <c r="M1298" s="50"/>
      <c r="N1298" s="67"/>
    </row>
    <row r="1299" ht="15.0" customHeight="1">
      <c r="A1299" s="51"/>
      <c r="B1299" s="50"/>
      <c r="C1299" s="50"/>
      <c r="D1299" s="50"/>
      <c r="E1299" s="50"/>
      <c r="F1299" s="50"/>
      <c r="G1299" s="52"/>
      <c r="H1299" s="51"/>
      <c r="I1299" s="51"/>
      <c r="J1299" s="66"/>
      <c r="K1299" s="66"/>
      <c r="L1299" s="66"/>
      <c r="M1299" s="50"/>
      <c r="N1299" s="67"/>
    </row>
    <row r="1300" ht="15.0" customHeight="1">
      <c r="A1300" s="51"/>
      <c r="B1300" s="50"/>
      <c r="C1300" s="50"/>
      <c r="D1300" s="50"/>
      <c r="E1300" s="50"/>
      <c r="F1300" s="50"/>
      <c r="G1300" s="52"/>
      <c r="H1300" s="51"/>
      <c r="I1300" s="51"/>
      <c r="J1300" s="66"/>
      <c r="K1300" s="66"/>
      <c r="L1300" s="66"/>
      <c r="M1300" s="50"/>
      <c r="N1300" s="67"/>
    </row>
    <row r="1301" ht="15.0" customHeight="1">
      <c r="A1301" s="51"/>
      <c r="B1301" s="50"/>
      <c r="C1301" s="50"/>
      <c r="D1301" s="50"/>
      <c r="E1301" s="50"/>
      <c r="F1301" s="50"/>
      <c r="G1301" s="52"/>
      <c r="H1301" s="51"/>
      <c r="I1301" s="51"/>
      <c r="J1301" s="66"/>
      <c r="K1301" s="66"/>
      <c r="L1301" s="66"/>
      <c r="M1301" s="50"/>
      <c r="N1301" s="67"/>
    </row>
    <row r="1302" ht="15.0" customHeight="1">
      <c r="A1302" s="51"/>
      <c r="B1302" s="50"/>
      <c r="C1302" s="50"/>
      <c r="D1302" s="50"/>
      <c r="E1302" s="50"/>
      <c r="F1302" s="50"/>
      <c r="G1302" s="52"/>
      <c r="H1302" s="51"/>
      <c r="I1302" s="51"/>
      <c r="J1302" s="66"/>
      <c r="K1302" s="66"/>
      <c r="L1302" s="66"/>
      <c r="M1302" s="50"/>
      <c r="N1302" s="67"/>
    </row>
    <row r="1303" ht="15.0" customHeight="1">
      <c r="A1303" s="51"/>
      <c r="B1303" s="50"/>
      <c r="C1303" s="50"/>
      <c r="D1303" s="50"/>
      <c r="E1303" s="50"/>
      <c r="F1303" s="50"/>
      <c r="G1303" s="52"/>
      <c r="H1303" s="51"/>
      <c r="I1303" s="51"/>
      <c r="J1303" s="66"/>
      <c r="K1303" s="66"/>
      <c r="L1303" s="66"/>
      <c r="M1303" s="50"/>
      <c r="N1303" s="67"/>
    </row>
    <row r="1304" ht="15.0" customHeight="1">
      <c r="A1304" s="51"/>
      <c r="B1304" s="50"/>
      <c r="C1304" s="50"/>
      <c r="D1304" s="50"/>
      <c r="E1304" s="50"/>
      <c r="F1304" s="50"/>
      <c r="G1304" s="52"/>
      <c r="H1304" s="51"/>
      <c r="I1304" s="51"/>
      <c r="J1304" s="66"/>
      <c r="K1304" s="66"/>
      <c r="L1304" s="66"/>
      <c r="M1304" s="50"/>
      <c r="N1304" s="67"/>
    </row>
    <row r="1305" ht="15.0" customHeight="1">
      <c r="A1305" s="51"/>
      <c r="B1305" s="50"/>
      <c r="C1305" s="50"/>
      <c r="D1305" s="50"/>
      <c r="E1305" s="50"/>
      <c r="F1305" s="50"/>
      <c r="G1305" s="52"/>
      <c r="H1305" s="51"/>
      <c r="I1305" s="51"/>
      <c r="J1305" s="66"/>
      <c r="K1305" s="66"/>
      <c r="L1305" s="66"/>
      <c r="M1305" s="50"/>
      <c r="N1305" s="67"/>
    </row>
    <row r="1306" ht="15.0" customHeight="1">
      <c r="A1306" s="51"/>
      <c r="B1306" s="50"/>
      <c r="C1306" s="50"/>
      <c r="D1306" s="50"/>
      <c r="E1306" s="50"/>
      <c r="F1306" s="50"/>
      <c r="G1306" s="52"/>
      <c r="H1306" s="51"/>
      <c r="I1306" s="51"/>
      <c r="J1306" s="66"/>
      <c r="K1306" s="66"/>
      <c r="L1306" s="66"/>
      <c r="M1306" s="50"/>
      <c r="N1306" s="67"/>
    </row>
    <row r="1307" ht="15.0" customHeight="1">
      <c r="A1307" s="51"/>
      <c r="B1307" s="50"/>
      <c r="C1307" s="50"/>
      <c r="D1307" s="50"/>
      <c r="E1307" s="50"/>
      <c r="F1307" s="50"/>
      <c r="G1307" s="52"/>
      <c r="H1307" s="51"/>
      <c r="I1307" s="51"/>
      <c r="J1307" s="66"/>
      <c r="K1307" s="66"/>
      <c r="L1307" s="66"/>
      <c r="M1307" s="50"/>
      <c r="N1307" s="67"/>
    </row>
    <row r="1308" ht="15.0" customHeight="1">
      <c r="A1308" s="51"/>
      <c r="B1308" s="50"/>
      <c r="C1308" s="50"/>
      <c r="D1308" s="50"/>
      <c r="E1308" s="50"/>
      <c r="F1308" s="50"/>
      <c r="G1308" s="52"/>
      <c r="H1308" s="51"/>
      <c r="I1308" s="51"/>
      <c r="J1308" s="66"/>
      <c r="K1308" s="66"/>
      <c r="L1308" s="66"/>
      <c r="M1308" s="50"/>
      <c r="N1308" s="67"/>
    </row>
    <row r="1309" ht="15.0" customHeight="1">
      <c r="A1309" s="51"/>
      <c r="B1309" s="50"/>
      <c r="C1309" s="50"/>
      <c r="D1309" s="50"/>
      <c r="E1309" s="50"/>
      <c r="F1309" s="50"/>
      <c r="G1309" s="52"/>
      <c r="H1309" s="51"/>
      <c r="I1309" s="51"/>
      <c r="J1309" s="66"/>
      <c r="K1309" s="66"/>
      <c r="L1309" s="66"/>
      <c r="M1309" s="50"/>
      <c r="N1309" s="67"/>
    </row>
    <row r="1310" ht="15.0" customHeight="1">
      <c r="A1310" s="51"/>
      <c r="B1310" s="50"/>
      <c r="C1310" s="50"/>
      <c r="D1310" s="50"/>
      <c r="E1310" s="50"/>
      <c r="F1310" s="50"/>
      <c r="G1310" s="52"/>
      <c r="H1310" s="51"/>
      <c r="I1310" s="51"/>
      <c r="J1310" s="66"/>
      <c r="K1310" s="66"/>
      <c r="L1310" s="66"/>
      <c r="M1310" s="50"/>
      <c r="N1310" s="67"/>
    </row>
    <row r="1311" ht="15.0" customHeight="1">
      <c r="A1311" s="51"/>
      <c r="B1311" s="50"/>
      <c r="C1311" s="50"/>
      <c r="D1311" s="50"/>
      <c r="E1311" s="50"/>
      <c r="F1311" s="50"/>
      <c r="G1311" s="52"/>
      <c r="H1311" s="51"/>
      <c r="I1311" s="51"/>
      <c r="J1311" s="66"/>
      <c r="K1311" s="66"/>
      <c r="L1311" s="66"/>
      <c r="M1311" s="50"/>
      <c r="N1311" s="67"/>
    </row>
    <row r="1312" ht="15.0" customHeight="1">
      <c r="A1312" s="51"/>
      <c r="B1312" s="50"/>
      <c r="C1312" s="50"/>
      <c r="D1312" s="50"/>
      <c r="E1312" s="50"/>
      <c r="F1312" s="50"/>
      <c r="G1312" s="52"/>
      <c r="H1312" s="51"/>
      <c r="I1312" s="51"/>
      <c r="J1312" s="66"/>
      <c r="K1312" s="66"/>
      <c r="L1312" s="66"/>
      <c r="M1312" s="50"/>
      <c r="N1312" s="67"/>
    </row>
    <row r="1313" ht="15.0" customHeight="1">
      <c r="A1313" s="51"/>
      <c r="B1313" s="50"/>
      <c r="C1313" s="50"/>
      <c r="D1313" s="50"/>
      <c r="E1313" s="50"/>
      <c r="F1313" s="50"/>
      <c r="G1313" s="52"/>
      <c r="H1313" s="51"/>
      <c r="I1313" s="51"/>
      <c r="J1313" s="66"/>
      <c r="K1313" s="66"/>
      <c r="L1313" s="66"/>
      <c r="M1313" s="50"/>
      <c r="N1313" s="67"/>
    </row>
    <row r="1314" ht="15.0" customHeight="1">
      <c r="A1314" s="51"/>
      <c r="B1314" s="50"/>
      <c r="C1314" s="50"/>
      <c r="D1314" s="50"/>
      <c r="E1314" s="50"/>
      <c r="F1314" s="50"/>
      <c r="G1314" s="52"/>
      <c r="H1314" s="51"/>
      <c r="I1314" s="51"/>
      <c r="J1314" s="66"/>
      <c r="K1314" s="66"/>
      <c r="L1314" s="66"/>
      <c r="M1314" s="50"/>
      <c r="N1314" s="67"/>
    </row>
    <row r="1315" ht="15.0" customHeight="1">
      <c r="A1315" s="51"/>
      <c r="B1315" s="50"/>
      <c r="C1315" s="50"/>
      <c r="D1315" s="50"/>
      <c r="E1315" s="50"/>
      <c r="F1315" s="50"/>
      <c r="G1315" s="52"/>
      <c r="H1315" s="51"/>
      <c r="I1315" s="51"/>
      <c r="J1315" s="66"/>
      <c r="K1315" s="66"/>
      <c r="L1315" s="66"/>
      <c r="M1315" s="50"/>
      <c r="N1315" s="67"/>
    </row>
    <row r="1316" ht="15.0" customHeight="1">
      <c r="A1316" s="51"/>
      <c r="B1316" s="50"/>
      <c r="C1316" s="50"/>
      <c r="D1316" s="50"/>
      <c r="E1316" s="50"/>
      <c r="F1316" s="50"/>
      <c r="G1316" s="52"/>
      <c r="H1316" s="51"/>
      <c r="I1316" s="51"/>
      <c r="J1316" s="66"/>
      <c r="K1316" s="66"/>
      <c r="L1316" s="66"/>
      <c r="M1316" s="50"/>
      <c r="N1316" s="67"/>
    </row>
    <row r="1317" ht="15.0" customHeight="1">
      <c r="A1317" s="51"/>
      <c r="B1317" s="50"/>
      <c r="C1317" s="50"/>
      <c r="D1317" s="50"/>
      <c r="E1317" s="50"/>
      <c r="F1317" s="50"/>
      <c r="G1317" s="52"/>
      <c r="H1317" s="51"/>
      <c r="I1317" s="51"/>
      <c r="J1317" s="66"/>
      <c r="K1317" s="66"/>
      <c r="L1317" s="66"/>
      <c r="M1317" s="50"/>
      <c r="N1317" s="67"/>
    </row>
    <row r="1318" ht="15.0" customHeight="1">
      <c r="A1318" s="51"/>
      <c r="B1318" s="50"/>
      <c r="C1318" s="50"/>
      <c r="D1318" s="50"/>
      <c r="E1318" s="50"/>
      <c r="F1318" s="50"/>
      <c r="G1318" s="52"/>
      <c r="H1318" s="51"/>
      <c r="I1318" s="51"/>
      <c r="J1318" s="66"/>
      <c r="K1318" s="66"/>
      <c r="L1318" s="66"/>
      <c r="M1318" s="50"/>
      <c r="N1318" s="67"/>
    </row>
    <row r="1319" ht="15.0" customHeight="1">
      <c r="A1319" s="51"/>
      <c r="B1319" s="50"/>
      <c r="C1319" s="50"/>
      <c r="D1319" s="50"/>
      <c r="E1319" s="50"/>
      <c r="F1319" s="50"/>
      <c r="G1319" s="52"/>
      <c r="H1319" s="51"/>
      <c r="I1319" s="51"/>
      <c r="J1319" s="66"/>
      <c r="K1319" s="66"/>
      <c r="L1319" s="66"/>
      <c r="M1319" s="50"/>
      <c r="N1319" s="67"/>
    </row>
    <row r="1320" ht="15.0" customHeight="1">
      <c r="A1320" s="51"/>
      <c r="B1320" s="50"/>
      <c r="C1320" s="50"/>
      <c r="D1320" s="50"/>
      <c r="E1320" s="50"/>
      <c r="F1320" s="50"/>
      <c r="G1320" s="52"/>
      <c r="H1320" s="51"/>
      <c r="I1320" s="51"/>
      <c r="J1320" s="66"/>
      <c r="K1320" s="66"/>
      <c r="L1320" s="66"/>
      <c r="M1320" s="50"/>
      <c r="N1320" s="67"/>
    </row>
    <row r="1321" ht="15.0" customHeight="1">
      <c r="A1321" s="51"/>
      <c r="B1321" s="50"/>
      <c r="C1321" s="50"/>
      <c r="D1321" s="50"/>
      <c r="E1321" s="50"/>
      <c r="F1321" s="50"/>
      <c r="G1321" s="52"/>
      <c r="H1321" s="51"/>
      <c r="I1321" s="51"/>
      <c r="J1321" s="66"/>
      <c r="K1321" s="66"/>
      <c r="L1321" s="66"/>
      <c r="M1321" s="50"/>
      <c r="N1321" s="67"/>
    </row>
    <row r="1322" ht="15.0" customHeight="1">
      <c r="A1322" s="51"/>
      <c r="B1322" s="50"/>
      <c r="C1322" s="50"/>
      <c r="D1322" s="50"/>
      <c r="E1322" s="50"/>
      <c r="F1322" s="50"/>
      <c r="G1322" s="52"/>
      <c r="H1322" s="51"/>
      <c r="I1322" s="51"/>
      <c r="J1322" s="66"/>
      <c r="K1322" s="66"/>
      <c r="L1322" s="66"/>
      <c r="M1322" s="50"/>
      <c r="N1322" s="67"/>
    </row>
    <row r="1323" ht="15.0" customHeight="1">
      <c r="A1323" s="51"/>
      <c r="B1323" s="50"/>
      <c r="C1323" s="50"/>
      <c r="D1323" s="50"/>
      <c r="E1323" s="50"/>
      <c r="F1323" s="50"/>
      <c r="G1323" s="52"/>
      <c r="H1323" s="51"/>
      <c r="I1323" s="51"/>
      <c r="J1323" s="66"/>
      <c r="K1323" s="66"/>
      <c r="L1323" s="66"/>
      <c r="M1323" s="50"/>
      <c r="N1323" s="67"/>
    </row>
    <row r="1324" ht="15.0" customHeight="1">
      <c r="A1324" s="51"/>
      <c r="B1324" s="50"/>
      <c r="C1324" s="50"/>
      <c r="D1324" s="50"/>
      <c r="E1324" s="50"/>
      <c r="F1324" s="50"/>
      <c r="G1324" s="52"/>
      <c r="H1324" s="51"/>
      <c r="I1324" s="51"/>
      <c r="J1324" s="66"/>
      <c r="K1324" s="66"/>
      <c r="L1324" s="66"/>
      <c r="M1324" s="50"/>
      <c r="N1324" s="67"/>
    </row>
    <row r="1325" ht="15.0" customHeight="1">
      <c r="A1325" s="51"/>
      <c r="B1325" s="50"/>
      <c r="C1325" s="50"/>
      <c r="D1325" s="50"/>
      <c r="E1325" s="50"/>
      <c r="F1325" s="50"/>
      <c r="G1325" s="52"/>
      <c r="H1325" s="51"/>
      <c r="I1325" s="51"/>
      <c r="J1325" s="66"/>
      <c r="K1325" s="66"/>
      <c r="L1325" s="66"/>
      <c r="M1325" s="50"/>
      <c r="N1325" s="67"/>
    </row>
    <row r="1326" ht="15.0" customHeight="1">
      <c r="A1326" s="51"/>
      <c r="B1326" s="50"/>
      <c r="C1326" s="50"/>
      <c r="D1326" s="50"/>
      <c r="E1326" s="50"/>
      <c r="F1326" s="50"/>
      <c r="G1326" s="52"/>
      <c r="H1326" s="51"/>
      <c r="I1326" s="51"/>
      <c r="J1326" s="66"/>
      <c r="K1326" s="66"/>
      <c r="L1326" s="66"/>
      <c r="M1326" s="50"/>
      <c r="N1326" s="67"/>
    </row>
    <row r="1327" ht="15.0" customHeight="1">
      <c r="A1327" s="51"/>
      <c r="B1327" s="50"/>
      <c r="C1327" s="50"/>
      <c r="D1327" s="50"/>
      <c r="E1327" s="50"/>
      <c r="F1327" s="50"/>
      <c r="G1327" s="52"/>
      <c r="H1327" s="51"/>
      <c r="I1327" s="51"/>
      <c r="J1327" s="66"/>
      <c r="K1327" s="66"/>
      <c r="L1327" s="66"/>
      <c r="M1327" s="50"/>
      <c r="N1327" s="67"/>
    </row>
    <row r="1328" ht="15.0" customHeight="1">
      <c r="A1328" s="51"/>
      <c r="B1328" s="50"/>
      <c r="C1328" s="50"/>
      <c r="D1328" s="50"/>
      <c r="E1328" s="50"/>
      <c r="F1328" s="50"/>
      <c r="G1328" s="52"/>
      <c r="H1328" s="51"/>
      <c r="I1328" s="51"/>
      <c r="J1328" s="66"/>
      <c r="K1328" s="66"/>
      <c r="L1328" s="66"/>
      <c r="M1328" s="50"/>
      <c r="N1328" s="67"/>
    </row>
    <row r="1329" ht="15.0" customHeight="1">
      <c r="A1329" s="51"/>
      <c r="B1329" s="50"/>
      <c r="C1329" s="50"/>
      <c r="D1329" s="50"/>
      <c r="E1329" s="50"/>
      <c r="F1329" s="50"/>
      <c r="G1329" s="52"/>
      <c r="H1329" s="51"/>
      <c r="I1329" s="51"/>
      <c r="J1329" s="66"/>
      <c r="K1329" s="66"/>
      <c r="L1329" s="66"/>
      <c r="M1329" s="50"/>
      <c r="N1329" s="67"/>
    </row>
    <row r="1330" ht="15.0" customHeight="1">
      <c r="A1330" s="51"/>
      <c r="B1330" s="50"/>
      <c r="C1330" s="50"/>
      <c r="D1330" s="50"/>
      <c r="E1330" s="50"/>
      <c r="F1330" s="50"/>
      <c r="G1330" s="52"/>
      <c r="H1330" s="51"/>
      <c r="I1330" s="51"/>
      <c r="J1330" s="66"/>
      <c r="K1330" s="66"/>
      <c r="L1330" s="66"/>
      <c r="M1330" s="50"/>
      <c r="N1330" s="67"/>
    </row>
    <row r="1331" ht="15.0" customHeight="1">
      <c r="A1331" s="51"/>
      <c r="B1331" s="50"/>
      <c r="C1331" s="50"/>
      <c r="D1331" s="50"/>
      <c r="E1331" s="50"/>
      <c r="F1331" s="50"/>
      <c r="G1331" s="52"/>
      <c r="H1331" s="51"/>
      <c r="I1331" s="51"/>
      <c r="J1331" s="66"/>
      <c r="K1331" s="66"/>
      <c r="L1331" s="66"/>
      <c r="M1331" s="50"/>
      <c r="N1331" s="67"/>
    </row>
    <row r="1332" ht="15.0" customHeight="1">
      <c r="A1332" s="51"/>
      <c r="B1332" s="50"/>
      <c r="C1332" s="50"/>
      <c r="D1332" s="50"/>
      <c r="E1332" s="50"/>
      <c r="F1332" s="50"/>
      <c r="G1332" s="52"/>
      <c r="H1332" s="51"/>
      <c r="I1332" s="51"/>
      <c r="J1332" s="66"/>
      <c r="K1332" s="66"/>
      <c r="L1332" s="66"/>
      <c r="M1332" s="50"/>
      <c r="N1332" s="67"/>
    </row>
    <row r="1333" ht="15.0" customHeight="1">
      <c r="A1333" s="51"/>
      <c r="B1333" s="50"/>
      <c r="C1333" s="50"/>
      <c r="D1333" s="50"/>
      <c r="E1333" s="50"/>
      <c r="F1333" s="50"/>
      <c r="G1333" s="52"/>
      <c r="H1333" s="51"/>
      <c r="I1333" s="51"/>
      <c r="J1333" s="66"/>
      <c r="K1333" s="66"/>
      <c r="L1333" s="66"/>
      <c r="M1333" s="50"/>
      <c r="N1333" s="67"/>
    </row>
    <row r="1334" ht="15.0" customHeight="1">
      <c r="A1334" s="51"/>
      <c r="B1334" s="50"/>
      <c r="C1334" s="50"/>
      <c r="D1334" s="50"/>
      <c r="E1334" s="50"/>
      <c r="F1334" s="50"/>
      <c r="G1334" s="52"/>
      <c r="H1334" s="51"/>
      <c r="I1334" s="51"/>
      <c r="J1334" s="66"/>
      <c r="K1334" s="66"/>
      <c r="L1334" s="66"/>
      <c r="M1334" s="50"/>
      <c r="N1334" s="67"/>
    </row>
    <row r="1335" ht="15.0" customHeight="1">
      <c r="A1335" s="51"/>
      <c r="B1335" s="50"/>
      <c r="C1335" s="50"/>
      <c r="D1335" s="50"/>
      <c r="E1335" s="50"/>
      <c r="F1335" s="50"/>
      <c r="G1335" s="52"/>
      <c r="H1335" s="51"/>
      <c r="I1335" s="51"/>
      <c r="J1335" s="66"/>
      <c r="K1335" s="66"/>
      <c r="L1335" s="66"/>
      <c r="M1335" s="50"/>
      <c r="N1335" s="67"/>
    </row>
    <row r="1336" ht="15.0" customHeight="1">
      <c r="A1336" s="51"/>
      <c r="B1336" s="50"/>
      <c r="C1336" s="50"/>
      <c r="D1336" s="50"/>
      <c r="E1336" s="50"/>
      <c r="F1336" s="50"/>
      <c r="G1336" s="52"/>
      <c r="H1336" s="51"/>
      <c r="I1336" s="51"/>
      <c r="J1336" s="66"/>
      <c r="K1336" s="66"/>
      <c r="L1336" s="66"/>
      <c r="M1336" s="50"/>
      <c r="N1336" s="67"/>
    </row>
    <row r="1337" ht="15.0" customHeight="1">
      <c r="A1337" s="51"/>
      <c r="B1337" s="50"/>
      <c r="C1337" s="50"/>
      <c r="D1337" s="50"/>
      <c r="E1337" s="50"/>
      <c r="F1337" s="50"/>
      <c r="G1337" s="52"/>
      <c r="H1337" s="51"/>
      <c r="I1337" s="51"/>
      <c r="J1337" s="66"/>
      <c r="K1337" s="66"/>
      <c r="L1337" s="66"/>
      <c r="M1337" s="50"/>
      <c r="N1337" s="67"/>
    </row>
    <row r="1338" ht="15.0" customHeight="1">
      <c r="A1338" s="51"/>
      <c r="B1338" s="50"/>
      <c r="C1338" s="50"/>
      <c r="D1338" s="50"/>
      <c r="E1338" s="50"/>
      <c r="F1338" s="50"/>
      <c r="G1338" s="52"/>
      <c r="H1338" s="51"/>
      <c r="I1338" s="51"/>
      <c r="J1338" s="66"/>
      <c r="K1338" s="66"/>
      <c r="L1338" s="66"/>
      <c r="M1338" s="50"/>
      <c r="N1338" s="67"/>
    </row>
    <row r="1339" ht="15.0" customHeight="1">
      <c r="A1339" s="51"/>
      <c r="B1339" s="50"/>
      <c r="C1339" s="50"/>
      <c r="D1339" s="50"/>
      <c r="E1339" s="50"/>
      <c r="F1339" s="50"/>
      <c r="G1339" s="52"/>
      <c r="H1339" s="51"/>
      <c r="I1339" s="51"/>
      <c r="J1339" s="66"/>
      <c r="K1339" s="66"/>
      <c r="L1339" s="66"/>
      <c r="M1339" s="50"/>
      <c r="N1339" s="67"/>
    </row>
    <row r="1340" ht="15.0" customHeight="1">
      <c r="A1340" s="51"/>
      <c r="B1340" s="50"/>
      <c r="C1340" s="50"/>
      <c r="D1340" s="50"/>
      <c r="E1340" s="50"/>
      <c r="F1340" s="50"/>
      <c r="G1340" s="52"/>
      <c r="H1340" s="51"/>
      <c r="I1340" s="51"/>
      <c r="J1340" s="66"/>
      <c r="K1340" s="66"/>
      <c r="L1340" s="66"/>
      <c r="M1340" s="50"/>
      <c r="N1340" s="67"/>
    </row>
    <row r="1341" ht="15.0" customHeight="1">
      <c r="A1341" s="51"/>
      <c r="B1341" s="50"/>
      <c r="C1341" s="50"/>
      <c r="D1341" s="50"/>
      <c r="E1341" s="50"/>
      <c r="F1341" s="50"/>
      <c r="G1341" s="52"/>
      <c r="H1341" s="51"/>
      <c r="I1341" s="51"/>
      <c r="J1341" s="66"/>
      <c r="K1341" s="66"/>
      <c r="L1341" s="66"/>
      <c r="M1341" s="50"/>
      <c r="N1341" s="67"/>
    </row>
    <row r="1342" ht="15.0" customHeight="1">
      <c r="A1342" s="51"/>
      <c r="B1342" s="50"/>
      <c r="C1342" s="50"/>
      <c r="D1342" s="50"/>
      <c r="E1342" s="50"/>
      <c r="F1342" s="50"/>
      <c r="G1342" s="52"/>
      <c r="H1342" s="51"/>
      <c r="I1342" s="51"/>
      <c r="J1342" s="66"/>
      <c r="K1342" s="66"/>
      <c r="L1342" s="66"/>
      <c r="M1342" s="50"/>
      <c r="N1342" s="67"/>
    </row>
    <row r="1343" ht="15.0" customHeight="1">
      <c r="A1343" s="51"/>
      <c r="B1343" s="50"/>
      <c r="C1343" s="50"/>
      <c r="D1343" s="50"/>
      <c r="E1343" s="50"/>
      <c r="F1343" s="50"/>
      <c r="G1343" s="52"/>
      <c r="H1343" s="51"/>
      <c r="I1343" s="51"/>
      <c r="J1343" s="66"/>
      <c r="K1343" s="66"/>
      <c r="L1343" s="66"/>
      <c r="M1343" s="50"/>
      <c r="N1343" s="67"/>
    </row>
    <row r="1344" ht="15.0" customHeight="1">
      <c r="A1344" s="51"/>
      <c r="B1344" s="50"/>
      <c r="C1344" s="50"/>
      <c r="D1344" s="50"/>
      <c r="E1344" s="50"/>
      <c r="F1344" s="50"/>
      <c r="G1344" s="52"/>
      <c r="H1344" s="51"/>
      <c r="I1344" s="51"/>
      <c r="J1344" s="66"/>
      <c r="K1344" s="66"/>
      <c r="L1344" s="66"/>
      <c r="M1344" s="50"/>
      <c r="N1344" s="67"/>
    </row>
    <row r="1345" ht="15.0" customHeight="1">
      <c r="A1345" s="51"/>
      <c r="B1345" s="50"/>
      <c r="C1345" s="50"/>
      <c r="D1345" s="50"/>
      <c r="E1345" s="50"/>
      <c r="F1345" s="50"/>
      <c r="G1345" s="52"/>
      <c r="H1345" s="51"/>
      <c r="I1345" s="51"/>
      <c r="J1345" s="66"/>
      <c r="K1345" s="66"/>
      <c r="L1345" s="66"/>
      <c r="M1345" s="50"/>
      <c r="N1345" s="67"/>
    </row>
    <row r="1346" ht="15.0" customHeight="1">
      <c r="A1346" s="51"/>
      <c r="B1346" s="50"/>
      <c r="C1346" s="50"/>
      <c r="D1346" s="50"/>
      <c r="E1346" s="50"/>
      <c r="F1346" s="50"/>
      <c r="G1346" s="52"/>
      <c r="H1346" s="51"/>
      <c r="I1346" s="51"/>
      <c r="J1346" s="66"/>
      <c r="K1346" s="66"/>
      <c r="L1346" s="66"/>
      <c r="M1346" s="50"/>
      <c r="N1346" s="67"/>
    </row>
    <row r="1347" ht="15.0" customHeight="1">
      <c r="A1347" s="51"/>
      <c r="B1347" s="50"/>
      <c r="C1347" s="50"/>
      <c r="D1347" s="50"/>
      <c r="E1347" s="50"/>
      <c r="F1347" s="50"/>
      <c r="G1347" s="52"/>
      <c r="H1347" s="51"/>
      <c r="I1347" s="51"/>
      <c r="J1347" s="66"/>
      <c r="K1347" s="66"/>
      <c r="L1347" s="66"/>
      <c r="M1347" s="50"/>
      <c r="N1347" s="67"/>
    </row>
    <row r="1348" ht="15.0" customHeight="1">
      <c r="A1348" s="51"/>
      <c r="B1348" s="50"/>
      <c r="C1348" s="50"/>
      <c r="D1348" s="50"/>
      <c r="E1348" s="50"/>
      <c r="F1348" s="50"/>
      <c r="G1348" s="52"/>
      <c r="H1348" s="51"/>
      <c r="I1348" s="51"/>
      <c r="J1348" s="66"/>
      <c r="K1348" s="66"/>
      <c r="L1348" s="66"/>
      <c r="M1348" s="50"/>
      <c r="N1348" s="67"/>
    </row>
    <row r="1349" ht="15.0" customHeight="1">
      <c r="A1349" s="51"/>
      <c r="B1349" s="50"/>
      <c r="C1349" s="50"/>
      <c r="D1349" s="50"/>
      <c r="E1349" s="50"/>
      <c r="F1349" s="50"/>
      <c r="G1349" s="52"/>
      <c r="H1349" s="51"/>
      <c r="I1349" s="51"/>
      <c r="J1349" s="66"/>
      <c r="K1349" s="66"/>
      <c r="L1349" s="66"/>
      <c r="M1349" s="50"/>
      <c r="N1349" s="67"/>
    </row>
    <row r="1350" ht="15.0" customHeight="1">
      <c r="A1350" s="51"/>
      <c r="B1350" s="50"/>
      <c r="C1350" s="50"/>
      <c r="D1350" s="50"/>
      <c r="E1350" s="50"/>
      <c r="F1350" s="50"/>
      <c r="G1350" s="52"/>
      <c r="H1350" s="51"/>
      <c r="I1350" s="51"/>
      <c r="J1350" s="66"/>
      <c r="K1350" s="66"/>
      <c r="L1350" s="66"/>
      <c r="M1350" s="50"/>
      <c r="N1350" s="67"/>
    </row>
    <row r="1351" ht="15.0" customHeight="1">
      <c r="A1351" s="51"/>
      <c r="B1351" s="50"/>
      <c r="C1351" s="50"/>
      <c r="D1351" s="50"/>
      <c r="E1351" s="50"/>
      <c r="F1351" s="50"/>
      <c r="G1351" s="52"/>
      <c r="H1351" s="51"/>
      <c r="I1351" s="51"/>
      <c r="J1351" s="66"/>
      <c r="K1351" s="66"/>
      <c r="L1351" s="66"/>
      <c r="M1351" s="50"/>
      <c r="N1351" s="67"/>
    </row>
    <row r="1352" ht="15.0" customHeight="1">
      <c r="A1352" s="51"/>
      <c r="B1352" s="50"/>
      <c r="C1352" s="50"/>
      <c r="D1352" s="50"/>
      <c r="E1352" s="50"/>
      <c r="F1352" s="50"/>
      <c r="G1352" s="52"/>
      <c r="H1352" s="51"/>
      <c r="I1352" s="51"/>
      <c r="J1352" s="66"/>
      <c r="K1352" s="66"/>
      <c r="L1352" s="66"/>
      <c r="M1352" s="50"/>
      <c r="N1352" s="67"/>
    </row>
    <row r="1353" ht="15.0" customHeight="1">
      <c r="A1353" s="51"/>
      <c r="B1353" s="50"/>
      <c r="C1353" s="50"/>
      <c r="D1353" s="50"/>
      <c r="E1353" s="50"/>
      <c r="F1353" s="50"/>
      <c r="G1353" s="52"/>
      <c r="H1353" s="51"/>
      <c r="I1353" s="51"/>
      <c r="J1353" s="66"/>
      <c r="K1353" s="66"/>
      <c r="L1353" s="66"/>
      <c r="M1353" s="50"/>
      <c r="N1353" s="67"/>
    </row>
    <row r="1354" ht="15.0" customHeight="1">
      <c r="A1354" s="51"/>
      <c r="B1354" s="50"/>
      <c r="C1354" s="50"/>
      <c r="D1354" s="50"/>
      <c r="E1354" s="50"/>
      <c r="F1354" s="50"/>
      <c r="G1354" s="52"/>
      <c r="H1354" s="51"/>
      <c r="I1354" s="51"/>
      <c r="J1354" s="66"/>
      <c r="K1354" s="66"/>
      <c r="L1354" s="66"/>
      <c r="M1354" s="50"/>
      <c r="N1354" s="67"/>
    </row>
    <row r="1355" ht="15.0" customHeight="1">
      <c r="A1355" s="51"/>
      <c r="B1355" s="50"/>
      <c r="C1355" s="50"/>
      <c r="D1355" s="50"/>
      <c r="E1355" s="50"/>
      <c r="F1355" s="50"/>
      <c r="G1355" s="52"/>
      <c r="H1355" s="51"/>
      <c r="I1355" s="51"/>
      <c r="J1355" s="66"/>
      <c r="K1355" s="66"/>
      <c r="L1355" s="66"/>
      <c r="M1355" s="50"/>
      <c r="N1355" s="67"/>
    </row>
    <row r="1356" ht="15.0" customHeight="1">
      <c r="A1356" s="51"/>
      <c r="B1356" s="50"/>
      <c r="C1356" s="50"/>
      <c r="D1356" s="50"/>
      <c r="E1356" s="50"/>
      <c r="F1356" s="50"/>
      <c r="G1356" s="52"/>
      <c r="H1356" s="51"/>
      <c r="I1356" s="51"/>
      <c r="J1356" s="66"/>
      <c r="K1356" s="66"/>
      <c r="L1356" s="66"/>
      <c r="M1356" s="50"/>
      <c r="N1356" s="67"/>
    </row>
    <row r="1357" ht="15.0" customHeight="1">
      <c r="A1357" s="51"/>
      <c r="B1357" s="50"/>
      <c r="C1357" s="50"/>
      <c r="D1357" s="50"/>
      <c r="E1357" s="50"/>
      <c r="F1357" s="50"/>
      <c r="G1357" s="52"/>
      <c r="H1357" s="51"/>
      <c r="I1357" s="51"/>
      <c r="J1357" s="66"/>
      <c r="K1357" s="66"/>
      <c r="L1357" s="66"/>
      <c r="M1357" s="50"/>
      <c r="N1357" s="67"/>
    </row>
    <row r="1358" ht="15.0" customHeight="1">
      <c r="A1358" s="51"/>
      <c r="B1358" s="50"/>
      <c r="C1358" s="50"/>
      <c r="D1358" s="50"/>
      <c r="E1358" s="50"/>
      <c r="F1358" s="50"/>
      <c r="G1358" s="52"/>
      <c r="H1358" s="51"/>
      <c r="I1358" s="51"/>
      <c r="J1358" s="66"/>
      <c r="K1358" s="66"/>
      <c r="L1358" s="66"/>
      <c r="M1358" s="50"/>
      <c r="N1358" s="67"/>
    </row>
    <row r="1359" ht="15.0" customHeight="1">
      <c r="A1359" s="51"/>
      <c r="B1359" s="50"/>
      <c r="C1359" s="50"/>
      <c r="D1359" s="50"/>
      <c r="E1359" s="50"/>
      <c r="F1359" s="50"/>
      <c r="G1359" s="52"/>
      <c r="H1359" s="51"/>
      <c r="I1359" s="51"/>
      <c r="J1359" s="66"/>
      <c r="K1359" s="66"/>
      <c r="L1359" s="66"/>
      <c r="M1359" s="50"/>
      <c r="N1359" s="67"/>
    </row>
    <row r="1360" ht="15.0" customHeight="1">
      <c r="A1360" s="51"/>
      <c r="B1360" s="50"/>
      <c r="C1360" s="50"/>
      <c r="D1360" s="50"/>
      <c r="E1360" s="50"/>
      <c r="F1360" s="50"/>
      <c r="G1360" s="52"/>
      <c r="H1360" s="51"/>
      <c r="I1360" s="51"/>
      <c r="J1360" s="66"/>
      <c r="K1360" s="66"/>
      <c r="L1360" s="66"/>
      <c r="M1360" s="50"/>
      <c r="N1360" s="67"/>
    </row>
    <row r="1361" ht="15.0" customHeight="1">
      <c r="A1361" s="51"/>
      <c r="B1361" s="50"/>
      <c r="C1361" s="50"/>
      <c r="D1361" s="50"/>
      <c r="E1361" s="50"/>
      <c r="F1361" s="50"/>
      <c r="G1361" s="52"/>
      <c r="H1361" s="51"/>
      <c r="I1361" s="51"/>
      <c r="J1361" s="66"/>
      <c r="K1361" s="66"/>
      <c r="L1361" s="66"/>
      <c r="M1361" s="50"/>
      <c r="N1361" s="67"/>
    </row>
    <row r="1362" ht="15.0" customHeight="1">
      <c r="A1362" s="51"/>
      <c r="B1362" s="50"/>
      <c r="C1362" s="50"/>
      <c r="D1362" s="50"/>
      <c r="E1362" s="50"/>
      <c r="F1362" s="50"/>
      <c r="G1362" s="52"/>
      <c r="H1362" s="51"/>
      <c r="I1362" s="51"/>
      <c r="J1362" s="66"/>
      <c r="K1362" s="66"/>
      <c r="L1362" s="66"/>
      <c r="M1362" s="50"/>
      <c r="N1362" s="67"/>
    </row>
    <row r="1363" ht="15.0" customHeight="1">
      <c r="A1363" s="51"/>
      <c r="B1363" s="50"/>
      <c r="C1363" s="50"/>
      <c r="D1363" s="50"/>
      <c r="E1363" s="50"/>
      <c r="F1363" s="50"/>
      <c r="G1363" s="52"/>
      <c r="H1363" s="51"/>
      <c r="I1363" s="51"/>
      <c r="J1363" s="66"/>
      <c r="K1363" s="66"/>
      <c r="L1363" s="66"/>
      <c r="M1363" s="50"/>
      <c r="N1363" s="67"/>
    </row>
    <row r="1364" ht="15.0" customHeight="1">
      <c r="A1364" s="51"/>
      <c r="B1364" s="50"/>
      <c r="C1364" s="50"/>
      <c r="D1364" s="50"/>
      <c r="E1364" s="50"/>
      <c r="F1364" s="50"/>
      <c r="G1364" s="52"/>
      <c r="H1364" s="51"/>
      <c r="I1364" s="51"/>
      <c r="J1364" s="66"/>
      <c r="K1364" s="66"/>
      <c r="L1364" s="66"/>
      <c r="M1364" s="50"/>
      <c r="N1364" s="67"/>
    </row>
    <row r="1365" ht="15.0" customHeight="1">
      <c r="A1365" s="51"/>
      <c r="B1365" s="50"/>
      <c r="C1365" s="50"/>
      <c r="D1365" s="50"/>
      <c r="E1365" s="50"/>
      <c r="F1365" s="50"/>
      <c r="G1365" s="52"/>
      <c r="H1365" s="51"/>
      <c r="I1365" s="51"/>
      <c r="J1365" s="66"/>
      <c r="K1365" s="66"/>
      <c r="L1365" s="66"/>
      <c r="M1365" s="50"/>
      <c r="N1365" s="67"/>
    </row>
    <row r="1366" ht="15.0" customHeight="1">
      <c r="A1366" s="51"/>
      <c r="B1366" s="50"/>
      <c r="C1366" s="50"/>
      <c r="D1366" s="50"/>
      <c r="E1366" s="50"/>
      <c r="F1366" s="50"/>
      <c r="G1366" s="52"/>
      <c r="H1366" s="51"/>
      <c r="I1366" s="51"/>
      <c r="J1366" s="66"/>
      <c r="K1366" s="66"/>
      <c r="L1366" s="66"/>
      <c r="M1366" s="50"/>
      <c r="N1366" s="67"/>
    </row>
    <row r="1367" ht="15.0" customHeight="1">
      <c r="A1367" s="51"/>
      <c r="B1367" s="50"/>
      <c r="C1367" s="50"/>
      <c r="D1367" s="50"/>
      <c r="E1367" s="50"/>
      <c r="F1367" s="50"/>
      <c r="G1367" s="52"/>
      <c r="H1367" s="51"/>
      <c r="I1367" s="51"/>
      <c r="J1367" s="66"/>
      <c r="K1367" s="66"/>
      <c r="L1367" s="66"/>
      <c r="M1367" s="50"/>
      <c r="N1367" s="67"/>
    </row>
    <row r="1368" ht="15.0" customHeight="1">
      <c r="A1368" s="51"/>
      <c r="B1368" s="50"/>
      <c r="C1368" s="50"/>
      <c r="D1368" s="50"/>
      <c r="E1368" s="50"/>
      <c r="F1368" s="50"/>
      <c r="G1368" s="52"/>
      <c r="H1368" s="51"/>
      <c r="I1368" s="51"/>
      <c r="J1368" s="66"/>
      <c r="K1368" s="66"/>
      <c r="L1368" s="66"/>
      <c r="M1368" s="50"/>
      <c r="N1368" s="67"/>
    </row>
    <row r="1369" ht="15.0" customHeight="1">
      <c r="A1369" s="51"/>
      <c r="B1369" s="50"/>
      <c r="C1369" s="50"/>
      <c r="D1369" s="50"/>
      <c r="E1369" s="50"/>
      <c r="F1369" s="50"/>
      <c r="G1369" s="52"/>
      <c r="H1369" s="51"/>
      <c r="I1369" s="51"/>
      <c r="J1369" s="66"/>
      <c r="K1369" s="66"/>
      <c r="L1369" s="66"/>
      <c r="M1369" s="50"/>
      <c r="N1369" s="67"/>
    </row>
    <row r="1370" ht="15.0" customHeight="1">
      <c r="A1370" s="51"/>
      <c r="B1370" s="50"/>
      <c r="C1370" s="50"/>
      <c r="D1370" s="50"/>
      <c r="E1370" s="50"/>
      <c r="F1370" s="50"/>
      <c r="G1370" s="52"/>
      <c r="H1370" s="51"/>
      <c r="I1370" s="51"/>
      <c r="J1370" s="66"/>
      <c r="K1370" s="66"/>
      <c r="L1370" s="66"/>
      <c r="M1370" s="50"/>
      <c r="N1370" s="67"/>
    </row>
    <row r="1371" ht="15.0" customHeight="1">
      <c r="A1371" s="51"/>
      <c r="B1371" s="50"/>
      <c r="C1371" s="50"/>
      <c r="D1371" s="50"/>
      <c r="E1371" s="50"/>
      <c r="F1371" s="50"/>
      <c r="G1371" s="52"/>
      <c r="H1371" s="51"/>
      <c r="I1371" s="51"/>
      <c r="J1371" s="66"/>
      <c r="K1371" s="66"/>
      <c r="L1371" s="66"/>
      <c r="M1371" s="50"/>
      <c r="N1371" s="67"/>
    </row>
    <row r="1372" ht="15.0" customHeight="1">
      <c r="A1372" s="51"/>
      <c r="B1372" s="50"/>
      <c r="C1372" s="50"/>
      <c r="D1372" s="50"/>
      <c r="E1372" s="50"/>
      <c r="F1372" s="50"/>
      <c r="G1372" s="52"/>
      <c r="H1372" s="51"/>
      <c r="I1372" s="51"/>
      <c r="J1372" s="66"/>
      <c r="K1372" s="66"/>
      <c r="L1372" s="66"/>
      <c r="M1372" s="50"/>
      <c r="N1372" s="67"/>
    </row>
    <row r="1373" ht="15.0" customHeight="1">
      <c r="A1373" s="51"/>
      <c r="B1373" s="50"/>
      <c r="C1373" s="50"/>
      <c r="D1373" s="50"/>
      <c r="E1373" s="50"/>
      <c r="F1373" s="50"/>
      <c r="G1373" s="52"/>
      <c r="H1373" s="51"/>
      <c r="I1373" s="51"/>
      <c r="J1373" s="66"/>
      <c r="K1373" s="66"/>
      <c r="L1373" s="66"/>
      <c r="M1373" s="50"/>
      <c r="N1373" s="67"/>
    </row>
    <row r="1374" ht="15.0" customHeight="1">
      <c r="A1374" s="51"/>
      <c r="B1374" s="50"/>
      <c r="C1374" s="50"/>
      <c r="D1374" s="50"/>
      <c r="E1374" s="50"/>
      <c r="F1374" s="50"/>
      <c r="G1374" s="52"/>
      <c r="H1374" s="51"/>
      <c r="I1374" s="51"/>
      <c r="J1374" s="66"/>
      <c r="K1374" s="66"/>
      <c r="L1374" s="66"/>
      <c r="M1374" s="50"/>
      <c r="N1374" s="67"/>
    </row>
    <row r="1375" ht="15.0" customHeight="1">
      <c r="A1375" s="51"/>
      <c r="B1375" s="50"/>
      <c r="C1375" s="50"/>
      <c r="D1375" s="50"/>
      <c r="E1375" s="50"/>
      <c r="F1375" s="50"/>
      <c r="G1375" s="52"/>
      <c r="H1375" s="51"/>
      <c r="I1375" s="51"/>
      <c r="J1375" s="66"/>
      <c r="K1375" s="66"/>
      <c r="L1375" s="66"/>
      <c r="M1375" s="50"/>
      <c r="N1375" s="67"/>
    </row>
    <row r="1376" ht="15.0" customHeight="1">
      <c r="A1376" s="51"/>
      <c r="B1376" s="50"/>
      <c r="C1376" s="50"/>
      <c r="D1376" s="50"/>
      <c r="E1376" s="50"/>
      <c r="F1376" s="50"/>
      <c r="G1376" s="52"/>
      <c r="H1376" s="51"/>
      <c r="I1376" s="51"/>
      <c r="J1376" s="66"/>
      <c r="K1376" s="66"/>
      <c r="L1376" s="66"/>
      <c r="M1376" s="50"/>
      <c r="N1376" s="67"/>
    </row>
    <row r="1377" ht="15.0" customHeight="1">
      <c r="A1377" s="51"/>
      <c r="B1377" s="50"/>
      <c r="C1377" s="50"/>
      <c r="D1377" s="50"/>
      <c r="E1377" s="50"/>
      <c r="F1377" s="50"/>
      <c r="G1377" s="52"/>
      <c r="H1377" s="51"/>
      <c r="I1377" s="51"/>
      <c r="J1377" s="66"/>
      <c r="K1377" s="66"/>
      <c r="L1377" s="66"/>
      <c r="M1377" s="50"/>
      <c r="N1377" s="67"/>
    </row>
    <row r="1378" ht="15.0" customHeight="1">
      <c r="A1378" s="51"/>
      <c r="B1378" s="50"/>
      <c r="C1378" s="50"/>
      <c r="D1378" s="50"/>
      <c r="E1378" s="50"/>
      <c r="F1378" s="50"/>
      <c r="G1378" s="52"/>
      <c r="H1378" s="51"/>
      <c r="I1378" s="51"/>
      <c r="J1378" s="66"/>
      <c r="K1378" s="66"/>
      <c r="L1378" s="66"/>
      <c r="M1378" s="50"/>
      <c r="N1378" s="67"/>
    </row>
    <row r="1379" ht="15.0" customHeight="1">
      <c r="A1379" s="51"/>
      <c r="B1379" s="50"/>
      <c r="C1379" s="50"/>
      <c r="D1379" s="50"/>
      <c r="E1379" s="50"/>
      <c r="F1379" s="50"/>
      <c r="G1379" s="52"/>
      <c r="H1379" s="51"/>
      <c r="I1379" s="51"/>
      <c r="J1379" s="66"/>
      <c r="K1379" s="66"/>
      <c r="L1379" s="66"/>
      <c r="M1379" s="50"/>
      <c r="N1379" s="67"/>
    </row>
    <row r="1380" ht="15.0" customHeight="1">
      <c r="A1380" s="51"/>
      <c r="B1380" s="50"/>
      <c r="C1380" s="50"/>
      <c r="D1380" s="50"/>
      <c r="E1380" s="50"/>
      <c r="F1380" s="50"/>
      <c r="G1380" s="52"/>
      <c r="H1380" s="51"/>
      <c r="I1380" s="51"/>
      <c r="J1380" s="66"/>
      <c r="K1380" s="66"/>
      <c r="L1380" s="66"/>
      <c r="M1380" s="50"/>
      <c r="N1380" s="67"/>
    </row>
    <row r="1381" ht="15.0" customHeight="1">
      <c r="A1381" s="51"/>
      <c r="B1381" s="50"/>
      <c r="C1381" s="50"/>
      <c r="D1381" s="50"/>
      <c r="E1381" s="50"/>
      <c r="F1381" s="50"/>
      <c r="G1381" s="52"/>
      <c r="H1381" s="51"/>
      <c r="I1381" s="51"/>
      <c r="J1381" s="66"/>
      <c r="K1381" s="66"/>
      <c r="L1381" s="66"/>
      <c r="M1381" s="50"/>
      <c r="N1381" s="67"/>
    </row>
    <row r="1382" ht="15.0" customHeight="1">
      <c r="A1382" s="51"/>
      <c r="B1382" s="50"/>
      <c r="C1382" s="50"/>
      <c r="D1382" s="50"/>
      <c r="E1382" s="50"/>
      <c r="F1382" s="50"/>
      <c r="G1382" s="52"/>
      <c r="H1382" s="51"/>
      <c r="I1382" s="51"/>
      <c r="J1382" s="66"/>
      <c r="K1382" s="66"/>
      <c r="L1382" s="66"/>
      <c r="M1382" s="50"/>
      <c r="N1382" s="67"/>
    </row>
    <row r="1383" ht="15.0" customHeight="1">
      <c r="A1383" s="51"/>
      <c r="B1383" s="50"/>
      <c r="C1383" s="50"/>
      <c r="D1383" s="50"/>
      <c r="E1383" s="50"/>
      <c r="F1383" s="50"/>
      <c r="G1383" s="52"/>
      <c r="H1383" s="51"/>
      <c r="I1383" s="51"/>
      <c r="J1383" s="66"/>
      <c r="K1383" s="66"/>
      <c r="L1383" s="66"/>
      <c r="M1383" s="50"/>
      <c r="N1383" s="67"/>
    </row>
    <row r="1384" ht="15.0" customHeight="1">
      <c r="A1384" s="51"/>
      <c r="B1384" s="50"/>
      <c r="C1384" s="50"/>
      <c r="D1384" s="50"/>
      <c r="E1384" s="50"/>
      <c r="F1384" s="50"/>
      <c r="G1384" s="52"/>
      <c r="H1384" s="51"/>
      <c r="I1384" s="51"/>
      <c r="J1384" s="66"/>
      <c r="K1384" s="66"/>
      <c r="L1384" s="66"/>
      <c r="M1384" s="50"/>
      <c r="N1384" s="67"/>
    </row>
    <row r="1385" ht="15.0" customHeight="1">
      <c r="A1385" s="51"/>
      <c r="B1385" s="50"/>
      <c r="C1385" s="50"/>
      <c r="D1385" s="50"/>
      <c r="E1385" s="50"/>
      <c r="F1385" s="50"/>
      <c r="G1385" s="52"/>
      <c r="H1385" s="51"/>
      <c r="I1385" s="51"/>
      <c r="J1385" s="66"/>
      <c r="K1385" s="66"/>
      <c r="L1385" s="66"/>
      <c r="M1385" s="50"/>
      <c r="N1385" s="67"/>
    </row>
    <row r="1386" ht="15.0" customHeight="1">
      <c r="A1386" s="51"/>
      <c r="B1386" s="50"/>
      <c r="C1386" s="50"/>
      <c r="D1386" s="50"/>
      <c r="E1386" s="50"/>
      <c r="F1386" s="50"/>
      <c r="G1386" s="52"/>
      <c r="H1386" s="51"/>
      <c r="I1386" s="51"/>
      <c r="J1386" s="66"/>
      <c r="K1386" s="66"/>
      <c r="L1386" s="66"/>
      <c r="M1386" s="50"/>
      <c r="N1386" s="67"/>
    </row>
    <row r="1387" ht="15.0" customHeight="1">
      <c r="A1387" s="51"/>
      <c r="B1387" s="50"/>
      <c r="C1387" s="50"/>
      <c r="D1387" s="50"/>
      <c r="E1387" s="50"/>
      <c r="F1387" s="50"/>
      <c r="G1387" s="52"/>
      <c r="H1387" s="51"/>
      <c r="I1387" s="51"/>
      <c r="J1387" s="66"/>
      <c r="K1387" s="66"/>
      <c r="L1387" s="66"/>
      <c r="M1387" s="50"/>
      <c r="N1387" s="67"/>
    </row>
    <row r="1388" ht="15.0" customHeight="1">
      <c r="A1388" s="51"/>
      <c r="B1388" s="50"/>
      <c r="C1388" s="50"/>
      <c r="D1388" s="50"/>
      <c r="E1388" s="50"/>
      <c r="F1388" s="50"/>
      <c r="G1388" s="52"/>
      <c r="H1388" s="51"/>
      <c r="I1388" s="51"/>
      <c r="J1388" s="66"/>
      <c r="K1388" s="66"/>
      <c r="L1388" s="66"/>
      <c r="M1388" s="50"/>
      <c r="N1388" s="67"/>
    </row>
    <row r="1389" ht="15.0" customHeight="1">
      <c r="A1389" s="51"/>
      <c r="B1389" s="50"/>
      <c r="C1389" s="50"/>
      <c r="D1389" s="50"/>
      <c r="E1389" s="50"/>
      <c r="F1389" s="50"/>
      <c r="G1389" s="52"/>
      <c r="H1389" s="51"/>
      <c r="I1389" s="51"/>
      <c r="J1389" s="66"/>
      <c r="K1389" s="66"/>
      <c r="L1389" s="66"/>
      <c r="M1389" s="50"/>
      <c r="N1389" s="67"/>
    </row>
    <row r="1390" ht="15.0" customHeight="1">
      <c r="A1390" s="51"/>
      <c r="B1390" s="50"/>
      <c r="C1390" s="50"/>
      <c r="D1390" s="50"/>
      <c r="E1390" s="50"/>
      <c r="F1390" s="50"/>
      <c r="G1390" s="52"/>
      <c r="H1390" s="51"/>
      <c r="I1390" s="51"/>
      <c r="J1390" s="66"/>
      <c r="K1390" s="66"/>
      <c r="L1390" s="66"/>
      <c r="M1390" s="50"/>
      <c r="N1390" s="67"/>
    </row>
    <row r="1391" ht="15.0" customHeight="1">
      <c r="A1391" s="51"/>
      <c r="B1391" s="50"/>
      <c r="C1391" s="50"/>
      <c r="D1391" s="50"/>
      <c r="E1391" s="50"/>
      <c r="F1391" s="50"/>
      <c r="G1391" s="52"/>
      <c r="H1391" s="51"/>
      <c r="I1391" s="51"/>
      <c r="J1391" s="66"/>
      <c r="K1391" s="66"/>
      <c r="L1391" s="66"/>
      <c r="M1391" s="50"/>
      <c r="N1391" s="67"/>
    </row>
    <row r="1392" ht="15.0" customHeight="1">
      <c r="A1392" s="51"/>
      <c r="B1392" s="50"/>
      <c r="C1392" s="50"/>
      <c r="D1392" s="50"/>
      <c r="E1392" s="50"/>
      <c r="F1392" s="50"/>
      <c r="G1392" s="52"/>
      <c r="H1392" s="51"/>
      <c r="I1392" s="51"/>
      <c r="J1392" s="66"/>
      <c r="K1392" s="66"/>
      <c r="L1392" s="66"/>
      <c r="M1392" s="50"/>
      <c r="N1392" s="67"/>
    </row>
    <row r="1393" ht="15.0" customHeight="1">
      <c r="A1393" s="51"/>
      <c r="B1393" s="50"/>
      <c r="C1393" s="50"/>
      <c r="D1393" s="50"/>
      <c r="E1393" s="50"/>
      <c r="F1393" s="50"/>
      <c r="G1393" s="52"/>
      <c r="H1393" s="51"/>
      <c r="I1393" s="51"/>
      <c r="J1393" s="66"/>
      <c r="K1393" s="66"/>
      <c r="L1393" s="66"/>
      <c r="M1393" s="50"/>
      <c r="N1393" s="67"/>
    </row>
    <row r="1394" ht="15.0" customHeight="1">
      <c r="A1394" s="51"/>
      <c r="B1394" s="50"/>
      <c r="C1394" s="50"/>
      <c r="D1394" s="50"/>
      <c r="E1394" s="50"/>
      <c r="F1394" s="50"/>
      <c r="G1394" s="52"/>
      <c r="H1394" s="51"/>
      <c r="I1394" s="51"/>
      <c r="J1394" s="66"/>
      <c r="K1394" s="66"/>
      <c r="L1394" s="66"/>
      <c r="M1394" s="50"/>
      <c r="N1394" s="67"/>
    </row>
    <row r="1395" ht="15.0" customHeight="1">
      <c r="A1395" s="51"/>
      <c r="B1395" s="50"/>
      <c r="C1395" s="50"/>
      <c r="D1395" s="50"/>
      <c r="E1395" s="50"/>
      <c r="F1395" s="50"/>
      <c r="G1395" s="52"/>
      <c r="H1395" s="51"/>
      <c r="I1395" s="51"/>
      <c r="J1395" s="66"/>
      <c r="K1395" s="66"/>
      <c r="L1395" s="66"/>
      <c r="M1395" s="50"/>
      <c r="N1395" s="67"/>
    </row>
    <row r="1396" ht="15.0" customHeight="1">
      <c r="A1396" s="51"/>
      <c r="B1396" s="50"/>
      <c r="C1396" s="50"/>
      <c r="D1396" s="50"/>
      <c r="E1396" s="50"/>
      <c r="F1396" s="50"/>
      <c r="G1396" s="52"/>
      <c r="H1396" s="51"/>
      <c r="I1396" s="51"/>
      <c r="J1396" s="66"/>
      <c r="K1396" s="66"/>
      <c r="L1396" s="66"/>
      <c r="M1396" s="50"/>
      <c r="N1396" s="67"/>
    </row>
    <row r="1397" ht="15.0" customHeight="1">
      <c r="A1397" s="51"/>
      <c r="B1397" s="50"/>
      <c r="C1397" s="50"/>
      <c r="D1397" s="50"/>
      <c r="E1397" s="50"/>
      <c r="F1397" s="50"/>
      <c r="G1397" s="52"/>
      <c r="H1397" s="51"/>
      <c r="I1397" s="51"/>
      <c r="J1397" s="66"/>
      <c r="K1397" s="66"/>
      <c r="L1397" s="66"/>
      <c r="M1397" s="50"/>
      <c r="N1397" s="67"/>
    </row>
    <row r="1398" ht="15.0" customHeight="1">
      <c r="A1398" s="51"/>
      <c r="B1398" s="50"/>
      <c r="C1398" s="50"/>
      <c r="D1398" s="50"/>
      <c r="E1398" s="50"/>
      <c r="F1398" s="50"/>
      <c r="G1398" s="52"/>
      <c r="H1398" s="51"/>
      <c r="I1398" s="51"/>
      <c r="J1398" s="66"/>
      <c r="K1398" s="66"/>
      <c r="L1398" s="66"/>
      <c r="M1398" s="50"/>
      <c r="N1398" s="67"/>
    </row>
    <row r="1399" ht="15.0" customHeight="1">
      <c r="A1399" s="51"/>
      <c r="B1399" s="50"/>
      <c r="C1399" s="50"/>
      <c r="D1399" s="50"/>
      <c r="E1399" s="50"/>
      <c r="F1399" s="50"/>
      <c r="G1399" s="52"/>
      <c r="H1399" s="51"/>
      <c r="I1399" s="51"/>
      <c r="J1399" s="66"/>
      <c r="K1399" s="66"/>
      <c r="L1399" s="66"/>
      <c r="M1399" s="50"/>
      <c r="N1399" s="67"/>
    </row>
    <row r="1400" ht="15.0" customHeight="1">
      <c r="A1400" s="51"/>
      <c r="B1400" s="50"/>
      <c r="C1400" s="50"/>
      <c r="D1400" s="50"/>
      <c r="E1400" s="50"/>
      <c r="F1400" s="50"/>
      <c r="G1400" s="52"/>
      <c r="H1400" s="51"/>
      <c r="I1400" s="51"/>
      <c r="J1400" s="66"/>
      <c r="K1400" s="66"/>
      <c r="L1400" s="66"/>
      <c r="M1400" s="50"/>
      <c r="N1400" s="67"/>
    </row>
    <row r="1401" ht="15.0" customHeight="1">
      <c r="A1401" s="51"/>
      <c r="B1401" s="50"/>
      <c r="C1401" s="50"/>
      <c r="D1401" s="50"/>
      <c r="E1401" s="50"/>
      <c r="F1401" s="50"/>
      <c r="G1401" s="52"/>
      <c r="H1401" s="51"/>
      <c r="I1401" s="51"/>
      <c r="J1401" s="66"/>
      <c r="K1401" s="66"/>
      <c r="L1401" s="66"/>
      <c r="M1401" s="50"/>
      <c r="N1401" s="67"/>
    </row>
    <row r="1402" ht="15.0" customHeight="1">
      <c r="A1402" s="51"/>
      <c r="B1402" s="50"/>
      <c r="C1402" s="50"/>
      <c r="D1402" s="50"/>
      <c r="E1402" s="50"/>
      <c r="F1402" s="50"/>
      <c r="G1402" s="52"/>
      <c r="H1402" s="51"/>
      <c r="I1402" s="51"/>
      <c r="J1402" s="66"/>
      <c r="K1402" s="66"/>
      <c r="L1402" s="66"/>
      <c r="M1402" s="50"/>
      <c r="N1402" s="67"/>
    </row>
    <row r="1403" ht="15.0" customHeight="1">
      <c r="A1403" s="51"/>
      <c r="B1403" s="50"/>
      <c r="C1403" s="50"/>
      <c r="D1403" s="50"/>
      <c r="E1403" s="50"/>
      <c r="F1403" s="50"/>
      <c r="G1403" s="52"/>
      <c r="H1403" s="51"/>
      <c r="I1403" s="51"/>
      <c r="J1403" s="66"/>
      <c r="K1403" s="66"/>
      <c r="L1403" s="66"/>
      <c r="M1403" s="50"/>
      <c r="N1403" s="67"/>
    </row>
    <row r="1404" ht="15.0" customHeight="1">
      <c r="A1404" s="51"/>
      <c r="B1404" s="50"/>
      <c r="C1404" s="50"/>
      <c r="D1404" s="50"/>
      <c r="E1404" s="50"/>
      <c r="F1404" s="50"/>
      <c r="G1404" s="52"/>
      <c r="H1404" s="51"/>
      <c r="I1404" s="51"/>
      <c r="J1404" s="66"/>
      <c r="K1404" s="66"/>
      <c r="L1404" s="66"/>
      <c r="M1404" s="50"/>
      <c r="N1404" s="67"/>
    </row>
    <row r="1405" ht="15.0" customHeight="1">
      <c r="A1405" s="51"/>
      <c r="B1405" s="50"/>
      <c r="C1405" s="50"/>
      <c r="D1405" s="50"/>
      <c r="E1405" s="50"/>
      <c r="F1405" s="50"/>
      <c r="G1405" s="52"/>
      <c r="H1405" s="51"/>
      <c r="I1405" s="51"/>
      <c r="J1405" s="66"/>
      <c r="K1405" s="66"/>
      <c r="L1405" s="66"/>
      <c r="M1405" s="50"/>
      <c r="N1405" s="67"/>
    </row>
    <row r="1406" ht="15.0" customHeight="1">
      <c r="A1406" s="51"/>
      <c r="B1406" s="50"/>
      <c r="C1406" s="50"/>
      <c r="D1406" s="50"/>
      <c r="E1406" s="50"/>
      <c r="F1406" s="50"/>
      <c r="G1406" s="52"/>
      <c r="H1406" s="51"/>
      <c r="I1406" s="51"/>
      <c r="J1406" s="66"/>
      <c r="K1406" s="66"/>
      <c r="L1406" s="66"/>
      <c r="M1406" s="50"/>
      <c r="N1406" s="67"/>
    </row>
    <row r="1407" ht="15.0" customHeight="1">
      <c r="A1407" s="51"/>
      <c r="B1407" s="50"/>
      <c r="C1407" s="50"/>
      <c r="D1407" s="50"/>
      <c r="E1407" s="50"/>
      <c r="F1407" s="50"/>
      <c r="G1407" s="52"/>
      <c r="H1407" s="51"/>
      <c r="I1407" s="51"/>
      <c r="J1407" s="66"/>
      <c r="K1407" s="66"/>
      <c r="L1407" s="66"/>
      <c r="M1407" s="50"/>
      <c r="N1407" s="67"/>
    </row>
    <row r="1408" ht="15.0" customHeight="1">
      <c r="A1408" s="51"/>
      <c r="B1408" s="50"/>
      <c r="C1408" s="50"/>
      <c r="D1408" s="50"/>
      <c r="E1408" s="50"/>
      <c r="F1408" s="50"/>
      <c r="G1408" s="52"/>
      <c r="H1408" s="51"/>
      <c r="I1408" s="51"/>
      <c r="J1408" s="66"/>
      <c r="K1408" s="66"/>
      <c r="L1408" s="66"/>
      <c r="M1408" s="50"/>
      <c r="N1408" s="67"/>
    </row>
    <row r="1409" ht="15.0" customHeight="1">
      <c r="A1409" s="51"/>
      <c r="B1409" s="50"/>
      <c r="C1409" s="50"/>
      <c r="D1409" s="50"/>
      <c r="E1409" s="50"/>
      <c r="F1409" s="50"/>
      <c r="G1409" s="52"/>
      <c r="H1409" s="51"/>
      <c r="I1409" s="51"/>
      <c r="J1409" s="66"/>
      <c r="K1409" s="66"/>
      <c r="L1409" s="66"/>
      <c r="M1409" s="50"/>
      <c r="N1409" s="67"/>
    </row>
    <row r="1410" ht="15.0" customHeight="1">
      <c r="A1410" s="51"/>
      <c r="B1410" s="50"/>
      <c r="C1410" s="50"/>
      <c r="D1410" s="50"/>
      <c r="E1410" s="50"/>
      <c r="F1410" s="50"/>
      <c r="G1410" s="52"/>
      <c r="H1410" s="51"/>
      <c r="I1410" s="51"/>
      <c r="J1410" s="66"/>
      <c r="K1410" s="66"/>
      <c r="L1410" s="66"/>
      <c r="M1410" s="50"/>
      <c r="N1410" s="67"/>
    </row>
    <row r="1411" ht="15.0" customHeight="1">
      <c r="A1411" s="51"/>
      <c r="B1411" s="50"/>
      <c r="C1411" s="50"/>
      <c r="D1411" s="50"/>
      <c r="E1411" s="50"/>
      <c r="F1411" s="50"/>
      <c r="G1411" s="52"/>
      <c r="H1411" s="51"/>
      <c r="I1411" s="51"/>
      <c r="J1411" s="66"/>
      <c r="K1411" s="66"/>
      <c r="L1411" s="66"/>
      <c r="M1411" s="50"/>
      <c r="N1411" s="67"/>
    </row>
    <row r="1412" ht="15.0" customHeight="1">
      <c r="A1412" s="51"/>
      <c r="B1412" s="50"/>
      <c r="C1412" s="50"/>
      <c r="D1412" s="50"/>
      <c r="E1412" s="50"/>
      <c r="F1412" s="50"/>
      <c r="G1412" s="52"/>
      <c r="H1412" s="51"/>
      <c r="I1412" s="51"/>
      <c r="J1412" s="66"/>
      <c r="K1412" s="66"/>
      <c r="L1412" s="66"/>
      <c r="M1412" s="50"/>
      <c r="N1412" s="67"/>
    </row>
    <row r="1413" ht="15.0" customHeight="1">
      <c r="A1413" s="51"/>
      <c r="B1413" s="50"/>
      <c r="C1413" s="50"/>
      <c r="D1413" s="50"/>
      <c r="E1413" s="50"/>
      <c r="F1413" s="50"/>
      <c r="G1413" s="52"/>
      <c r="H1413" s="51"/>
      <c r="I1413" s="51"/>
      <c r="J1413" s="66"/>
      <c r="K1413" s="66"/>
      <c r="L1413" s="66"/>
      <c r="M1413" s="50"/>
      <c r="N1413" s="67"/>
    </row>
    <row r="1414" ht="15.0" customHeight="1">
      <c r="A1414" s="51"/>
      <c r="B1414" s="50"/>
      <c r="C1414" s="50"/>
      <c r="D1414" s="50"/>
      <c r="E1414" s="50"/>
      <c r="F1414" s="50"/>
      <c r="G1414" s="52"/>
      <c r="H1414" s="51"/>
      <c r="I1414" s="51"/>
      <c r="J1414" s="66"/>
      <c r="K1414" s="66"/>
      <c r="L1414" s="66"/>
      <c r="M1414" s="50"/>
      <c r="N1414" s="67"/>
    </row>
    <row r="1415" ht="15.0" customHeight="1">
      <c r="A1415" s="51"/>
      <c r="B1415" s="50"/>
      <c r="C1415" s="50"/>
      <c r="D1415" s="50"/>
      <c r="E1415" s="50"/>
      <c r="F1415" s="50"/>
      <c r="G1415" s="52"/>
      <c r="H1415" s="51"/>
      <c r="I1415" s="51"/>
      <c r="J1415" s="66"/>
      <c r="K1415" s="66"/>
      <c r="L1415" s="66"/>
      <c r="M1415" s="50"/>
      <c r="N1415" s="67"/>
    </row>
    <row r="1416" ht="15.0" customHeight="1">
      <c r="A1416" s="51"/>
      <c r="B1416" s="50"/>
      <c r="C1416" s="50"/>
      <c r="D1416" s="50"/>
      <c r="E1416" s="50"/>
      <c r="F1416" s="50"/>
      <c r="G1416" s="52"/>
      <c r="H1416" s="51"/>
      <c r="I1416" s="51"/>
      <c r="J1416" s="66"/>
      <c r="K1416" s="66"/>
      <c r="L1416" s="66"/>
      <c r="M1416" s="50"/>
      <c r="N1416" s="67"/>
    </row>
    <row r="1417" ht="15.0" customHeight="1">
      <c r="A1417" s="51"/>
      <c r="B1417" s="50"/>
      <c r="C1417" s="50"/>
      <c r="D1417" s="50"/>
      <c r="E1417" s="50"/>
      <c r="F1417" s="50"/>
      <c r="G1417" s="52"/>
      <c r="H1417" s="51"/>
      <c r="I1417" s="51"/>
      <c r="J1417" s="66"/>
      <c r="K1417" s="66"/>
      <c r="L1417" s="66"/>
      <c r="M1417" s="50"/>
      <c r="N1417" s="67"/>
    </row>
    <row r="1418" ht="15.0" customHeight="1">
      <c r="A1418" s="51"/>
      <c r="B1418" s="50"/>
      <c r="C1418" s="50"/>
      <c r="D1418" s="50"/>
      <c r="E1418" s="50"/>
      <c r="F1418" s="50"/>
      <c r="G1418" s="52"/>
      <c r="H1418" s="51"/>
      <c r="I1418" s="51"/>
      <c r="J1418" s="66"/>
      <c r="K1418" s="66"/>
      <c r="L1418" s="66"/>
      <c r="M1418" s="50"/>
      <c r="N1418" s="67"/>
    </row>
    <row r="1419" ht="15.0" customHeight="1">
      <c r="A1419" s="51"/>
      <c r="B1419" s="50"/>
      <c r="C1419" s="50"/>
      <c r="D1419" s="50"/>
      <c r="E1419" s="50"/>
      <c r="F1419" s="50"/>
      <c r="G1419" s="52"/>
      <c r="H1419" s="51"/>
      <c r="I1419" s="51"/>
      <c r="J1419" s="66"/>
      <c r="K1419" s="66"/>
      <c r="L1419" s="66"/>
      <c r="M1419" s="50"/>
      <c r="N1419" s="67"/>
    </row>
    <row r="1420" ht="15.0" customHeight="1">
      <c r="A1420" s="51"/>
      <c r="B1420" s="50"/>
      <c r="C1420" s="50"/>
      <c r="D1420" s="50"/>
      <c r="E1420" s="50"/>
      <c r="F1420" s="50"/>
      <c r="G1420" s="52"/>
      <c r="H1420" s="51"/>
      <c r="I1420" s="51"/>
      <c r="J1420" s="66"/>
      <c r="K1420" s="66"/>
      <c r="L1420" s="66"/>
      <c r="M1420" s="50"/>
      <c r="N1420" s="67"/>
    </row>
    <row r="1421" ht="15.0" customHeight="1">
      <c r="A1421" s="51"/>
      <c r="B1421" s="50"/>
      <c r="C1421" s="50"/>
      <c r="D1421" s="50"/>
      <c r="E1421" s="50"/>
      <c r="F1421" s="50"/>
      <c r="G1421" s="52"/>
      <c r="H1421" s="51"/>
      <c r="I1421" s="51"/>
      <c r="J1421" s="66"/>
      <c r="K1421" s="66"/>
      <c r="L1421" s="66"/>
      <c r="M1421" s="50"/>
      <c r="N1421" s="67"/>
    </row>
    <row r="1422" ht="15.0" customHeight="1">
      <c r="A1422" s="51"/>
      <c r="B1422" s="50"/>
      <c r="C1422" s="50"/>
      <c r="D1422" s="50"/>
      <c r="E1422" s="50"/>
      <c r="F1422" s="50"/>
      <c r="G1422" s="52"/>
      <c r="H1422" s="51"/>
      <c r="I1422" s="51"/>
      <c r="J1422" s="66"/>
      <c r="K1422" s="66"/>
      <c r="L1422" s="66"/>
      <c r="M1422" s="50"/>
      <c r="N1422" s="67"/>
    </row>
    <row r="1423" ht="15.0" customHeight="1">
      <c r="A1423" s="51"/>
      <c r="B1423" s="50"/>
      <c r="C1423" s="50"/>
      <c r="D1423" s="50"/>
      <c r="E1423" s="50"/>
      <c r="F1423" s="50"/>
      <c r="G1423" s="52"/>
      <c r="H1423" s="51"/>
      <c r="I1423" s="51"/>
      <c r="J1423" s="66"/>
      <c r="K1423" s="66"/>
      <c r="L1423" s="66"/>
      <c r="M1423" s="50"/>
      <c r="N1423" s="67"/>
    </row>
    <row r="1424" ht="15.0" customHeight="1">
      <c r="A1424" s="51"/>
      <c r="B1424" s="50"/>
      <c r="C1424" s="50"/>
      <c r="D1424" s="50"/>
      <c r="E1424" s="50"/>
      <c r="F1424" s="50"/>
      <c r="G1424" s="52"/>
      <c r="H1424" s="51"/>
      <c r="I1424" s="51"/>
      <c r="J1424" s="66"/>
      <c r="K1424" s="66"/>
      <c r="L1424" s="66"/>
      <c r="M1424" s="50"/>
      <c r="N1424" s="67"/>
    </row>
    <row r="1425" ht="15.0" customHeight="1">
      <c r="A1425" s="51"/>
      <c r="B1425" s="50"/>
      <c r="C1425" s="50"/>
      <c r="D1425" s="50"/>
      <c r="E1425" s="50"/>
      <c r="F1425" s="50"/>
      <c r="G1425" s="52"/>
      <c r="H1425" s="51"/>
      <c r="I1425" s="51"/>
      <c r="J1425" s="66"/>
      <c r="K1425" s="66"/>
      <c r="L1425" s="66"/>
      <c r="M1425" s="50"/>
      <c r="N1425" s="67"/>
    </row>
    <row r="1426" ht="15.0" customHeight="1">
      <c r="A1426" s="51"/>
      <c r="B1426" s="50"/>
      <c r="C1426" s="50"/>
      <c r="D1426" s="50"/>
      <c r="E1426" s="50"/>
      <c r="F1426" s="50"/>
      <c r="G1426" s="52"/>
      <c r="H1426" s="51"/>
      <c r="I1426" s="51"/>
      <c r="J1426" s="66"/>
      <c r="K1426" s="66"/>
      <c r="L1426" s="66"/>
      <c r="M1426" s="50"/>
      <c r="N1426" s="67"/>
    </row>
    <row r="1427" ht="15.0" customHeight="1">
      <c r="A1427" s="51"/>
      <c r="B1427" s="50"/>
      <c r="C1427" s="50"/>
      <c r="D1427" s="50"/>
      <c r="E1427" s="50"/>
      <c r="F1427" s="50"/>
      <c r="G1427" s="52"/>
      <c r="H1427" s="51"/>
      <c r="I1427" s="51"/>
      <c r="J1427" s="66"/>
      <c r="K1427" s="66"/>
      <c r="L1427" s="66"/>
      <c r="M1427" s="50"/>
      <c r="N1427" s="67"/>
    </row>
    <row r="1428" ht="15.0" customHeight="1">
      <c r="A1428" s="51"/>
      <c r="B1428" s="50"/>
      <c r="C1428" s="50"/>
      <c r="D1428" s="50"/>
      <c r="E1428" s="50"/>
      <c r="F1428" s="50"/>
      <c r="G1428" s="52"/>
      <c r="H1428" s="51"/>
      <c r="I1428" s="51"/>
      <c r="J1428" s="66"/>
      <c r="K1428" s="66"/>
      <c r="L1428" s="66"/>
      <c r="M1428" s="50"/>
      <c r="N1428" s="67"/>
    </row>
    <row r="1429" ht="15.0" customHeight="1">
      <c r="A1429" s="51"/>
      <c r="B1429" s="50"/>
      <c r="C1429" s="50"/>
      <c r="D1429" s="50"/>
      <c r="E1429" s="50"/>
      <c r="F1429" s="50"/>
      <c r="G1429" s="52"/>
      <c r="H1429" s="51"/>
      <c r="I1429" s="51"/>
      <c r="J1429" s="66"/>
      <c r="K1429" s="66"/>
      <c r="L1429" s="66"/>
      <c r="M1429" s="50"/>
      <c r="N1429" s="67"/>
    </row>
    <row r="1430" ht="15.0" customHeight="1">
      <c r="A1430" s="51"/>
      <c r="B1430" s="50"/>
      <c r="C1430" s="50"/>
      <c r="D1430" s="50"/>
      <c r="E1430" s="50"/>
      <c r="F1430" s="50"/>
      <c r="G1430" s="52"/>
      <c r="H1430" s="51"/>
      <c r="I1430" s="51"/>
      <c r="J1430" s="66"/>
      <c r="K1430" s="66"/>
      <c r="L1430" s="66"/>
      <c r="M1430" s="50"/>
      <c r="N1430" s="67"/>
    </row>
    <row r="1431" ht="15.0" customHeight="1">
      <c r="A1431" s="51"/>
      <c r="B1431" s="50"/>
      <c r="C1431" s="50"/>
      <c r="D1431" s="50"/>
      <c r="E1431" s="50"/>
      <c r="F1431" s="50"/>
      <c r="G1431" s="52"/>
      <c r="H1431" s="51"/>
      <c r="I1431" s="51"/>
      <c r="J1431" s="66"/>
      <c r="K1431" s="66"/>
      <c r="L1431" s="66"/>
      <c r="M1431" s="50"/>
      <c r="N1431" s="67"/>
    </row>
    <row r="1432" ht="15.0" customHeight="1">
      <c r="A1432" s="51"/>
      <c r="B1432" s="50"/>
      <c r="C1432" s="50"/>
      <c r="D1432" s="50"/>
      <c r="E1432" s="50"/>
      <c r="F1432" s="50"/>
      <c r="G1432" s="52"/>
      <c r="H1432" s="51"/>
      <c r="I1432" s="51"/>
      <c r="J1432" s="66"/>
      <c r="K1432" s="66"/>
      <c r="L1432" s="66"/>
      <c r="M1432" s="50"/>
      <c r="N1432" s="67"/>
    </row>
    <row r="1433" ht="15.0" customHeight="1">
      <c r="A1433" s="51"/>
      <c r="B1433" s="50"/>
      <c r="C1433" s="50"/>
      <c r="D1433" s="50"/>
      <c r="E1433" s="50"/>
      <c r="F1433" s="50"/>
      <c r="G1433" s="52"/>
      <c r="H1433" s="51"/>
      <c r="I1433" s="51"/>
      <c r="J1433" s="66"/>
      <c r="K1433" s="66"/>
      <c r="L1433" s="66"/>
      <c r="M1433" s="50"/>
      <c r="N1433" s="67"/>
    </row>
    <row r="1434" ht="15.0" customHeight="1">
      <c r="A1434" s="51"/>
      <c r="B1434" s="50"/>
      <c r="C1434" s="50"/>
      <c r="D1434" s="50"/>
      <c r="E1434" s="50"/>
      <c r="F1434" s="50"/>
      <c r="G1434" s="52"/>
      <c r="H1434" s="51"/>
      <c r="I1434" s="51"/>
      <c r="J1434" s="66"/>
      <c r="K1434" s="66"/>
      <c r="L1434" s="66"/>
      <c r="M1434" s="50"/>
      <c r="N1434" s="67"/>
    </row>
    <row r="1435" ht="15.0" customHeight="1">
      <c r="A1435" s="51"/>
      <c r="B1435" s="50"/>
      <c r="C1435" s="50"/>
      <c r="D1435" s="50"/>
      <c r="E1435" s="50"/>
      <c r="F1435" s="50"/>
      <c r="G1435" s="52"/>
      <c r="H1435" s="51"/>
      <c r="I1435" s="51"/>
      <c r="J1435" s="66"/>
      <c r="K1435" s="66"/>
      <c r="L1435" s="66"/>
      <c r="M1435" s="50"/>
      <c r="N1435" s="67"/>
    </row>
    <row r="1436" ht="15.0" customHeight="1">
      <c r="A1436" s="51"/>
      <c r="B1436" s="50"/>
      <c r="C1436" s="50"/>
      <c r="D1436" s="50"/>
      <c r="E1436" s="50"/>
      <c r="F1436" s="50"/>
      <c r="G1436" s="52"/>
      <c r="H1436" s="51"/>
      <c r="I1436" s="51"/>
      <c r="J1436" s="66"/>
      <c r="K1436" s="66"/>
      <c r="L1436" s="66"/>
      <c r="M1436" s="50"/>
      <c r="N1436" s="67"/>
    </row>
    <row r="1437" ht="15.0" customHeight="1">
      <c r="A1437" s="51"/>
      <c r="B1437" s="50"/>
      <c r="C1437" s="50"/>
      <c r="D1437" s="50"/>
      <c r="E1437" s="50"/>
      <c r="F1437" s="50"/>
      <c r="G1437" s="52"/>
      <c r="H1437" s="51"/>
      <c r="I1437" s="51"/>
      <c r="J1437" s="66"/>
      <c r="K1437" s="66"/>
      <c r="L1437" s="66"/>
      <c r="M1437" s="50"/>
      <c r="N1437" s="67"/>
    </row>
    <row r="1438" ht="15.0" customHeight="1">
      <c r="A1438" s="51"/>
      <c r="B1438" s="50"/>
      <c r="C1438" s="50"/>
      <c r="D1438" s="50"/>
      <c r="E1438" s="50"/>
      <c r="F1438" s="50"/>
      <c r="G1438" s="52"/>
      <c r="H1438" s="51"/>
      <c r="I1438" s="51"/>
      <c r="J1438" s="66"/>
      <c r="K1438" s="66"/>
      <c r="L1438" s="66"/>
      <c r="M1438" s="50"/>
      <c r="N1438" s="67"/>
    </row>
    <row r="1439" ht="15.0" customHeight="1">
      <c r="A1439" s="51"/>
      <c r="B1439" s="50"/>
      <c r="C1439" s="50"/>
      <c r="D1439" s="50"/>
      <c r="E1439" s="50"/>
      <c r="F1439" s="50"/>
      <c r="G1439" s="52"/>
      <c r="H1439" s="51"/>
      <c r="I1439" s="51"/>
      <c r="J1439" s="66"/>
      <c r="K1439" s="66"/>
      <c r="L1439" s="66"/>
      <c r="M1439" s="50"/>
      <c r="N1439" s="67"/>
    </row>
    <row r="1440" ht="15.0" customHeight="1">
      <c r="A1440" s="51"/>
      <c r="B1440" s="50"/>
      <c r="C1440" s="50"/>
      <c r="D1440" s="50"/>
      <c r="E1440" s="50"/>
      <c r="F1440" s="50"/>
      <c r="G1440" s="52"/>
      <c r="H1440" s="51"/>
      <c r="I1440" s="51"/>
      <c r="J1440" s="66"/>
      <c r="K1440" s="66"/>
      <c r="L1440" s="66"/>
      <c r="M1440" s="50"/>
      <c r="N1440" s="67"/>
    </row>
    <row r="1441" ht="15.0" customHeight="1">
      <c r="A1441" s="51"/>
      <c r="B1441" s="50"/>
      <c r="C1441" s="50"/>
      <c r="D1441" s="50"/>
      <c r="E1441" s="50"/>
      <c r="F1441" s="50"/>
      <c r="G1441" s="52"/>
      <c r="H1441" s="51"/>
      <c r="I1441" s="51"/>
      <c r="J1441" s="66"/>
      <c r="K1441" s="66"/>
      <c r="L1441" s="66"/>
      <c r="M1441" s="50"/>
      <c r="N1441" s="67"/>
    </row>
    <row r="1442" ht="15.0" customHeight="1">
      <c r="A1442" s="51"/>
      <c r="B1442" s="50"/>
      <c r="C1442" s="50"/>
      <c r="D1442" s="50"/>
      <c r="E1442" s="50"/>
      <c r="F1442" s="50"/>
      <c r="G1442" s="52"/>
      <c r="H1442" s="51"/>
      <c r="I1442" s="51"/>
      <c r="J1442" s="66"/>
      <c r="K1442" s="66"/>
      <c r="L1442" s="66"/>
      <c r="M1442" s="50"/>
      <c r="N1442" s="67"/>
    </row>
    <row r="1443" ht="15.0" customHeight="1">
      <c r="A1443" s="51"/>
      <c r="B1443" s="50"/>
      <c r="C1443" s="50"/>
      <c r="D1443" s="50"/>
      <c r="E1443" s="50"/>
      <c r="F1443" s="50"/>
      <c r="G1443" s="52"/>
      <c r="H1443" s="51"/>
      <c r="I1443" s="51"/>
      <c r="J1443" s="66"/>
      <c r="K1443" s="66"/>
      <c r="L1443" s="66"/>
      <c r="M1443" s="50"/>
      <c r="N1443" s="67"/>
    </row>
    <row r="1444" ht="15.0" customHeight="1">
      <c r="A1444" s="51"/>
      <c r="B1444" s="50"/>
      <c r="C1444" s="50"/>
      <c r="D1444" s="50"/>
      <c r="E1444" s="50"/>
      <c r="F1444" s="50"/>
      <c r="G1444" s="52"/>
      <c r="H1444" s="51"/>
      <c r="I1444" s="51"/>
      <c r="J1444" s="66"/>
      <c r="K1444" s="66"/>
      <c r="L1444" s="66"/>
      <c r="M1444" s="50"/>
      <c r="N1444" s="67"/>
    </row>
    <row r="1445" ht="15.0" customHeight="1">
      <c r="A1445" s="51"/>
      <c r="B1445" s="50"/>
      <c r="C1445" s="50"/>
      <c r="D1445" s="50"/>
      <c r="E1445" s="50"/>
      <c r="F1445" s="50"/>
      <c r="G1445" s="52"/>
      <c r="H1445" s="51"/>
      <c r="I1445" s="51"/>
      <c r="J1445" s="66"/>
      <c r="K1445" s="66"/>
      <c r="L1445" s="66"/>
      <c r="M1445" s="50"/>
      <c r="N1445" s="67"/>
    </row>
    <row r="1446" ht="15.0" customHeight="1">
      <c r="A1446" s="51"/>
      <c r="B1446" s="50"/>
      <c r="C1446" s="50"/>
      <c r="D1446" s="50"/>
      <c r="E1446" s="50"/>
      <c r="F1446" s="50"/>
      <c r="G1446" s="52"/>
      <c r="H1446" s="51"/>
      <c r="I1446" s="51"/>
      <c r="J1446" s="66"/>
      <c r="K1446" s="66"/>
      <c r="L1446" s="66"/>
      <c r="M1446" s="50"/>
      <c r="N1446" s="67"/>
    </row>
    <row r="1447" ht="15.0" customHeight="1">
      <c r="A1447" s="51"/>
      <c r="B1447" s="50"/>
      <c r="C1447" s="50"/>
      <c r="D1447" s="50"/>
      <c r="E1447" s="50"/>
      <c r="F1447" s="50"/>
      <c r="G1447" s="52"/>
      <c r="H1447" s="51"/>
      <c r="I1447" s="51"/>
      <c r="J1447" s="66"/>
      <c r="K1447" s="66"/>
      <c r="L1447" s="66"/>
      <c r="M1447" s="50"/>
      <c r="N1447" s="67"/>
    </row>
    <row r="1448" ht="15.0" customHeight="1">
      <c r="A1448" s="51"/>
      <c r="B1448" s="50"/>
      <c r="C1448" s="50"/>
      <c r="D1448" s="50"/>
      <c r="E1448" s="50"/>
      <c r="F1448" s="50"/>
      <c r="G1448" s="52"/>
      <c r="H1448" s="51"/>
      <c r="I1448" s="51"/>
      <c r="J1448" s="66"/>
      <c r="K1448" s="66"/>
      <c r="L1448" s="66"/>
      <c r="M1448" s="50"/>
      <c r="N1448" s="67"/>
    </row>
    <row r="1449" ht="15.0" customHeight="1">
      <c r="A1449" s="51"/>
      <c r="B1449" s="50"/>
      <c r="C1449" s="50"/>
      <c r="D1449" s="50"/>
      <c r="E1449" s="50"/>
      <c r="F1449" s="50"/>
      <c r="G1449" s="52"/>
      <c r="H1449" s="51"/>
      <c r="I1449" s="51"/>
      <c r="J1449" s="66"/>
      <c r="K1449" s="66"/>
      <c r="L1449" s="66"/>
      <c r="M1449" s="50"/>
      <c r="N1449" s="67"/>
    </row>
    <row r="1450" ht="15.0" customHeight="1">
      <c r="A1450" s="51"/>
      <c r="B1450" s="50"/>
      <c r="C1450" s="50"/>
      <c r="D1450" s="50"/>
      <c r="E1450" s="50"/>
      <c r="F1450" s="50"/>
      <c r="G1450" s="52"/>
      <c r="H1450" s="51"/>
      <c r="I1450" s="51"/>
      <c r="J1450" s="66"/>
      <c r="K1450" s="66"/>
      <c r="L1450" s="66"/>
      <c r="M1450" s="50"/>
      <c r="N1450" s="67"/>
    </row>
    <row r="1451" ht="15.0" customHeight="1">
      <c r="A1451" s="51"/>
      <c r="B1451" s="50"/>
      <c r="C1451" s="50"/>
      <c r="D1451" s="50"/>
      <c r="E1451" s="50"/>
      <c r="F1451" s="50"/>
      <c r="G1451" s="52"/>
      <c r="H1451" s="51"/>
      <c r="I1451" s="51"/>
      <c r="J1451" s="66"/>
      <c r="K1451" s="66"/>
      <c r="L1451" s="66"/>
      <c r="M1451" s="50"/>
      <c r="N1451" s="67"/>
    </row>
    <row r="1452" ht="15.0" customHeight="1">
      <c r="A1452" s="51"/>
      <c r="B1452" s="50"/>
      <c r="C1452" s="50"/>
      <c r="D1452" s="50"/>
      <c r="E1452" s="50"/>
      <c r="F1452" s="50"/>
      <c r="G1452" s="52"/>
      <c r="H1452" s="51"/>
      <c r="I1452" s="51"/>
      <c r="J1452" s="66"/>
      <c r="K1452" s="66"/>
      <c r="L1452" s="66"/>
      <c r="M1452" s="50"/>
      <c r="N1452" s="67"/>
    </row>
    <row r="1453" ht="15.0" customHeight="1">
      <c r="A1453" s="51"/>
      <c r="B1453" s="50"/>
      <c r="C1453" s="50"/>
      <c r="D1453" s="50"/>
      <c r="E1453" s="50"/>
      <c r="F1453" s="50"/>
      <c r="G1453" s="52"/>
      <c r="H1453" s="51"/>
      <c r="I1453" s="51"/>
      <c r="J1453" s="66"/>
      <c r="K1453" s="66"/>
      <c r="L1453" s="66"/>
      <c r="M1453" s="50"/>
      <c r="N1453" s="67"/>
    </row>
    <row r="1454" ht="15.0" customHeight="1">
      <c r="A1454" s="51"/>
      <c r="B1454" s="50"/>
      <c r="C1454" s="50"/>
      <c r="D1454" s="50"/>
      <c r="E1454" s="50"/>
      <c r="F1454" s="50"/>
      <c r="G1454" s="52"/>
      <c r="H1454" s="51"/>
      <c r="I1454" s="51"/>
      <c r="J1454" s="66"/>
      <c r="K1454" s="66"/>
      <c r="L1454" s="66"/>
      <c r="M1454" s="50"/>
      <c r="N1454" s="67"/>
    </row>
    <row r="1455" ht="15.0" customHeight="1">
      <c r="A1455" s="51"/>
      <c r="B1455" s="50"/>
      <c r="C1455" s="50"/>
      <c r="D1455" s="50"/>
      <c r="E1455" s="50"/>
      <c r="F1455" s="50"/>
      <c r="G1455" s="52"/>
      <c r="H1455" s="51"/>
      <c r="I1455" s="51"/>
      <c r="J1455" s="66"/>
      <c r="K1455" s="66"/>
      <c r="L1455" s="66"/>
      <c r="M1455" s="50"/>
      <c r="N1455" s="67"/>
    </row>
    <row r="1456" ht="15.0" customHeight="1">
      <c r="A1456" s="51"/>
      <c r="B1456" s="50"/>
      <c r="C1456" s="50"/>
      <c r="D1456" s="50"/>
      <c r="E1456" s="50"/>
      <c r="F1456" s="50"/>
      <c r="G1456" s="52"/>
      <c r="H1456" s="51"/>
      <c r="I1456" s="51"/>
      <c r="J1456" s="66"/>
      <c r="K1456" s="66"/>
      <c r="L1456" s="66"/>
      <c r="M1456" s="50"/>
      <c r="N1456" s="67"/>
    </row>
    <row r="1457" ht="15.0" customHeight="1">
      <c r="A1457" s="51"/>
      <c r="B1457" s="50"/>
      <c r="C1457" s="50"/>
      <c r="D1457" s="50"/>
      <c r="E1457" s="50"/>
      <c r="F1457" s="50"/>
      <c r="G1457" s="52"/>
      <c r="H1457" s="51"/>
      <c r="I1457" s="51"/>
      <c r="J1457" s="66"/>
      <c r="K1457" s="66"/>
      <c r="L1457" s="66"/>
      <c r="M1457" s="50"/>
      <c r="N1457" s="67"/>
    </row>
    <row r="1458" ht="15.0" customHeight="1">
      <c r="A1458" s="51"/>
      <c r="B1458" s="50"/>
      <c r="C1458" s="50"/>
      <c r="D1458" s="50"/>
      <c r="E1458" s="50"/>
      <c r="F1458" s="50"/>
      <c r="G1458" s="52"/>
      <c r="H1458" s="51"/>
      <c r="I1458" s="51"/>
      <c r="J1458" s="66"/>
      <c r="K1458" s="66"/>
      <c r="L1458" s="66"/>
      <c r="M1458" s="50"/>
      <c r="N1458" s="67"/>
    </row>
    <row r="1459" ht="15.0" customHeight="1">
      <c r="A1459" s="51"/>
      <c r="B1459" s="50"/>
      <c r="C1459" s="50"/>
      <c r="D1459" s="50"/>
      <c r="E1459" s="50"/>
      <c r="F1459" s="50"/>
      <c r="G1459" s="52"/>
      <c r="H1459" s="51"/>
      <c r="I1459" s="51"/>
      <c r="J1459" s="66"/>
      <c r="K1459" s="66"/>
      <c r="L1459" s="66"/>
      <c r="M1459" s="50"/>
      <c r="N1459" s="67"/>
    </row>
    <row r="1460" ht="15.0" customHeight="1">
      <c r="A1460" s="51"/>
      <c r="B1460" s="50"/>
      <c r="C1460" s="50"/>
      <c r="D1460" s="50"/>
      <c r="E1460" s="50"/>
      <c r="F1460" s="50"/>
      <c r="G1460" s="52"/>
      <c r="H1460" s="51"/>
      <c r="I1460" s="51"/>
      <c r="J1460" s="66"/>
      <c r="K1460" s="66"/>
      <c r="L1460" s="66"/>
      <c r="M1460" s="50"/>
      <c r="N1460" s="67"/>
    </row>
    <row r="1461" ht="15.0" customHeight="1">
      <c r="A1461" s="51"/>
      <c r="B1461" s="50"/>
      <c r="C1461" s="50"/>
      <c r="D1461" s="50"/>
      <c r="E1461" s="50"/>
      <c r="F1461" s="50"/>
      <c r="G1461" s="52"/>
      <c r="H1461" s="51"/>
      <c r="I1461" s="51"/>
      <c r="J1461" s="66"/>
      <c r="K1461" s="66"/>
      <c r="L1461" s="66"/>
      <c r="M1461" s="50"/>
      <c r="N1461" s="67"/>
    </row>
    <row r="1462" ht="15.0" customHeight="1">
      <c r="A1462" s="51"/>
      <c r="B1462" s="50"/>
      <c r="C1462" s="50"/>
      <c r="D1462" s="50"/>
      <c r="E1462" s="50"/>
      <c r="F1462" s="50"/>
      <c r="G1462" s="52"/>
      <c r="H1462" s="51"/>
      <c r="I1462" s="51"/>
      <c r="J1462" s="66"/>
      <c r="K1462" s="66"/>
      <c r="L1462" s="66"/>
      <c r="M1462" s="50"/>
      <c r="N1462" s="67"/>
    </row>
    <row r="1463" ht="15.0" customHeight="1">
      <c r="A1463" s="51"/>
      <c r="B1463" s="50"/>
      <c r="C1463" s="50"/>
      <c r="D1463" s="50"/>
      <c r="E1463" s="50"/>
      <c r="F1463" s="50"/>
      <c r="G1463" s="52"/>
      <c r="H1463" s="51"/>
      <c r="I1463" s="51"/>
      <c r="J1463" s="66"/>
      <c r="K1463" s="66"/>
      <c r="L1463" s="66"/>
      <c r="M1463" s="50"/>
      <c r="N1463" s="67"/>
    </row>
    <row r="1464" ht="15.0" customHeight="1">
      <c r="A1464" s="51"/>
      <c r="B1464" s="50"/>
      <c r="C1464" s="50"/>
      <c r="D1464" s="50"/>
      <c r="E1464" s="50"/>
      <c r="F1464" s="50"/>
      <c r="G1464" s="52"/>
      <c r="H1464" s="51"/>
      <c r="I1464" s="51"/>
      <c r="J1464" s="66"/>
      <c r="K1464" s="66"/>
      <c r="L1464" s="66"/>
      <c r="M1464" s="50"/>
      <c r="N1464" s="67"/>
    </row>
    <row r="1465" ht="15.0" customHeight="1">
      <c r="A1465" s="51"/>
      <c r="B1465" s="50"/>
      <c r="C1465" s="50"/>
      <c r="D1465" s="50"/>
      <c r="E1465" s="50"/>
      <c r="F1465" s="50"/>
      <c r="G1465" s="52"/>
      <c r="H1465" s="51"/>
      <c r="I1465" s="51"/>
      <c r="J1465" s="66"/>
      <c r="K1465" s="66"/>
      <c r="L1465" s="66"/>
      <c r="M1465" s="50"/>
      <c r="N1465" s="67"/>
    </row>
    <row r="1466" ht="15.0" customHeight="1">
      <c r="A1466" s="51"/>
      <c r="B1466" s="50"/>
      <c r="C1466" s="50"/>
      <c r="D1466" s="50"/>
      <c r="E1466" s="50"/>
      <c r="F1466" s="50"/>
      <c r="G1466" s="52"/>
      <c r="H1466" s="51"/>
      <c r="I1466" s="51"/>
      <c r="J1466" s="66"/>
      <c r="K1466" s="66"/>
      <c r="L1466" s="66"/>
      <c r="M1466" s="50"/>
      <c r="N1466" s="67"/>
    </row>
    <row r="1467" ht="15.0" customHeight="1">
      <c r="A1467" s="51"/>
      <c r="B1467" s="50"/>
      <c r="C1467" s="50"/>
      <c r="D1467" s="50"/>
      <c r="E1467" s="50"/>
      <c r="F1467" s="50"/>
      <c r="G1467" s="52"/>
      <c r="H1467" s="51"/>
      <c r="I1467" s="51"/>
      <c r="J1467" s="66"/>
      <c r="K1467" s="66"/>
      <c r="L1467" s="66"/>
      <c r="M1467" s="50"/>
      <c r="N1467" s="67"/>
    </row>
    <row r="1468" ht="15.0" customHeight="1">
      <c r="A1468" s="51"/>
      <c r="B1468" s="50"/>
      <c r="C1468" s="50"/>
      <c r="D1468" s="50"/>
      <c r="E1468" s="50"/>
      <c r="F1468" s="50"/>
      <c r="G1468" s="52"/>
      <c r="H1468" s="51"/>
      <c r="I1468" s="51"/>
      <c r="J1468" s="66"/>
      <c r="K1468" s="66"/>
      <c r="L1468" s="66"/>
      <c r="M1468" s="50"/>
      <c r="N1468" s="67"/>
    </row>
    <row r="1469" ht="15.0" customHeight="1">
      <c r="A1469" s="51"/>
      <c r="B1469" s="50"/>
      <c r="C1469" s="50"/>
      <c r="D1469" s="50"/>
      <c r="E1469" s="50"/>
      <c r="F1469" s="50"/>
      <c r="G1469" s="52"/>
      <c r="H1469" s="51"/>
      <c r="I1469" s="51"/>
      <c r="J1469" s="66"/>
      <c r="K1469" s="66"/>
      <c r="L1469" s="66"/>
      <c r="M1469" s="50"/>
      <c r="N1469" s="67"/>
    </row>
    <row r="1470" ht="15.0" customHeight="1">
      <c r="A1470" s="51"/>
      <c r="B1470" s="50"/>
      <c r="C1470" s="50"/>
      <c r="D1470" s="50"/>
      <c r="E1470" s="50"/>
      <c r="F1470" s="50"/>
      <c r="G1470" s="52"/>
      <c r="H1470" s="51"/>
      <c r="I1470" s="51"/>
      <c r="J1470" s="66"/>
      <c r="K1470" s="66"/>
      <c r="L1470" s="66"/>
      <c r="M1470" s="50"/>
      <c r="N1470" s="67"/>
    </row>
    <row r="1471" ht="15.0" customHeight="1">
      <c r="A1471" s="51"/>
      <c r="B1471" s="50"/>
      <c r="C1471" s="50"/>
      <c r="D1471" s="50"/>
      <c r="E1471" s="50"/>
      <c r="F1471" s="50"/>
      <c r="G1471" s="52"/>
      <c r="H1471" s="51"/>
      <c r="I1471" s="51"/>
      <c r="J1471" s="66"/>
      <c r="K1471" s="66"/>
      <c r="L1471" s="66"/>
      <c r="M1471" s="50"/>
      <c r="N1471" s="67"/>
    </row>
    <row r="1472" ht="15.0" customHeight="1">
      <c r="A1472" s="51"/>
      <c r="B1472" s="50"/>
      <c r="C1472" s="50"/>
      <c r="D1472" s="50"/>
      <c r="E1472" s="50"/>
      <c r="F1472" s="50"/>
      <c r="G1472" s="52"/>
      <c r="H1472" s="51"/>
      <c r="I1472" s="51"/>
      <c r="J1472" s="66"/>
      <c r="K1472" s="66"/>
      <c r="L1472" s="66"/>
      <c r="M1472" s="50"/>
      <c r="N1472" s="67"/>
    </row>
    <row r="1473" ht="15.0" customHeight="1">
      <c r="A1473" s="51"/>
      <c r="B1473" s="50"/>
      <c r="C1473" s="50"/>
      <c r="D1473" s="50"/>
      <c r="E1473" s="50"/>
      <c r="F1473" s="50"/>
      <c r="G1473" s="52"/>
      <c r="H1473" s="51"/>
      <c r="I1473" s="51"/>
      <c r="J1473" s="66"/>
      <c r="K1473" s="66"/>
      <c r="L1473" s="66"/>
      <c r="M1473" s="50"/>
      <c r="N1473" s="67"/>
    </row>
    <row r="1474" ht="15.0" customHeight="1">
      <c r="A1474" s="51"/>
      <c r="B1474" s="50"/>
      <c r="C1474" s="50"/>
      <c r="D1474" s="50"/>
      <c r="E1474" s="50"/>
      <c r="F1474" s="50"/>
      <c r="G1474" s="52"/>
      <c r="H1474" s="51"/>
      <c r="I1474" s="51"/>
      <c r="J1474" s="66"/>
      <c r="K1474" s="66"/>
      <c r="L1474" s="66"/>
      <c r="M1474" s="50"/>
      <c r="N1474" s="67"/>
    </row>
    <row r="1475" ht="15.0" customHeight="1">
      <c r="A1475" s="51"/>
      <c r="B1475" s="50"/>
      <c r="C1475" s="50"/>
      <c r="D1475" s="50"/>
      <c r="E1475" s="50"/>
      <c r="F1475" s="50"/>
      <c r="G1475" s="52"/>
      <c r="H1475" s="51"/>
      <c r="I1475" s="51"/>
      <c r="J1475" s="66"/>
      <c r="K1475" s="66"/>
      <c r="L1475" s="66"/>
      <c r="M1475" s="50"/>
      <c r="N1475" s="67"/>
    </row>
    <row r="1476" ht="15.0" customHeight="1">
      <c r="A1476" s="51"/>
      <c r="B1476" s="50"/>
      <c r="C1476" s="50"/>
      <c r="D1476" s="50"/>
      <c r="E1476" s="50"/>
      <c r="F1476" s="50"/>
      <c r="G1476" s="52"/>
      <c r="H1476" s="51"/>
      <c r="I1476" s="51"/>
      <c r="J1476" s="66"/>
      <c r="K1476" s="66"/>
      <c r="L1476" s="66"/>
      <c r="M1476" s="50"/>
      <c r="N1476" s="67"/>
    </row>
    <row r="1477" ht="15.0" customHeight="1">
      <c r="A1477" s="51"/>
      <c r="B1477" s="50"/>
      <c r="C1477" s="50"/>
      <c r="D1477" s="50"/>
      <c r="E1477" s="50"/>
      <c r="F1477" s="50"/>
      <c r="G1477" s="52"/>
      <c r="H1477" s="51"/>
      <c r="I1477" s="51"/>
      <c r="J1477" s="66"/>
      <c r="K1477" s="66"/>
      <c r="L1477" s="66"/>
      <c r="M1477" s="50"/>
      <c r="N1477" s="67"/>
    </row>
    <row r="1478" ht="15.0" customHeight="1">
      <c r="A1478" s="51"/>
      <c r="B1478" s="50"/>
      <c r="C1478" s="50"/>
      <c r="D1478" s="50"/>
      <c r="E1478" s="50"/>
      <c r="F1478" s="50"/>
      <c r="G1478" s="52"/>
      <c r="H1478" s="51"/>
      <c r="I1478" s="51"/>
      <c r="J1478" s="66"/>
      <c r="K1478" s="66"/>
      <c r="L1478" s="66"/>
      <c r="M1478" s="50"/>
      <c r="N1478" s="67"/>
    </row>
    <row r="1479" ht="15.0" customHeight="1">
      <c r="A1479" s="51"/>
      <c r="B1479" s="50"/>
      <c r="C1479" s="50"/>
      <c r="D1479" s="50"/>
      <c r="E1479" s="50"/>
      <c r="F1479" s="50"/>
      <c r="G1479" s="52"/>
      <c r="H1479" s="51"/>
      <c r="I1479" s="51"/>
      <c r="J1479" s="66"/>
      <c r="K1479" s="66"/>
      <c r="L1479" s="66"/>
      <c r="M1479" s="50"/>
      <c r="N1479" s="67"/>
    </row>
    <row r="1480" ht="15.0" customHeight="1">
      <c r="A1480" s="51"/>
      <c r="B1480" s="50"/>
      <c r="C1480" s="50"/>
      <c r="D1480" s="50"/>
      <c r="E1480" s="50"/>
      <c r="F1480" s="50"/>
      <c r="G1480" s="52"/>
      <c r="H1480" s="51"/>
      <c r="I1480" s="51"/>
      <c r="J1480" s="66"/>
      <c r="K1480" s="66"/>
      <c r="L1480" s="66"/>
      <c r="M1480" s="50"/>
      <c r="N1480" s="67"/>
    </row>
    <row r="1481" ht="15.0" customHeight="1">
      <c r="A1481" s="51"/>
      <c r="B1481" s="50"/>
      <c r="C1481" s="50"/>
      <c r="D1481" s="50"/>
      <c r="E1481" s="50"/>
      <c r="F1481" s="50"/>
      <c r="G1481" s="52"/>
      <c r="H1481" s="51"/>
      <c r="I1481" s="51"/>
      <c r="J1481" s="66"/>
      <c r="K1481" s="66"/>
      <c r="L1481" s="66"/>
      <c r="M1481" s="50"/>
      <c r="N1481" s="67"/>
    </row>
    <row r="1482" ht="15.0" customHeight="1">
      <c r="A1482" s="51"/>
      <c r="B1482" s="50"/>
      <c r="C1482" s="50"/>
      <c r="D1482" s="50"/>
      <c r="E1482" s="50"/>
      <c r="F1482" s="50"/>
      <c r="G1482" s="52"/>
      <c r="H1482" s="51"/>
      <c r="I1482" s="51"/>
      <c r="J1482" s="66"/>
      <c r="K1482" s="66"/>
      <c r="L1482" s="66"/>
      <c r="M1482" s="50"/>
      <c r="N1482" s="67"/>
    </row>
    <row r="1483" ht="15.0" customHeight="1">
      <c r="A1483" s="51"/>
      <c r="B1483" s="50"/>
      <c r="C1483" s="50"/>
      <c r="D1483" s="50"/>
      <c r="E1483" s="50"/>
      <c r="F1483" s="50"/>
      <c r="G1483" s="52"/>
      <c r="H1483" s="51"/>
      <c r="I1483" s="51"/>
      <c r="J1483" s="66"/>
      <c r="K1483" s="66"/>
      <c r="L1483" s="66"/>
      <c r="M1483" s="50"/>
      <c r="N1483" s="67"/>
    </row>
    <row r="1484" ht="15.0" customHeight="1">
      <c r="A1484" s="51"/>
      <c r="B1484" s="50"/>
      <c r="C1484" s="50"/>
      <c r="D1484" s="50"/>
      <c r="E1484" s="50"/>
      <c r="F1484" s="50"/>
      <c r="G1484" s="52"/>
      <c r="H1484" s="51"/>
      <c r="I1484" s="51"/>
      <c r="J1484" s="66"/>
      <c r="K1484" s="66"/>
      <c r="L1484" s="66"/>
      <c r="M1484" s="50"/>
      <c r="N1484" s="67"/>
    </row>
    <row r="1485" ht="15.0" customHeight="1">
      <c r="A1485" s="51"/>
      <c r="B1485" s="50"/>
      <c r="C1485" s="50"/>
      <c r="D1485" s="50"/>
      <c r="E1485" s="50"/>
      <c r="F1485" s="50"/>
      <c r="G1485" s="52"/>
      <c r="H1485" s="51"/>
      <c r="I1485" s="51"/>
      <c r="J1485" s="66"/>
      <c r="K1485" s="66"/>
      <c r="L1485" s="66"/>
      <c r="M1485" s="50"/>
      <c r="N1485" s="67"/>
    </row>
    <row r="1486" ht="15.0" customHeight="1">
      <c r="A1486" s="51"/>
      <c r="B1486" s="50"/>
      <c r="C1486" s="50"/>
      <c r="D1486" s="50"/>
      <c r="E1486" s="50"/>
      <c r="F1486" s="50"/>
      <c r="G1486" s="52"/>
      <c r="H1486" s="51"/>
      <c r="I1486" s="51"/>
      <c r="J1486" s="66"/>
      <c r="K1486" s="66"/>
      <c r="L1486" s="66"/>
      <c r="M1486" s="50"/>
      <c r="N1486" s="67"/>
    </row>
    <row r="1487" ht="15.0" customHeight="1">
      <c r="A1487" s="51"/>
      <c r="B1487" s="50"/>
      <c r="C1487" s="50"/>
      <c r="D1487" s="50"/>
      <c r="E1487" s="50"/>
      <c r="F1487" s="50"/>
      <c r="G1487" s="52"/>
      <c r="H1487" s="51"/>
      <c r="I1487" s="51"/>
      <c r="J1487" s="66"/>
      <c r="K1487" s="66"/>
      <c r="L1487" s="66"/>
      <c r="M1487" s="50"/>
      <c r="N1487" s="67"/>
    </row>
    <row r="1488" ht="15.0" customHeight="1">
      <c r="A1488" s="51"/>
      <c r="B1488" s="50"/>
      <c r="C1488" s="50"/>
      <c r="D1488" s="50"/>
      <c r="E1488" s="50"/>
      <c r="F1488" s="50"/>
      <c r="G1488" s="52"/>
      <c r="H1488" s="51"/>
      <c r="I1488" s="51"/>
      <c r="J1488" s="66"/>
      <c r="K1488" s="66"/>
      <c r="L1488" s="66"/>
      <c r="M1488" s="50"/>
      <c r="N1488" s="67"/>
    </row>
    <row r="1489" ht="15.0" customHeight="1">
      <c r="A1489" s="51"/>
      <c r="B1489" s="50"/>
      <c r="C1489" s="50"/>
      <c r="D1489" s="50"/>
      <c r="E1489" s="50"/>
      <c r="F1489" s="50"/>
      <c r="G1489" s="52"/>
      <c r="H1489" s="51"/>
      <c r="I1489" s="51"/>
      <c r="J1489" s="66"/>
      <c r="K1489" s="66"/>
      <c r="L1489" s="66"/>
      <c r="M1489" s="50"/>
      <c r="N1489" s="67"/>
    </row>
    <row r="1490" ht="15.0" customHeight="1">
      <c r="A1490" s="51"/>
      <c r="B1490" s="50"/>
      <c r="C1490" s="50"/>
      <c r="D1490" s="50"/>
      <c r="E1490" s="50"/>
      <c r="F1490" s="50"/>
      <c r="G1490" s="52"/>
      <c r="H1490" s="51"/>
      <c r="I1490" s="51"/>
      <c r="J1490" s="66"/>
      <c r="K1490" s="66"/>
      <c r="L1490" s="66"/>
      <c r="M1490" s="50"/>
      <c r="N1490" s="67"/>
    </row>
    <row r="1491" ht="15.0" customHeight="1">
      <c r="A1491" s="51"/>
      <c r="B1491" s="50"/>
      <c r="C1491" s="50"/>
      <c r="D1491" s="50"/>
      <c r="E1491" s="50"/>
      <c r="F1491" s="50"/>
      <c r="G1491" s="52"/>
      <c r="H1491" s="51"/>
      <c r="I1491" s="51"/>
      <c r="J1491" s="66"/>
      <c r="K1491" s="66"/>
      <c r="L1491" s="66"/>
      <c r="M1491" s="50"/>
      <c r="N1491" s="67"/>
    </row>
    <row r="1492" ht="15.0" customHeight="1">
      <c r="A1492" s="51"/>
      <c r="B1492" s="50"/>
      <c r="C1492" s="50"/>
      <c r="D1492" s="50"/>
      <c r="E1492" s="50"/>
      <c r="F1492" s="50"/>
      <c r="G1492" s="52"/>
      <c r="H1492" s="51"/>
      <c r="I1492" s="51"/>
      <c r="J1492" s="66"/>
      <c r="K1492" s="66"/>
      <c r="L1492" s="66"/>
      <c r="M1492" s="50"/>
      <c r="N1492" s="67"/>
    </row>
    <row r="1493" ht="15.0" customHeight="1">
      <c r="A1493" s="51"/>
      <c r="B1493" s="50"/>
      <c r="C1493" s="50"/>
      <c r="D1493" s="50"/>
      <c r="E1493" s="50"/>
      <c r="F1493" s="50"/>
      <c r="G1493" s="52"/>
      <c r="H1493" s="51"/>
      <c r="I1493" s="51"/>
      <c r="J1493" s="66"/>
      <c r="K1493" s="66"/>
      <c r="L1493" s="66"/>
      <c r="M1493" s="50"/>
      <c r="N1493" s="67"/>
    </row>
    <row r="1494" ht="15.0" customHeight="1">
      <c r="A1494" s="51"/>
      <c r="B1494" s="50"/>
      <c r="C1494" s="50"/>
      <c r="D1494" s="50"/>
      <c r="E1494" s="50"/>
      <c r="F1494" s="50"/>
      <c r="G1494" s="52"/>
      <c r="H1494" s="51"/>
      <c r="I1494" s="51"/>
      <c r="J1494" s="66"/>
      <c r="K1494" s="66"/>
      <c r="L1494" s="66"/>
      <c r="M1494" s="50"/>
      <c r="N1494" s="67"/>
    </row>
    <row r="1495" ht="15.0" customHeight="1">
      <c r="A1495" s="51"/>
      <c r="B1495" s="50"/>
      <c r="C1495" s="50"/>
      <c r="D1495" s="50"/>
      <c r="E1495" s="50"/>
      <c r="F1495" s="50"/>
      <c r="G1495" s="52"/>
      <c r="H1495" s="51"/>
      <c r="I1495" s="51"/>
      <c r="J1495" s="66"/>
      <c r="K1495" s="66"/>
      <c r="L1495" s="66"/>
      <c r="M1495" s="50"/>
      <c r="N1495" s="67"/>
    </row>
    <row r="1496" ht="15.0" customHeight="1">
      <c r="A1496" s="51"/>
      <c r="B1496" s="50"/>
      <c r="C1496" s="50"/>
      <c r="D1496" s="50"/>
      <c r="E1496" s="50"/>
      <c r="F1496" s="50"/>
      <c r="G1496" s="52"/>
      <c r="H1496" s="51"/>
      <c r="I1496" s="51"/>
      <c r="J1496" s="66"/>
      <c r="K1496" s="66"/>
      <c r="L1496" s="66"/>
      <c r="M1496" s="50"/>
      <c r="N1496" s="67"/>
    </row>
    <row r="1497" ht="15.0" customHeight="1">
      <c r="A1497" s="51"/>
      <c r="B1497" s="50"/>
      <c r="C1497" s="50"/>
      <c r="D1497" s="50"/>
      <c r="E1497" s="50"/>
      <c r="F1497" s="50"/>
      <c r="G1497" s="52"/>
      <c r="H1497" s="51"/>
      <c r="I1497" s="51"/>
      <c r="J1497" s="66"/>
      <c r="K1497" s="66"/>
      <c r="L1497" s="66"/>
      <c r="M1497" s="50"/>
      <c r="N1497" s="67"/>
    </row>
    <row r="1498" ht="15.0" customHeight="1">
      <c r="A1498" s="51"/>
      <c r="B1498" s="50"/>
      <c r="C1498" s="50"/>
      <c r="D1498" s="50"/>
      <c r="E1498" s="50"/>
      <c r="F1498" s="50"/>
      <c r="G1498" s="52"/>
      <c r="H1498" s="51"/>
      <c r="I1498" s="51"/>
      <c r="J1498" s="66"/>
      <c r="K1498" s="66"/>
      <c r="L1498" s="66"/>
      <c r="M1498" s="50"/>
      <c r="N1498" s="67"/>
    </row>
    <row r="1499" ht="15.0" customHeight="1">
      <c r="A1499" s="51"/>
      <c r="B1499" s="50"/>
      <c r="C1499" s="50"/>
      <c r="D1499" s="50"/>
      <c r="E1499" s="50"/>
      <c r="F1499" s="50"/>
      <c r="G1499" s="52"/>
      <c r="H1499" s="51"/>
      <c r="I1499" s="51"/>
      <c r="J1499" s="66"/>
      <c r="K1499" s="66"/>
      <c r="L1499" s="66"/>
      <c r="M1499" s="50"/>
      <c r="N1499" s="67"/>
    </row>
    <row r="1500" ht="15.0" customHeight="1">
      <c r="A1500" s="51"/>
      <c r="B1500" s="50"/>
      <c r="C1500" s="50"/>
      <c r="D1500" s="50"/>
      <c r="E1500" s="50"/>
      <c r="F1500" s="50"/>
      <c r="G1500" s="52"/>
      <c r="H1500" s="51"/>
      <c r="I1500" s="51"/>
      <c r="J1500" s="66"/>
      <c r="K1500" s="66"/>
      <c r="L1500" s="66"/>
      <c r="M1500" s="50"/>
      <c r="N1500" s="67"/>
    </row>
    <row r="1501" ht="15.0" customHeight="1">
      <c r="A1501" s="51"/>
      <c r="B1501" s="50"/>
      <c r="C1501" s="50"/>
      <c r="D1501" s="50"/>
      <c r="E1501" s="50"/>
      <c r="F1501" s="50"/>
      <c r="G1501" s="52"/>
      <c r="H1501" s="51"/>
      <c r="I1501" s="51"/>
      <c r="J1501" s="66"/>
      <c r="K1501" s="66"/>
      <c r="L1501" s="66"/>
      <c r="M1501" s="50"/>
      <c r="N1501" s="67"/>
    </row>
    <row r="1502" ht="15.0" customHeight="1">
      <c r="A1502" s="51"/>
      <c r="B1502" s="50"/>
      <c r="C1502" s="50"/>
      <c r="D1502" s="50"/>
      <c r="E1502" s="50"/>
      <c r="F1502" s="50"/>
      <c r="G1502" s="52"/>
      <c r="H1502" s="51"/>
      <c r="I1502" s="51"/>
      <c r="J1502" s="66"/>
      <c r="K1502" s="66"/>
      <c r="L1502" s="66"/>
      <c r="M1502" s="50"/>
      <c r="N1502" s="67"/>
    </row>
    <row r="1503" ht="15.0" customHeight="1">
      <c r="A1503" s="51"/>
      <c r="B1503" s="50"/>
      <c r="C1503" s="50"/>
      <c r="D1503" s="50"/>
      <c r="E1503" s="50"/>
      <c r="F1503" s="50"/>
      <c r="G1503" s="52"/>
      <c r="H1503" s="51"/>
      <c r="I1503" s="51"/>
      <c r="J1503" s="66"/>
      <c r="K1503" s="66"/>
      <c r="L1503" s="66"/>
      <c r="M1503" s="50"/>
      <c r="N1503" s="67"/>
    </row>
    <row r="1504" ht="15.0" customHeight="1">
      <c r="A1504" s="51"/>
      <c r="B1504" s="50"/>
      <c r="C1504" s="50"/>
      <c r="D1504" s="50"/>
      <c r="E1504" s="50"/>
      <c r="F1504" s="50"/>
      <c r="G1504" s="52"/>
      <c r="H1504" s="51"/>
      <c r="I1504" s="51"/>
      <c r="J1504" s="66"/>
      <c r="K1504" s="66"/>
      <c r="L1504" s="66"/>
      <c r="M1504" s="50"/>
      <c r="N1504" s="67"/>
    </row>
    <row r="1505" ht="15.0" customHeight="1">
      <c r="A1505" s="51"/>
      <c r="B1505" s="50"/>
      <c r="C1505" s="50"/>
      <c r="D1505" s="50"/>
      <c r="E1505" s="50"/>
      <c r="F1505" s="50"/>
      <c r="G1505" s="52"/>
      <c r="H1505" s="51"/>
      <c r="I1505" s="51"/>
      <c r="J1505" s="66"/>
      <c r="K1505" s="66"/>
      <c r="L1505" s="66"/>
      <c r="M1505" s="50"/>
      <c r="N1505" s="67"/>
    </row>
    <row r="1506" ht="15.0" customHeight="1">
      <c r="A1506" s="51"/>
      <c r="B1506" s="50"/>
      <c r="C1506" s="50"/>
      <c r="D1506" s="50"/>
      <c r="E1506" s="50"/>
      <c r="F1506" s="50"/>
      <c r="G1506" s="52"/>
      <c r="H1506" s="51"/>
      <c r="I1506" s="51"/>
      <c r="J1506" s="66"/>
      <c r="K1506" s="66"/>
      <c r="L1506" s="66"/>
      <c r="M1506" s="50"/>
      <c r="N1506" s="67"/>
    </row>
    <row r="1507" ht="15.0" customHeight="1">
      <c r="A1507" s="51"/>
      <c r="B1507" s="50"/>
      <c r="C1507" s="50"/>
      <c r="D1507" s="50"/>
      <c r="E1507" s="50"/>
      <c r="F1507" s="50"/>
      <c r="G1507" s="52"/>
      <c r="H1507" s="51"/>
      <c r="I1507" s="51"/>
      <c r="J1507" s="66"/>
      <c r="K1507" s="66"/>
      <c r="L1507" s="66"/>
      <c r="M1507" s="50"/>
      <c r="N1507" s="67"/>
    </row>
    <row r="1508" ht="15.0" customHeight="1">
      <c r="A1508" s="51"/>
      <c r="B1508" s="50"/>
      <c r="C1508" s="50"/>
      <c r="D1508" s="50"/>
      <c r="E1508" s="50"/>
      <c r="F1508" s="50"/>
      <c r="G1508" s="52"/>
      <c r="H1508" s="51"/>
      <c r="I1508" s="51"/>
      <c r="J1508" s="66"/>
      <c r="K1508" s="66"/>
      <c r="L1508" s="66"/>
      <c r="M1508" s="50"/>
      <c r="N1508" s="67"/>
    </row>
    <row r="1509" ht="15.0" customHeight="1">
      <c r="A1509" s="51"/>
      <c r="B1509" s="50"/>
      <c r="C1509" s="50"/>
      <c r="D1509" s="50"/>
      <c r="E1509" s="50"/>
      <c r="F1509" s="50"/>
      <c r="G1509" s="52"/>
      <c r="H1509" s="51"/>
      <c r="I1509" s="51"/>
      <c r="J1509" s="66"/>
      <c r="K1509" s="66"/>
      <c r="L1509" s="66"/>
      <c r="M1509" s="50"/>
      <c r="N1509" s="67"/>
    </row>
    <row r="1510" ht="15.0" customHeight="1">
      <c r="A1510" s="51"/>
      <c r="B1510" s="50"/>
      <c r="C1510" s="50"/>
      <c r="D1510" s="50"/>
      <c r="E1510" s="50"/>
      <c r="F1510" s="50"/>
      <c r="G1510" s="52"/>
      <c r="H1510" s="51"/>
      <c r="I1510" s="51"/>
      <c r="J1510" s="66"/>
      <c r="K1510" s="66"/>
      <c r="L1510" s="66"/>
      <c r="M1510" s="50"/>
      <c r="N1510" s="67"/>
    </row>
    <row r="1511" ht="15.0" customHeight="1">
      <c r="A1511" s="51"/>
      <c r="B1511" s="50"/>
      <c r="C1511" s="50"/>
      <c r="D1511" s="50"/>
      <c r="E1511" s="50"/>
      <c r="F1511" s="50"/>
      <c r="G1511" s="52"/>
      <c r="H1511" s="51"/>
      <c r="I1511" s="51"/>
      <c r="J1511" s="66"/>
      <c r="K1511" s="66"/>
      <c r="L1511" s="66"/>
      <c r="M1511" s="50"/>
      <c r="N1511" s="67"/>
    </row>
    <row r="1512" ht="15.0" customHeight="1">
      <c r="A1512" s="51"/>
      <c r="B1512" s="50"/>
      <c r="C1512" s="50"/>
      <c r="D1512" s="50"/>
      <c r="E1512" s="50"/>
      <c r="F1512" s="50"/>
      <c r="G1512" s="52"/>
      <c r="H1512" s="51"/>
      <c r="I1512" s="51"/>
      <c r="J1512" s="66"/>
      <c r="K1512" s="66"/>
      <c r="L1512" s="66"/>
      <c r="M1512" s="50"/>
      <c r="N1512" s="67"/>
    </row>
    <row r="1513" ht="15.0" customHeight="1">
      <c r="A1513" s="51"/>
      <c r="B1513" s="50"/>
      <c r="C1513" s="50"/>
      <c r="D1513" s="50"/>
      <c r="E1513" s="50"/>
      <c r="F1513" s="50"/>
      <c r="G1513" s="52"/>
      <c r="H1513" s="51"/>
      <c r="I1513" s="51"/>
      <c r="J1513" s="66"/>
      <c r="K1513" s="66"/>
      <c r="L1513" s="66"/>
      <c r="M1513" s="50"/>
      <c r="N1513" s="67"/>
    </row>
    <row r="1514" ht="15.0" customHeight="1">
      <c r="A1514" s="51"/>
      <c r="B1514" s="50"/>
      <c r="C1514" s="50"/>
      <c r="D1514" s="50"/>
      <c r="E1514" s="50"/>
      <c r="F1514" s="50"/>
      <c r="G1514" s="52"/>
      <c r="H1514" s="51"/>
      <c r="I1514" s="51"/>
      <c r="J1514" s="66"/>
      <c r="K1514" s="66"/>
      <c r="L1514" s="66"/>
      <c r="M1514" s="50"/>
      <c r="N1514" s="67"/>
    </row>
    <row r="1515" ht="15.0" customHeight="1">
      <c r="A1515" s="51"/>
      <c r="B1515" s="50"/>
      <c r="C1515" s="50"/>
      <c r="D1515" s="50"/>
      <c r="E1515" s="50"/>
      <c r="F1515" s="50"/>
      <c r="G1515" s="52"/>
      <c r="H1515" s="51"/>
      <c r="I1515" s="51"/>
      <c r="J1515" s="66"/>
      <c r="K1515" s="66"/>
      <c r="L1515" s="66"/>
      <c r="M1515" s="50"/>
      <c r="N1515" s="67"/>
    </row>
    <row r="1516" ht="15.0" customHeight="1">
      <c r="A1516" s="51"/>
      <c r="B1516" s="50"/>
      <c r="C1516" s="50"/>
      <c r="D1516" s="50"/>
      <c r="E1516" s="50"/>
      <c r="F1516" s="50"/>
      <c r="G1516" s="52"/>
      <c r="H1516" s="51"/>
      <c r="I1516" s="51"/>
      <c r="J1516" s="66"/>
      <c r="K1516" s="66"/>
      <c r="L1516" s="66"/>
      <c r="M1516" s="50"/>
      <c r="N1516" s="67"/>
    </row>
    <row r="1517" ht="15.0" customHeight="1">
      <c r="A1517" s="51"/>
      <c r="B1517" s="50"/>
      <c r="C1517" s="50"/>
      <c r="D1517" s="50"/>
      <c r="E1517" s="50"/>
      <c r="F1517" s="50"/>
      <c r="G1517" s="52"/>
      <c r="H1517" s="51"/>
      <c r="I1517" s="51"/>
      <c r="J1517" s="66"/>
      <c r="K1517" s="66"/>
      <c r="L1517" s="66"/>
      <c r="M1517" s="50"/>
      <c r="N1517" s="67"/>
    </row>
    <row r="1518" ht="15.0" customHeight="1">
      <c r="A1518" s="51"/>
      <c r="B1518" s="50"/>
      <c r="C1518" s="50"/>
      <c r="D1518" s="50"/>
      <c r="E1518" s="50"/>
      <c r="F1518" s="50"/>
      <c r="G1518" s="52"/>
      <c r="H1518" s="51"/>
      <c r="I1518" s="51"/>
      <c r="J1518" s="66"/>
      <c r="K1518" s="66"/>
      <c r="L1518" s="66"/>
      <c r="M1518" s="50"/>
      <c r="N1518" s="67"/>
    </row>
    <row r="1519" ht="15.0" customHeight="1">
      <c r="A1519" s="51"/>
      <c r="B1519" s="50"/>
      <c r="C1519" s="50"/>
      <c r="D1519" s="50"/>
      <c r="E1519" s="50"/>
      <c r="F1519" s="50"/>
      <c r="G1519" s="52"/>
      <c r="H1519" s="51"/>
      <c r="I1519" s="51"/>
      <c r="J1519" s="66"/>
      <c r="K1519" s="66"/>
      <c r="L1519" s="66"/>
      <c r="M1519" s="50"/>
      <c r="N1519" s="67"/>
    </row>
    <row r="1520" ht="15.0" customHeight="1">
      <c r="A1520" s="51"/>
      <c r="B1520" s="50"/>
      <c r="C1520" s="50"/>
      <c r="D1520" s="50"/>
      <c r="E1520" s="50"/>
      <c r="F1520" s="50"/>
      <c r="G1520" s="52"/>
      <c r="H1520" s="51"/>
      <c r="I1520" s="51"/>
      <c r="J1520" s="66"/>
      <c r="K1520" s="66"/>
      <c r="L1520" s="66"/>
      <c r="M1520" s="50"/>
      <c r="N1520" s="67"/>
    </row>
    <row r="1521" ht="15.0" customHeight="1">
      <c r="A1521" s="51"/>
      <c r="B1521" s="50"/>
      <c r="C1521" s="50"/>
      <c r="D1521" s="50"/>
      <c r="E1521" s="50"/>
      <c r="F1521" s="50"/>
      <c r="G1521" s="52"/>
      <c r="H1521" s="51"/>
      <c r="I1521" s="51"/>
      <c r="J1521" s="66"/>
      <c r="K1521" s="66"/>
      <c r="L1521" s="66"/>
      <c r="M1521" s="50"/>
      <c r="N1521" s="67"/>
    </row>
    <row r="1522" ht="15.0" customHeight="1">
      <c r="A1522" s="51"/>
      <c r="B1522" s="50"/>
      <c r="C1522" s="50"/>
      <c r="D1522" s="50"/>
      <c r="E1522" s="50"/>
      <c r="F1522" s="50"/>
      <c r="G1522" s="52"/>
      <c r="H1522" s="51"/>
      <c r="I1522" s="51"/>
      <c r="J1522" s="66"/>
      <c r="K1522" s="66"/>
      <c r="L1522" s="66"/>
      <c r="M1522" s="50"/>
      <c r="N1522" s="67"/>
    </row>
    <row r="1523" ht="15.0" customHeight="1">
      <c r="A1523" s="51"/>
      <c r="B1523" s="50"/>
      <c r="C1523" s="50"/>
      <c r="D1523" s="50"/>
      <c r="E1523" s="50"/>
      <c r="F1523" s="50"/>
      <c r="G1523" s="52"/>
      <c r="H1523" s="51"/>
      <c r="I1523" s="51"/>
      <c r="J1523" s="66"/>
      <c r="K1523" s="66"/>
      <c r="L1523" s="66"/>
      <c r="M1523" s="50"/>
      <c r="N1523" s="67"/>
    </row>
    <row r="1524" ht="15.0" customHeight="1">
      <c r="A1524" s="51"/>
      <c r="B1524" s="50"/>
      <c r="C1524" s="50"/>
      <c r="D1524" s="50"/>
      <c r="E1524" s="50"/>
      <c r="F1524" s="50"/>
      <c r="G1524" s="52"/>
      <c r="H1524" s="51"/>
      <c r="I1524" s="51"/>
      <c r="J1524" s="66"/>
      <c r="K1524" s="66"/>
      <c r="L1524" s="66"/>
      <c r="M1524" s="50"/>
      <c r="N1524" s="67"/>
    </row>
    <row r="1525" ht="15.0" customHeight="1">
      <c r="A1525" s="51"/>
      <c r="B1525" s="50"/>
      <c r="C1525" s="50"/>
      <c r="D1525" s="50"/>
      <c r="E1525" s="50"/>
      <c r="F1525" s="50"/>
      <c r="G1525" s="52"/>
      <c r="H1525" s="51"/>
      <c r="I1525" s="51"/>
      <c r="J1525" s="66"/>
      <c r="K1525" s="66"/>
      <c r="L1525" s="66"/>
      <c r="M1525" s="50"/>
      <c r="N1525" s="67"/>
    </row>
    <row r="1526" ht="15.0" customHeight="1">
      <c r="A1526" s="51"/>
      <c r="B1526" s="50"/>
      <c r="C1526" s="50"/>
      <c r="D1526" s="50"/>
      <c r="E1526" s="50"/>
      <c r="F1526" s="50"/>
      <c r="G1526" s="52"/>
      <c r="H1526" s="51"/>
      <c r="I1526" s="51"/>
      <c r="J1526" s="66"/>
      <c r="K1526" s="66"/>
      <c r="L1526" s="66"/>
      <c r="M1526" s="50"/>
      <c r="N1526" s="67"/>
    </row>
    <row r="1527" ht="15.0" customHeight="1">
      <c r="A1527" s="51"/>
      <c r="B1527" s="50"/>
      <c r="C1527" s="50"/>
      <c r="D1527" s="50"/>
      <c r="E1527" s="50"/>
      <c r="F1527" s="50"/>
      <c r="G1527" s="52"/>
      <c r="H1527" s="51"/>
      <c r="I1527" s="51"/>
      <c r="J1527" s="66"/>
      <c r="K1527" s="66"/>
      <c r="L1527" s="66"/>
      <c r="M1527" s="50"/>
      <c r="N1527" s="67"/>
    </row>
    <row r="1528" ht="15.0" customHeight="1">
      <c r="A1528" s="51"/>
      <c r="B1528" s="50"/>
      <c r="C1528" s="50"/>
      <c r="D1528" s="50"/>
      <c r="E1528" s="50"/>
      <c r="F1528" s="50"/>
      <c r="G1528" s="52"/>
      <c r="H1528" s="51"/>
      <c r="I1528" s="51"/>
      <c r="J1528" s="66"/>
      <c r="K1528" s="66"/>
      <c r="L1528" s="66"/>
      <c r="M1528" s="50"/>
      <c r="N1528" s="67"/>
    </row>
    <row r="1529" ht="15.0" customHeight="1">
      <c r="A1529" s="51"/>
      <c r="B1529" s="50"/>
      <c r="C1529" s="50"/>
      <c r="D1529" s="50"/>
      <c r="E1529" s="50"/>
      <c r="F1529" s="50"/>
      <c r="G1529" s="52"/>
      <c r="H1529" s="51"/>
      <c r="I1529" s="51"/>
      <c r="J1529" s="66"/>
      <c r="K1529" s="66"/>
      <c r="L1529" s="66"/>
      <c r="M1529" s="50"/>
      <c r="N1529" s="67"/>
    </row>
    <row r="1530" ht="15.0" customHeight="1">
      <c r="A1530" s="51"/>
      <c r="B1530" s="50"/>
      <c r="C1530" s="50"/>
      <c r="D1530" s="50"/>
      <c r="E1530" s="50"/>
      <c r="F1530" s="50"/>
      <c r="G1530" s="52"/>
      <c r="H1530" s="51"/>
      <c r="I1530" s="51"/>
      <c r="J1530" s="66"/>
      <c r="K1530" s="66"/>
      <c r="L1530" s="66"/>
      <c r="M1530" s="50"/>
      <c r="N1530" s="67"/>
    </row>
    <row r="1531" ht="15.0" customHeight="1">
      <c r="A1531" s="51"/>
      <c r="B1531" s="50"/>
      <c r="C1531" s="50"/>
      <c r="D1531" s="50"/>
      <c r="E1531" s="50"/>
      <c r="F1531" s="50"/>
      <c r="G1531" s="52"/>
      <c r="H1531" s="51"/>
      <c r="I1531" s="51"/>
      <c r="J1531" s="66"/>
      <c r="K1531" s="66"/>
      <c r="L1531" s="66"/>
      <c r="M1531" s="50"/>
      <c r="N1531" s="67"/>
    </row>
    <row r="1532" ht="15.0" customHeight="1">
      <c r="A1532" s="51"/>
      <c r="B1532" s="50"/>
      <c r="C1532" s="50"/>
      <c r="D1532" s="50"/>
      <c r="E1532" s="50"/>
      <c r="F1532" s="50"/>
      <c r="G1532" s="52"/>
      <c r="H1532" s="51"/>
      <c r="I1532" s="51"/>
      <c r="J1532" s="66"/>
      <c r="K1532" s="66"/>
      <c r="L1532" s="66"/>
      <c r="M1532" s="50"/>
      <c r="N1532" s="67"/>
    </row>
    <row r="1533" ht="15.0" customHeight="1">
      <c r="A1533" s="51"/>
      <c r="B1533" s="50"/>
      <c r="C1533" s="50"/>
      <c r="D1533" s="50"/>
      <c r="E1533" s="50"/>
      <c r="F1533" s="50"/>
      <c r="G1533" s="52"/>
      <c r="H1533" s="51"/>
      <c r="I1533" s="51"/>
      <c r="J1533" s="66"/>
      <c r="K1533" s="66"/>
      <c r="L1533" s="66"/>
      <c r="M1533" s="50"/>
      <c r="N1533" s="67"/>
    </row>
    <row r="1534" ht="15.0" customHeight="1">
      <c r="A1534" s="51"/>
      <c r="B1534" s="50"/>
      <c r="C1534" s="50"/>
      <c r="D1534" s="50"/>
      <c r="E1534" s="50"/>
      <c r="F1534" s="50"/>
      <c r="G1534" s="52"/>
      <c r="H1534" s="51"/>
      <c r="I1534" s="51"/>
      <c r="J1534" s="66"/>
      <c r="K1534" s="66"/>
      <c r="L1534" s="66"/>
      <c r="M1534" s="50"/>
      <c r="N1534" s="67"/>
    </row>
    <row r="1535" ht="15.0" customHeight="1">
      <c r="A1535" s="51"/>
      <c r="B1535" s="50"/>
      <c r="C1535" s="50"/>
      <c r="D1535" s="50"/>
      <c r="E1535" s="50"/>
      <c r="F1535" s="50"/>
      <c r="G1535" s="52"/>
      <c r="H1535" s="51"/>
      <c r="I1535" s="51"/>
      <c r="J1535" s="66"/>
      <c r="K1535" s="66"/>
      <c r="L1535" s="66"/>
      <c r="M1535" s="50"/>
      <c r="N1535" s="67"/>
    </row>
    <row r="1536" ht="15.0" customHeight="1">
      <c r="A1536" s="51"/>
      <c r="B1536" s="50"/>
      <c r="C1536" s="50"/>
      <c r="D1536" s="50"/>
      <c r="E1536" s="50"/>
      <c r="F1536" s="50"/>
      <c r="G1536" s="52"/>
      <c r="H1536" s="51"/>
      <c r="I1536" s="51"/>
      <c r="J1536" s="66"/>
      <c r="K1536" s="66"/>
      <c r="L1536" s="66"/>
      <c r="M1536" s="50"/>
      <c r="N1536" s="67"/>
    </row>
    <row r="1537" ht="15.0" customHeight="1">
      <c r="A1537" s="51"/>
      <c r="B1537" s="50"/>
      <c r="C1537" s="50"/>
      <c r="D1537" s="50"/>
      <c r="E1537" s="50"/>
      <c r="F1537" s="50"/>
      <c r="G1537" s="52"/>
      <c r="H1537" s="51"/>
      <c r="I1537" s="51"/>
      <c r="J1537" s="66"/>
      <c r="K1537" s="66"/>
      <c r="L1537" s="66"/>
      <c r="M1537" s="50"/>
      <c r="N1537" s="67"/>
    </row>
    <row r="1538" ht="15.0" customHeight="1">
      <c r="A1538" s="51"/>
      <c r="B1538" s="50"/>
      <c r="C1538" s="50"/>
      <c r="D1538" s="50"/>
      <c r="E1538" s="50"/>
      <c r="F1538" s="50"/>
      <c r="G1538" s="52"/>
      <c r="H1538" s="51"/>
      <c r="I1538" s="51"/>
      <c r="J1538" s="66"/>
      <c r="K1538" s="66"/>
      <c r="L1538" s="66"/>
      <c r="M1538" s="50"/>
      <c r="N1538" s="67"/>
    </row>
    <row r="1539" ht="15.0" customHeight="1">
      <c r="A1539" s="51"/>
      <c r="B1539" s="50"/>
      <c r="C1539" s="50"/>
      <c r="D1539" s="50"/>
      <c r="E1539" s="50"/>
      <c r="F1539" s="50"/>
      <c r="G1539" s="52"/>
      <c r="H1539" s="51"/>
      <c r="I1539" s="51"/>
      <c r="J1539" s="66"/>
      <c r="K1539" s="66"/>
      <c r="L1539" s="66"/>
      <c r="M1539" s="50"/>
      <c r="N1539" s="67"/>
    </row>
    <row r="1540" ht="15.0" customHeight="1">
      <c r="A1540" s="51"/>
      <c r="B1540" s="50"/>
      <c r="C1540" s="50"/>
      <c r="D1540" s="50"/>
      <c r="E1540" s="50"/>
      <c r="F1540" s="50"/>
      <c r="G1540" s="52"/>
      <c r="H1540" s="51"/>
      <c r="I1540" s="51"/>
      <c r="J1540" s="66"/>
      <c r="K1540" s="66"/>
      <c r="L1540" s="66"/>
      <c r="M1540" s="50"/>
      <c r="N1540" s="67"/>
    </row>
    <row r="1541" ht="15.0" customHeight="1">
      <c r="A1541" s="51"/>
      <c r="B1541" s="50"/>
      <c r="C1541" s="50"/>
      <c r="D1541" s="50"/>
      <c r="E1541" s="50"/>
      <c r="F1541" s="50"/>
      <c r="G1541" s="52"/>
      <c r="H1541" s="51"/>
      <c r="I1541" s="51"/>
      <c r="J1541" s="66"/>
      <c r="K1541" s="66"/>
      <c r="L1541" s="66"/>
      <c r="M1541" s="50"/>
      <c r="N1541" s="67"/>
    </row>
    <row r="1542" ht="15.0" customHeight="1">
      <c r="A1542" s="51"/>
      <c r="B1542" s="50"/>
      <c r="C1542" s="50"/>
      <c r="D1542" s="50"/>
      <c r="E1542" s="50"/>
      <c r="F1542" s="50"/>
      <c r="G1542" s="52"/>
      <c r="H1542" s="51"/>
      <c r="I1542" s="51"/>
      <c r="J1542" s="66"/>
      <c r="K1542" s="66"/>
      <c r="L1542" s="66"/>
      <c r="M1542" s="50"/>
      <c r="N1542" s="67"/>
    </row>
    <row r="1543" ht="15.0" customHeight="1">
      <c r="A1543" s="51"/>
      <c r="B1543" s="50"/>
      <c r="C1543" s="50"/>
      <c r="D1543" s="50"/>
      <c r="E1543" s="50"/>
      <c r="F1543" s="50"/>
      <c r="G1543" s="52"/>
      <c r="H1543" s="51"/>
      <c r="I1543" s="51"/>
      <c r="J1543" s="66"/>
      <c r="K1543" s="66"/>
      <c r="L1543" s="66"/>
      <c r="M1543" s="50"/>
      <c r="N1543" s="67"/>
    </row>
    <row r="1544" ht="15.0" customHeight="1">
      <c r="A1544" s="51"/>
      <c r="B1544" s="50"/>
      <c r="C1544" s="50"/>
      <c r="D1544" s="50"/>
      <c r="E1544" s="50"/>
      <c r="F1544" s="50"/>
      <c r="G1544" s="52"/>
      <c r="H1544" s="51"/>
      <c r="I1544" s="51"/>
      <c r="J1544" s="66"/>
      <c r="K1544" s="66"/>
      <c r="L1544" s="66"/>
      <c r="M1544" s="50"/>
      <c r="N1544" s="67"/>
    </row>
    <row r="1545" ht="15.0" customHeight="1">
      <c r="A1545" s="51"/>
      <c r="B1545" s="50"/>
      <c r="C1545" s="50"/>
      <c r="D1545" s="50"/>
      <c r="E1545" s="50"/>
      <c r="F1545" s="50"/>
      <c r="G1545" s="52"/>
      <c r="H1545" s="51"/>
      <c r="I1545" s="51"/>
      <c r="J1545" s="66"/>
      <c r="K1545" s="66"/>
      <c r="L1545" s="66"/>
      <c r="M1545" s="50"/>
      <c r="N1545" s="67"/>
    </row>
    <row r="1546" ht="15.0" customHeight="1">
      <c r="A1546" s="51"/>
      <c r="B1546" s="50"/>
      <c r="C1546" s="50"/>
      <c r="D1546" s="50"/>
      <c r="E1546" s="50"/>
      <c r="F1546" s="50"/>
      <c r="G1546" s="52"/>
      <c r="H1546" s="51"/>
      <c r="I1546" s="51"/>
      <c r="J1546" s="66"/>
      <c r="K1546" s="66"/>
      <c r="L1546" s="66"/>
      <c r="M1546" s="50"/>
      <c r="N1546" s="67"/>
    </row>
    <row r="1547" ht="15.0" customHeight="1">
      <c r="A1547" s="51"/>
      <c r="B1547" s="50"/>
      <c r="C1547" s="50"/>
      <c r="D1547" s="50"/>
      <c r="E1547" s="50"/>
      <c r="F1547" s="50"/>
      <c r="G1547" s="52"/>
      <c r="H1547" s="51"/>
      <c r="I1547" s="51"/>
      <c r="J1547" s="66"/>
      <c r="K1547" s="66"/>
      <c r="L1547" s="66"/>
      <c r="M1547" s="50"/>
      <c r="N1547" s="67"/>
    </row>
    <row r="1548" ht="15.0" customHeight="1">
      <c r="A1548" s="51"/>
      <c r="B1548" s="50"/>
      <c r="C1548" s="50"/>
      <c r="D1548" s="50"/>
      <c r="E1548" s="50"/>
      <c r="F1548" s="50"/>
      <c r="G1548" s="52"/>
      <c r="H1548" s="51"/>
      <c r="I1548" s="51"/>
      <c r="J1548" s="66"/>
      <c r="K1548" s="66"/>
      <c r="L1548" s="66"/>
      <c r="M1548" s="50"/>
      <c r="N1548" s="67"/>
    </row>
    <row r="1549" ht="15.0" customHeight="1">
      <c r="A1549" s="51"/>
      <c r="B1549" s="50"/>
      <c r="C1549" s="50"/>
      <c r="D1549" s="50"/>
      <c r="E1549" s="50"/>
      <c r="F1549" s="50"/>
      <c r="G1549" s="52"/>
      <c r="H1549" s="51"/>
      <c r="I1549" s="51"/>
      <c r="J1549" s="66"/>
      <c r="K1549" s="66"/>
      <c r="L1549" s="66"/>
      <c r="M1549" s="50"/>
      <c r="N1549" s="67"/>
    </row>
    <row r="1550" ht="15.0" customHeight="1">
      <c r="A1550" s="51"/>
      <c r="B1550" s="50"/>
      <c r="C1550" s="50"/>
      <c r="D1550" s="50"/>
      <c r="E1550" s="50"/>
      <c r="F1550" s="50"/>
      <c r="G1550" s="52"/>
      <c r="H1550" s="51"/>
      <c r="I1550" s="51"/>
      <c r="J1550" s="66"/>
      <c r="K1550" s="66"/>
      <c r="L1550" s="66"/>
      <c r="M1550" s="50"/>
      <c r="N1550" s="67"/>
    </row>
    <row r="1551" ht="15.0" customHeight="1">
      <c r="A1551" s="51"/>
      <c r="B1551" s="50"/>
      <c r="C1551" s="50"/>
      <c r="D1551" s="50"/>
      <c r="E1551" s="50"/>
      <c r="F1551" s="50"/>
      <c r="G1551" s="52"/>
      <c r="H1551" s="51"/>
      <c r="I1551" s="51"/>
      <c r="J1551" s="66"/>
      <c r="K1551" s="66"/>
      <c r="L1551" s="66"/>
      <c r="M1551" s="50"/>
      <c r="N1551" s="67"/>
    </row>
    <row r="1552" ht="15.0" customHeight="1">
      <c r="A1552" s="51"/>
      <c r="B1552" s="50"/>
      <c r="C1552" s="50"/>
      <c r="D1552" s="50"/>
      <c r="E1552" s="50"/>
      <c r="F1552" s="50"/>
      <c r="G1552" s="52"/>
      <c r="H1552" s="51"/>
      <c r="I1552" s="51"/>
      <c r="J1552" s="66"/>
      <c r="K1552" s="66"/>
      <c r="L1552" s="66"/>
      <c r="M1552" s="50"/>
      <c r="N1552" s="67"/>
    </row>
    <row r="1553" ht="15.0" customHeight="1">
      <c r="A1553" s="51"/>
      <c r="B1553" s="50"/>
      <c r="C1553" s="50"/>
      <c r="D1553" s="50"/>
      <c r="E1553" s="50"/>
      <c r="F1553" s="50"/>
      <c r="G1553" s="52"/>
      <c r="H1553" s="51"/>
      <c r="I1553" s="51"/>
      <c r="J1553" s="66"/>
      <c r="K1553" s="66"/>
      <c r="L1553" s="66"/>
      <c r="M1553" s="50"/>
      <c r="N1553" s="67"/>
    </row>
    <row r="1554" ht="15.0" customHeight="1">
      <c r="A1554" s="51"/>
      <c r="B1554" s="50"/>
      <c r="C1554" s="50"/>
      <c r="D1554" s="50"/>
      <c r="E1554" s="50"/>
      <c r="F1554" s="50"/>
      <c r="G1554" s="52"/>
      <c r="H1554" s="51"/>
      <c r="I1554" s="51"/>
      <c r="J1554" s="66"/>
      <c r="K1554" s="66"/>
      <c r="L1554" s="66"/>
      <c r="M1554" s="50"/>
      <c r="N1554" s="67"/>
    </row>
    <row r="1555" ht="15.0" customHeight="1">
      <c r="A1555" s="51"/>
      <c r="B1555" s="50"/>
      <c r="C1555" s="50"/>
      <c r="D1555" s="50"/>
      <c r="E1555" s="50"/>
      <c r="F1555" s="50"/>
      <c r="G1555" s="52"/>
      <c r="H1555" s="51"/>
      <c r="I1555" s="51"/>
      <c r="J1555" s="66"/>
      <c r="K1555" s="66"/>
      <c r="L1555" s="66"/>
      <c r="M1555" s="50"/>
      <c r="N1555" s="67"/>
    </row>
    <row r="1556" ht="15.0" customHeight="1">
      <c r="A1556" s="51"/>
      <c r="B1556" s="50"/>
      <c r="C1556" s="50"/>
      <c r="D1556" s="50"/>
      <c r="E1556" s="50"/>
      <c r="F1556" s="50"/>
      <c r="G1556" s="52"/>
      <c r="H1556" s="51"/>
      <c r="I1556" s="51"/>
      <c r="J1556" s="66"/>
      <c r="K1556" s="66"/>
      <c r="L1556" s="66"/>
      <c r="M1556" s="50"/>
      <c r="N1556" s="67"/>
    </row>
    <row r="1557" ht="15.0" customHeight="1">
      <c r="A1557" s="51"/>
      <c r="B1557" s="50"/>
      <c r="C1557" s="50"/>
      <c r="D1557" s="50"/>
      <c r="E1557" s="50"/>
      <c r="F1557" s="50"/>
      <c r="G1557" s="52"/>
      <c r="H1557" s="51"/>
      <c r="I1557" s="51"/>
      <c r="J1557" s="66"/>
      <c r="K1557" s="66"/>
      <c r="L1557" s="66"/>
      <c r="M1557" s="50"/>
      <c r="N1557" s="67"/>
    </row>
    <row r="1558" ht="15.0" customHeight="1">
      <c r="A1558" s="51"/>
      <c r="B1558" s="50"/>
      <c r="C1558" s="50"/>
      <c r="D1558" s="50"/>
      <c r="E1558" s="50"/>
      <c r="F1558" s="50"/>
      <c r="G1558" s="52"/>
      <c r="H1558" s="51"/>
      <c r="I1558" s="51"/>
      <c r="J1558" s="66"/>
      <c r="K1558" s="66"/>
      <c r="L1558" s="66"/>
      <c r="M1558" s="50"/>
      <c r="N1558" s="67"/>
    </row>
    <row r="1559" ht="15.0" customHeight="1">
      <c r="A1559" s="51"/>
      <c r="B1559" s="50"/>
      <c r="C1559" s="50"/>
      <c r="D1559" s="50"/>
      <c r="E1559" s="50"/>
      <c r="F1559" s="50"/>
      <c r="G1559" s="52"/>
      <c r="H1559" s="51"/>
      <c r="I1559" s="51"/>
      <c r="J1559" s="66"/>
      <c r="K1559" s="66"/>
      <c r="L1559" s="66"/>
      <c r="M1559" s="50"/>
      <c r="N1559" s="67"/>
    </row>
    <row r="1560" ht="15.0" customHeight="1">
      <c r="A1560" s="51"/>
      <c r="B1560" s="50"/>
      <c r="C1560" s="50"/>
      <c r="D1560" s="50"/>
      <c r="E1560" s="50"/>
      <c r="F1560" s="50"/>
      <c r="G1560" s="52"/>
      <c r="H1560" s="51"/>
      <c r="I1560" s="51"/>
      <c r="J1560" s="66"/>
      <c r="K1560" s="66"/>
      <c r="L1560" s="66"/>
      <c r="M1560" s="50"/>
      <c r="N1560" s="67"/>
    </row>
    <row r="1561" ht="15.0" customHeight="1">
      <c r="A1561" s="51"/>
      <c r="B1561" s="50"/>
      <c r="C1561" s="50"/>
      <c r="D1561" s="50"/>
      <c r="E1561" s="50"/>
      <c r="F1561" s="50"/>
      <c r="G1561" s="52"/>
      <c r="H1561" s="51"/>
      <c r="I1561" s="51"/>
      <c r="J1561" s="66"/>
      <c r="K1561" s="66"/>
      <c r="L1561" s="66"/>
      <c r="M1561" s="50"/>
      <c r="N1561" s="67"/>
    </row>
    <row r="1562" ht="15.0" customHeight="1">
      <c r="A1562" s="51"/>
      <c r="B1562" s="50"/>
      <c r="C1562" s="50"/>
      <c r="D1562" s="50"/>
      <c r="E1562" s="50"/>
      <c r="F1562" s="50"/>
      <c r="G1562" s="52"/>
      <c r="H1562" s="51"/>
      <c r="I1562" s="51"/>
      <c r="J1562" s="66"/>
      <c r="K1562" s="66"/>
      <c r="L1562" s="66"/>
      <c r="M1562" s="50"/>
      <c r="N1562" s="67"/>
    </row>
    <row r="1563" ht="15.0" customHeight="1">
      <c r="A1563" s="51"/>
      <c r="B1563" s="50"/>
      <c r="C1563" s="50"/>
      <c r="D1563" s="50"/>
      <c r="E1563" s="50"/>
      <c r="F1563" s="50"/>
      <c r="G1563" s="52"/>
      <c r="H1563" s="51"/>
      <c r="I1563" s="51"/>
      <c r="J1563" s="66"/>
      <c r="K1563" s="66"/>
      <c r="L1563" s="66"/>
      <c r="M1563" s="50"/>
      <c r="N1563" s="67"/>
    </row>
    <row r="1564" ht="15.0" customHeight="1">
      <c r="A1564" s="51"/>
      <c r="B1564" s="50"/>
      <c r="C1564" s="50"/>
      <c r="D1564" s="50"/>
      <c r="E1564" s="50"/>
      <c r="F1564" s="50"/>
      <c r="G1564" s="52"/>
      <c r="H1564" s="51"/>
      <c r="I1564" s="51"/>
      <c r="J1564" s="66"/>
      <c r="K1564" s="66"/>
      <c r="L1564" s="66"/>
      <c r="M1564" s="50"/>
      <c r="N1564" s="67"/>
    </row>
    <row r="1565" ht="15.0" customHeight="1">
      <c r="A1565" s="51"/>
      <c r="B1565" s="50"/>
      <c r="C1565" s="50"/>
      <c r="D1565" s="50"/>
      <c r="E1565" s="50"/>
      <c r="F1565" s="50"/>
      <c r="G1565" s="52"/>
      <c r="H1565" s="51"/>
      <c r="I1565" s="51"/>
      <c r="J1565" s="66"/>
      <c r="K1565" s="66"/>
      <c r="L1565" s="66"/>
      <c r="M1565" s="50"/>
      <c r="N1565" s="67"/>
    </row>
    <row r="1566" ht="15.0" customHeight="1">
      <c r="A1566" s="51"/>
      <c r="B1566" s="50"/>
      <c r="C1566" s="50"/>
      <c r="D1566" s="50"/>
      <c r="E1566" s="50"/>
      <c r="F1566" s="50"/>
      <c r="G1566" s="52"/>
      <c r="H1566" s="51"/>
      <c r="I1566" s="51"/>
      <c r="J1566" s="66"/>
      <c r="K1566" s="66"/>
      <c r="L1566" s="66"/>
      <c r="M1566" s="50"/>
      <c r="N1566" s="67"/>
    </row>
    <row r="1567" ht="15.0" customHeight="1">
      <c r="A1567" s="51"/>
      <c r="B1567" s="50"/>
      <c r="C1567" s="50"/>
      <c r="D1567" s="50"/>
      <c r="E1567" s="50"/>
      <c r="F1567" s="50"/>
      <c r="G1567" s="52"/>
      <c r="H1567" s="51"/>
      <c r="I1567" s="51"/>
      <c r="J1567" s="66"/>
      <c r="K1567" s="66"/>
      <c r="L1567" s="66"/>
      <c r="M1567" s="50"/>
      <c r="N1567" s="67"/>
    </row>
    <row r="1568" ht="15.0" customHeight="1">
      <c r="A1568" s="51"/>
      <c r="B1568" s="50"/>
      <c r="C1568" s="50"/>
      <c r="D1568" s="50"/>
      <c r="E1568" s="50"/>
      <c r="F1568" s="50"/>
      <c r="G1568" s="52"/>
      <c r="H1568" s="51"/>
      <c r="I1568" s="51"/>
      <c r="J1568" s="66"/>
      <c r="K1568" s="66"/>
      <c r="L1568" s="66"/>
      <c r="M1568" s="50"/>
      <c r="N1568" s="67"/>
    </row>
    <row r="1569" ht="15.0" customHeight="1">
      <c r="A1569" s="51"/>
      <c r="B1569" s="50"/>
      <c r="C1569" s="50"/>
      <c r="D1569" s="50"/>
      <c r="E1569" s="50"/>
      <c r="F1569" s="50"/>
      <c r="G1569" s="52"/>
      <c r="H1569" s="51"/>
      <c r="I1569" s="51"/>
      <c r="J1569" s="66"/>
      <c r="K1569" s="66"/>
      <c r="L1569" s="66"/>
      <c r="M1569" s="50"/>
      <c r="N1569" s="67"/>
    </row>
    <row r="1570" ht="15.0" customHeight="1">
      <c r="A1570" s="51"/>
      <c r="B1570" s="50"/>
      <c r="C1570" s="50"/>
      <c r="D1570" s="50"/>
      <c r="E1570" s="50"/>
      <c r="F1570" s="50"/>
      <c r="G1570" s="52"/>
      <c r="H1570" s="51"/>
      <c r="I1570" s="51"/>
      <c r="J1570" s="66"/>
      <c r="K1570" s="66"/>
      <c r="L1570" s="66"/>
      <c r="M1570" s="50"/>
      <c r="N1570" s="67"/>
    </row>
    <row r="1571" ht="15.0" customHeight="1">
      <c r="A1571" s="51"/>
      <c r="B1571" s="50"/>
      <c r="C1571" s="50"/>
      <c r="D1571" s="50"/>
      <c r="E1571" s="50"/>
      <c r="F1571" s="50"/>
      <c r="G1571" s="52"/>
      <c r="H1571" s="51"/>
      <c r="I1571" s="51"/>
      <c r="J1571" s="66"/>
      <c r="K1571" s="66"/>
      <c r="L1571" s="66"/>
      <c r="M1571" s="50"/>
      <c r="N1571" s="67"/>
    </row>
    <row r="1572" ht="15.0" customHeight="1">
      <c r="A1572" s="51"/>
      <c r="B1572" s="50"/>
      <c r="C1572" s="50"/>
      <c r="D1572" s="50"/>
      <c r="E1572" s="50"/>
      <c r="F1572" s="50"/>
      <c r="G1572" s="52"/>
      <c r="H1572" s="51"/>
      <c r="I1572" s="51"/>
      <c r="J1572" s="66"/>
      <c r="K1572" s="66"/>
      <c r="L1572" s="66"/>
      <c r="M1572" s="50"/>
      <c r="N1572" s="67"/>
    </row>
    <row r="1573" ht="15.0" customHeight="1">
      <c r="A1573" s="51"/>
      <c r="B1573" s="50"/>
      <c r="C1573" s="50"/>
      <c r="D1573" s="50"/>
      <c r="E1573" s="50"/>
      <c r="F1573" s="50"/>
      <c r="G1573" s="52"/>
      <c r="H1573" s="51"/>
      <c r="I1573" s="51"/>
      <c r="J1573" s="66"/>
      <c r="K1573" s="66"/>
      <c r="L1573" s="66"/>
      <c r="M1573" s="50"/>
      <c r="N1573" s="67"/>
    </row>
    <row r="1574" ht="15.0" customHeight="1">
      <c r="A1574" s="51"/>
      <c r="B1574" s="50"/>
      <c r="C1574" s="50"/>
      <c r="D1574" s="50"/>
      <c r="E1574" s="50"/>
      <c r="F1574" s="50"/>
      <c r="G1574" s="52"/>
      <c r="H1574" s="51"/>
      <c r="I1574" s="51"/>
      <c r="J1574" s="66"/>
      <c r="K1574" s="66"/>
      <c r="L1574" s="66"/>
      <c r="M1574" s="50"/>
      <c r="N1574" s="67"/>
    </row>
    <row r="1575" ht="15.0" customHeight="1">
      <c r="A1575" s="51"/>
      <c r="B1575" s="50"/>
      <c r="C1575" s="50"/>
      <c r="D1575" s="50"/>
      <c r="E1575" s="50"/>
      <c r="F1575" s="50"/>
      <c r="G1575" s="52"/>
      <c r="H1575" s="51"/>
      <c r="I1575" s="51"/>
      <c r="J1575" s="66"/>
      <c r="K1575" s="66"/>
      <c r="L1575" s="66"/>
      <c r="M1575" s="50"/>
      <c r="N1575" s="67"/>
    </row>
    <row r="1576" ht="15.0" customHeight="1">
      <c r="A1576" s="51"/>
      <c r="B1576" s="50"/>
      <c r="C1576" s="50"/>
      <c r="D1576" s="50"/>
      <c r="E1576" s="50"/>
      <c r="F1576" s="50"/>
      <c r="G1576" s="52"/>
      <c r="H1576" s="51"/>
      <c r="I1576" s="51"/>
      <c r="J1576" s="66"/>
      <c r="K1576" s="66"/>
      <c r="L1576" s="66"/>
      <c r="M1576" s="50"/>
      <c r="N1576" s="67"/>
    </row>
    <row r="1577" ht="15.0" customHeight="1">
      <c r="A1577" s="51"/>
      <c r="B1577" s="50"/>
      <c r="C1577" s="50"/>
      <c r="D1577" s="50"/>
      <c r="E1577" s="50"/>
      <c r="F1577" s="50"/>
      <c r="G1577" s="52"/>
      <c r="H1577" s="51"/>
      <c r="I1577" s="51"/>
      <c r="J1577" s="66"/>
      <c r="K1577" s="66"/>
      <c r="L1577" s="66"/>
      <c r="M1577" s="50"/>
      <c r="N1577" s="67"/>
    </row>
    <row r="1578" ht="15.0" customHeight="1">
      <c r="A1578" s="51"/>
      <c r="B1578" s="50"/>
      <c r="C1578" s="50"/>
      <c r="D1578" s="50"/>
      <c r="E1578" s="50"/>
      <c r="F1578" s="50"/>
      <c r="G1578" s="52"/>
      <c r="H1578" s="51"/>
      <c r="I1578" s="51"/>
      <c r="J1578" s="66"/>
      <c r="K1578" s="66"/>
      <c r="L1578" s="66"/>
      <c r="M1578" s="50"/>
      <c r="N1578" s="67"/>
    </row>
    <row r="1579" ht="15.0" customHeight="1">
      <c r="A1579" s="51"/>
      <c r="B1579" s="50"/>
      <c r="C1579" s="50"/>
      <c r="D1579" s="50"/>
      <c r="E1579" s="50"/>
      <c r="F1579" s="50"/>
      <c r="G1579" s="52"/>
      <c r="H1579" s="51"/>
      <c r="I1579" s="51"/>
      <c r="J1579" s="66"/>
      <c r="K1579" s="66"/>
      <c r="L1579" s="66"/>
      <c r="M1579" s="50"/>
      <c r="N1579" s="67"/>
    </row>
    <row r="1580" ht="15.0" customHeight="1">
      <c r="A1580" s="51"/>
      <c r="B1580" s="50"/>
      <c r="C1580" s="50"/>
      <c r="D1580" s="50"/>
      <c r="E1580" s="50"/>
      <c r="F1580" s="50"/>
      <c r="G1580" s="52"/>
      <c r="H1580" s="51"/>
      <c r="I1580" s="51"/>
      <c r="J1580" s="66"/>
      <c r="K1580" s="66"/>
      <c r="L1580" s="66"/>
      <c r="M1580" s="50"/>
      <c r="N1580" s="67"/>
    </row>
    <row r="1581" ht="15.0" customHeight="1">
      <c r="A1581" s="51"/>
      <c r="B1581" s="50"/>
      <c r="C1581" s="50"/>
      <c r="D1581" s="50"/>
      <c r="E1581" s="50"/>
      <c r="F1581" s="50"/>
      <c r="G1581" s="52"/>
      <c r="H1581" s="51"/>
      <c r="I1581" s="51"/>
      <c r="J1581" s="66"/>
      <c r="K1581" s="66"/>
      <c r="L1581" s="66"/>
      <c r="M1581" s="50"/>
      <c r="N1581" s="67"/>
    </row>
    <row r="1582" ht="15.0" customHeight="1">
      <c r="A1582" s="51"/>
      <c r="B1582" s="50"/>
      <c r="C1582" s="50"/>
      <c r="D1582" s="50"/>
      <c r="E1582" s="50"/>
      <c r="F1582" s="50"/>
      <c r="G1582" s="52"/>
      <c r="H1582" s="51"/>
      <c r="I1582" s="51"/>
      <c r="J1582" s="66"/>
      <c r="K1582" s="66"/>
      <c r="L1582" s="66"/>
      <c r="M1582" s="50"/>
      <c r="N1582" s="67"/>
    </row>
    <row r="1583" ht="15.0" customHeight="1">
      <c r="A1583" s="51"/>
      <c r="B1583" s="50"/>
      <c r="C1583" s="50"/>
      <c r="D1583" s="50"/>
      <c r="E1583" s="50"/>
      <c r="F1583" s="50"/>
      <c r="G1583" s="52"/>
      <c r="H1583" s="51"/>
      <c r="I1583" s="51"/>
      <c r="J1583" s="66"/>
      <c r="K1583" s="66"/>
      <c r="L1583" s="66"/>
      <c r="M1583" s="50"/>
      <c r="N1583" s="67"/>
    </row>
    <row r="1584" ht="15.0" customHeight="1">
      <c r="A1584" s="51"/>
      <c r="B1584" s="50"/>
      <c r="C1584" s="50"/>
      <c r="D1584" s="50"/>
      <c r="E1584" s="50"/>
      <c r="F1584" s="50"/>
      <c r="G1584" s="52"/>
      <c r="H1584" s="51"/>
      <c r="I1584" s="51"/>
      <c r="J1584" s="66"/>
      <c r="K1584" s="66"/>
      <c r="L1584" s="66"/>
      <c r="M1584" s="50"/>
      <c r="N1584" s="67"/>
    </row>
    <row r="1585" ht="15.0" customHeight="1">
      <c r="A1585" s="51"/>
      <c r="B1585" s="50"/>
      <c r="C1585" s="50"/>
      <c r="D1585" s="50"/>
      <c r="E1585" s="50"/>
      <c r="F1585" s="50"/>
      <c r="G1585" s="52"/>
      <c r="H1585" s="51"/>
      <c r="I1585" s="51"/>
      <c r="J1585" s="66"/>
      <c r="K1585" s="66"/>
      <c r="L1585" s="66"/>
      <c r="M1585" s="50"/>
      <c r="N1585" s="67"/>
    </row>
    <row r="1586" ht="15.0" customHeight="1">
      <c r="A1586" s="51"/>
      <c r="B1586" s="50"/>
      <c r="C1586" s="50"/>
      <c r="D1586" s="50"/>
      <c r="E1586" s="50"/>
      <c r="F1586" s="50"/>
      <c r="G1586" s="52"/>
      <c r="H1586" s="51"/>
      <c r="I1586" s="51"/>
      <c r="J1586" s="66"/>
      <c r="K1586" s="66"/>
      <c r="L1586" s="66"/>
      <c r="M1586" s="50"/>
      <c r="N1586" s="67"/>
    </row>
    <row r="1587" ht="15.0" customHeight="1">
      <c r="A1587" s="51"/>
      <c r="B1587" s="50"/>
      <c r="C1587" s="50"/>
      <c r="D1587" s="50"/>
      <c r="E1587" s="50"/>
      <c r="F1587" s="50"/>
      <c r="G1587" s="52"/>
      <c r="H1587" s="51"/>
      <c r="I1587" s="51"/>
      <c r="J1587" s="66"/>
      <c r="K1587" s="66"/>
      <c r="L1587" s="66"/>
      <c r="M1587" s="50"/>
      <c r="N1587" s="67"/>
    </row>
    <row r="1588" ht="15.0" customHeight="1">
      <c r="A1588" s="51"/>
      <c r="B1588" s="50"/>
      <c r="C1588" s="50"/>
      <c r="D1588" s="50"/>
      <c r="E1588" s="50"/>
      <c r="F1588" s="50"/>
      <c r="G1588" s="52"/>
      <c r="H1588" s="51"/>
      <c r="I1588" s="51"/>
      <c r="J1588" s="66"/>
      <c r="K1588" s="66"/>
      <c r="L1588" s="66"/>
      <c r="M1588" s="50"/>
      <c r="N1588" s="67"/>
    </row>
    <row r="1589" ht="15.0" customHeight="1">
      <c r="A1589" s="51"/>
      <c r="B1589" s="50"/>
      <c r="C1589" s="50"/>
      <c r="D1589" s="50"/>
      <c r="E1589" s="50"/>
      <c r="F1589" s="50"/>
      <c r="G1589" s="52"/>
      <c r="H1589" s="51"/>
      <c r="I1589" s="51"/>
      <c r="J1589" s="66"/>
      <c r="K1589" s="66"/>
      <c r="L1589" s="66"/>
      <c r="M1589" s="50"/>
      <c r="N1589" s="67"/>
    </row>
    <row r="1590" ht="15.0" customHeight="1">
      <c r="A1590" s="51"/>
      <c r="B1590" s="50"/>
      <c r="C1590" s="50"/>
      <c r="D1590" s="50"/>
      <c r="E1590" s="50"/>
      <c r="F1590" s="50"/>
      <c r="G1590" s="52"/>
      <c r="H1590" s="51"/>
      <c r="I1590" s="51"/>
      <c r="J1590" s="66"/>
      <c r="K1590" s="66"/>
      <c r="L1590" s="66"/>
      <c r="M1590" s="50"/>
      <c r="N1590" s="67"/>
    </row>
    <row r="1591" ht="15.0" customHeight="1">
      <c r="A1591" s="51"/>
      <c r="B1591" s="50"/>
      <c r="C1591" s="50"/>
      <c r="D1591" s="50"/>
      <c r="E1591" s="50"/>
      <c r="F1591" s="50"/>
      <c r="G1591" s="52"/>
      <c r="H1591" s="51"/>
      <c r="I1591" s="51"/>
      <c r="J1591" s="66"/>
      <c r="K1591" s="66"/>
      <c r="L1591" s="66"/>
      <c r="M1591" s="50"/>
      <c r="N1591" s="67"/>
    </row>
    <row r="1592" ht="15.0" customHeight="1">
      <c r="A1592" s="51"/>
      <c r="B1592" s="50"/>
      <c r="C1592" s="50"/>
      <c r="D1592" s="50"/>
      <c r="E1592" s="50"/>
      <c r="F1592" s="50"/>
      <c r="G1592" s="52"/>
      <c r="H1592" s="51"/>
      <c r="I1592" s="51"/>
      <c r="J1592" s="66"/>
      <c r="K1592" s="66"/>
      <c r="L1592" s="66"/>
      <c r="M1592" s="50"/>
      <c r="N1592" s="67"/>
    </row>
    <row r="1593" ht="15.0" customHeight="1">
      <c r="A1593" s="51"/>
      <c r="B1593" s="50"/>
      <c r="C1593" s="50"/>
      <c r="D1593" s="50"/>
      <c r="E1593" s="50"/>
      <c r="F1593" s="50"/>
      <c r="G1593" s="52"/>
      <c r="H1593" s="51"/>
      <c r="I1593" s="51"/>
      <c r="J1593" s="66"/>
      <c r="K1593" s="66"/>
      <c r="L1593" s="66"/>
      <c r="M1593" s="50"/>
      <c r="N1593" s="67"/>
    </row>
    <row r="1594" ht="15.0" customHeight="1">
      <c r="A1594" s="51"/>
      <c r="B1594" s="50"/>
      <c r="C1594" s="50"/>
      <c r="D1594" s="50"/>
      <c r="E1594" s="50"/>
      <c r="F1594" s="50"/>
      <c r="G1594" s="52"/>
      <c r="H1594" s="51"/>
      <c r="I1594" s="51"/>
      <c r="J1594" s="66"/>
      <c r="K1594" s="66"/>
      <c r="L1594" s="66"/>
      <c r="M1594" s="50"/>
      <c r="N1594" s="67"/>
    </row>
    <row r="1595" ht="15.0" customHeight="1">
      <c r="A1595" s="51"/>
      <c r="B1595" s="50"/>
      <c r="C1595" s="50"/>
      <c r="D1595" s="50"/>
      <c r="E1595" s="50"/>
      <c r="F1595" s="50"/>
      <c r="G1595" s="52"/>
      <c r="H1595" s="51"/>
      <c r="I1595" s="51"/>
      <c r="J1595" s="66"/>
      <c r="K1595" s="66"/>
      <c r="L1595" s="66"/>
      <c r="M1595" s="50"/>
      <c r="N1595" s="67"/>
    </row>
    <row r="1596" ht="15.0" customHeight="1">
      <c r="A1596" s="51"/>
      <c r="B1596" s="50"/>
      <c r="C1596" s="50"/>
      <c r="D1596" s="50"/>
      <c r="E1596" s="50"/>
      <c r="F1596" s="50"/>
      <c r="G1596" s="52"/>
      <c r="H1596" s="51"/>
      <c r="I1596" s="51"/>
      <c r="J1596" s="66"/>
      <c r="K1596" s="66"/>
      <c r="L1596" s="66"/>
      <c r="M1596" s="50"/>
      <c r="N1596" s="67"/>
    </row>
    <row r="1597" ht="15.0" customHeight="1">
      <c r="A1597" s="51"/>
      <c r="B1597" s="50"/>
      <c r="C1597" s="50"/>
      <c r="D1597" s="50"/>
      <c r="E1597" s="50"/>
      <c r="F1597" s="50"/>
      <c r="G1597" s="52"/>
      <c r="H1597" s="51"/>
      <c r="I1597" s="51"/>
      <c r="J1597" s="66"/>
      <c r="K1597" s="66"/>
      <c r="L1597" s="66"/>
      <c r="M1597" s="50"/>
      <c r="N1597" s="67"/>
    </row>
    <row r="1598" ht="15.0" customHeight="1">
      <c r="A1598" s="51"/>
      <c r="B1598" s="50"/>
      <c r="C1598" s="50"/>
      <c r="D1598" s="50"/>
      <c r="E1598" s="50"/>
      <c r="F1598" s="50"/>
      <c r="G1598" s="52"/>
      <c r="H1598" s="51"/>
      <c r="I1598" s="51"/>
      <c r="J1598" s="66"/>
      <c r="K1598" s="66"/>
      <c r="L1598" s="66"/>
      <c r="M1598" s="50"/>
      <c r="N1598" s="67"/>
    </row>
    <row r="1599" ht="15.0" customHeight="1">
      <c r="A1599" s="51"/>
      <c r="B1599" s="50"/>
      <c r="C1599" s="50"/>
      <c r="D1599" s="50"/>
      <c r="E1599" s="50"/>
      <c r="F1599" s="50"/>
      <c r="G1599" s="52"/>
      <c r="H1599" s="51"/>
      <c r="I1599" s="51"/>
      <c r="J1599" s="66"/>
      <c r="K1599" s="66"/>
      <c r="L1599" s="66"/>
      <c r="M1599" s="50"/>
      <c r="N1599" s="67"/>
    </row>
    <row r="1600" ht="15.0" customHeight="1">
      <c r="A1600" s="51"/>
      <c r="B1600" s="50"/>
      <c r="C1600" s="50"/>
      <c r="D1600" s="50"/>
      <c r="E1600" s="50"/>
      <c r="F1600" s="50"/>
      <c r="G1600" s="52"/>
      <c r="H1600" s="51"/>
      <c r="I1600" s="51"/>
      <c r="J1600" s="66"/>
      <c r="K1600" s="66"/>
      <c r="L1600" s="66"/>
      <c r="M1600" s="50"/>
      <c r="N1600" s="67"/>
    </row>
    <row r="1601" ht="15.0" customHeight="1">
      <c r="A1601" s="51"/>
      <c r="B1601" s="50"/>
      <c r="C1601" s="50"/>
      <c r="D1601" s="50"/>
      <c r="E1601" s="50"/>
      <c r="F1601" s="50"/>
      <c r="G1601" s="52"/>
      <c r="H1601" s="51"/>
      <c r="I1601" s="51"/>
      <c r="J1601" s="66"/>
      <c r="K1601" s="66"/>
      <c r="L1601" s="66"/>
      <c r="M1601" s="50"/>
      <c r="N1601" s="67"/>
    </row>
    <row r="1602" ht="15.0" customHeight="1">
      <c r="A1602" s="51"/>
      <c r="B1602" s="50"/>
      <c r="C1602" s="50"/>
      <c r="D1602" s="50"/>
      <c r="E1602" s="50"/>
      <c r="F1602" s="50"/>
      <c r="G1602" s="52"/>
      <c r="H1602" s="51"/>
      <c r="I1602" s="51"/>
      <c r="J1602" s="66"/>
      <c r="K1602" s="66"/>
      <c r="L1602" s="66"/>
      <c r="M1602" s="50"/>
      <c r="N1602" s="67"/>
    </row>
    <row r="1603" ht="15.0" customHeight="1">
      <c r="A1603" s="51"/>
      <c r="B1603" s="50"/>
      <c r="C1603" s="50"/>
      <c r="D1603" s="50"/>
      <c r="E1603" s="50"/>
      <c r="F1603" s="50"/>
      <c r="G1603" s="52"/>
      <c r="H1603" s="51"/>
      <c r="I1603" s="51"/>
      <c r="J1603" s="66"/>
      <c r="K1603" s="66"/>
      <c r="L1603" s="66"/>
      <c r="M1603" s="50"/>
      <c r="N1603" s="67"/>
    </row>
    <row r="1604" ht="15.0" customHeight="1">
      <c r="A1604" s="51"/>
      <c r="B1604" s="50"/>
      <c r="C1604" s="50"/>
      <c r="D1604" s="50"/>
      <c r="E1604" s="50"/>
      <c r="F1604" s="50"/>
      <c r="G1604" s="52"/>
      <c r="H1604" s="51"/>
      <c r="I1604" s="51"/>
      <c r="J1604" s="66"/>
      <c r="K1604" s="66"/>
      <c r="L1604" s="66"/>
      <c r="M1604" s="50"/>
      <c r="N1604" s="67"/>
    </row>
    <row r="1605" ht="15.0" customHeight="1">
      <c r="A1605" s="51"/>
      <c r="B1605" s="50"/>
      <c r="C1605" s="50"/>
      <c r="D1605" s="50"/>
      <c r="E1605" s="50"/>
      <c r="F1605" s="50"/>
      <c r="G1605" s="52"/>
      <c r="H1605" s="51"/>
      <c r="I1605" s="51"/>
      <c r="J1605" s="66"/>
      <c r="K1605" s="66"/>
      <c r="L1605" s="66"/>
      <c r="M1605" s="50"/>
      <c r="N1605" s="67"/>
    </row>
    <row r="1606" ht="15.0" customHeight="1">
      <c r="A1606" s="51"/>
      <c r="B1606" s="50"/>
      <c r="C1606" s="50"/>
      <c r="D1606" s="50"/>
      <c r="E1606" s="50"/>
      <c r="F1606" s="50"/>
      <c r="G1606" s="52"/>
      <c r="H1606" s="51"/>
      <c r="I1606" s="51"/>
      <c r="J1606" s="66"/>
      <c r="K1606" s="66"/>
      <c r="L1606" s="66"/>
      <c r="M1606" s="50"/>
      <c r="N1606" s="67"/>
    </row>
    <row r="1607" ht="15.0" customHeight="1">
      <c r="A1607" s="51"/>
      <c r="B1607" s="50"/>
      <c r="C1607" s="50"/>
      <c r="D1607" s="50"/>
      <c r="E1607" s="50"/>
      <c r="F1607" s="50"/>
      <c r="G1607" s="52"/>
      <c r="H1607" s="51"/>
      <c r="I1607" s="51"/>
      <c r="J1607" s="66"/>
      <c r="K1607" s="66"/>
      <c r="L1607" s="66"/>
      <c r="M1607" s="50"/>
      <c r="N1607" s="67"/>
    </row>
    <row r="1608" ht="15.0" customHeight="1">
      <c r="A1608" s="51"/>
      <c r="B1608" s="50"/>
      <c r="C1608" s="50"/>
      <c r="D1608" s="50"/>
      <c r="E1608" s="50"/>
      <c r="F1608" s="50"/>
      <c r="G1608" s="52"/>
      <c r="H1608" s="51"/>
      <c r="I1608" s="51"/>
      <c r="J1608" s="66"/>
      <c r="K1608" s="66"/>
      <c r="L1608" s="66"/>
      <c r="M1608" s="50"/>
      <c r="N1608" s="67"/>
    </row>
    <row r="1609" ht="15.0" customHeight="1">
      <c r="A1609" s="51"/>
      <c r="B1609" s="50"/>
      <c r="C1609" s="50"/>
      <c r="D1609" s="50"/>
      <c r="E1609" s="50"/>
      <c r="F1609" s="50"/>
      <c r="G1609" s="52"/>
      <c r="H1609" s="51"/>
      <c r="I1609" s="51"/>
      <c r="J1609" s="66"/>
      <c r="K1609" s="66"/>
      <c r="L1609" s="66"/>
      <c r="M1609" s="50"/>
      <c r="N1609" s="67"/>
    </row>
    <row r="1610" ht="15.0" customHeight="1">
      <c r="A1610" s="51"/>
      <c r="B1610" s="50"/>
      <c r="C1610" s="50"/>
      <c r="D1610" s="50"/>
      <c r="E1610" s="50"/>
      <c r="F1610" s="50"/>
      <c r="G1610" s="52"/>
      <c r="H1610" s="51"/>
      <c r="I1610" s="51"/>
      <c r="J1610" s="66"/>
      <c r="K1610" s="66"/>
      <c r="L1610" s="66"/>
      <c r="M1610" s="50"/>
      <c r="N1610" s="67"/>
    </row>
    <row r="1611" ht="15.0" customHeight="1">
      <c r="A1611" s="51"/>
      <c r="B1611" s="50"/>
      <c r="C1611" s="50"/>
      <c r="D1611" s="50"/>
      <c r="E1611" s="50"/>
      <c r="F1611" s="50"/>
      <c r="G1611" s="52"/>
      <c r="H1611" s="51"/>
      <c r="I1611" s="51"/>
      <c r="J1611" s="66"/>
      <c r="K1611" s="66"/>
      <c r="L1611" s="66"/>
      <c r="M1611" s="50"/>
      <c r="N1611" s="67"/>
    </row>
    <row r="1612" ht="15.0" customHeight="1">
      <c r="A1612" s="51"/>
      <c r="B1612" s="50"/>
      <c r="C1612" s="50"/>
      <c r="D1612" s="50"/>
      <c r="E1612" s="50"/>
      <c r="F1612" s="50"/>
      <c r="G1612" s="52"/>
      <c r="H1612" s="51"/>
      <c r="I1612" s="51"/>
      <c r="J1612" s="66"/>
      <c r="K1612" s="66"/>
      <c r="L1612" s="66"/>
      <c r="M1612" s="50"/>
      <c r="N1612" s="67"/>
    </row>
    <row r="1613" ht="15.0" customHeight="1">
      <c r="A1613" s="51"/>
      <c r="B1613" s="50"/>
      <c r="C1613" s="50"/>
      <c r="D1613" s="50"/>
      <c r="E1613" s="50"/>
      <c r="F1613" s="50"/>
      <c r="G1613" s="52"/>
      <c r="H1613" s="51"/>
      <c r="I1613" s="51"/>
      <c r="J1613" s="66"/>
      <c r="K1613" s="66"/>
      <c r="L1613" s="66"/>
      <c r="M1613" s="50"/>
      <c r="N1613" s="67"/>
    </row>
    <row r="1614" ht="15.0" customHeight="1">
      <c r="A1614" s="51"/>
      <c r="B1614" s="50"/>
      <c r="C1614" s="50"/>
      <c r="D1614" s="50"/>
      <c r="E1614" s="50"/>
      <c r="F1614" s="50"/>
      <c r="G1614" s="52"/>
      <c r="H1614" s="51"/>
      <c r="I1614" s="51"/>
      <c r="J1614" s="66"/>
      <c r="K1614" s="66"/>
      <c r="L1614" s="66"/>
      <c r="M1614" s="50"/>
      <c r="N1614" s="67"/>
    </row>
    <row r="1615" ht="15.0" customHeight="1">
      <c r="A1615" s="51"/>
      <c r="B1615" s="50"/>
      <c r="C1615" s="50"/>
      <c r="D1615" s="50"/>
      <c r="E1615" s="50"/>
      <c r="F1615" s="50"/>
      <c r="G1615" s="52"/>
      <c r="H1615" s="51"/>
      <c r="I1615" s="51"/>
      <c r="J1615" s="66"/>
      <c r="K1615" s="66"/>
      <c r="L1615" s="66"/>
      <c r="M1615" s="50"/>
      <c r="N1615" s="67"/>
    </row>
    <row r="1616" ht="15.0" customHeight="1">
      <c r="A1616" s="51"/>
      <c r="B1616" s="50"/>
      <c r="C1616" s="50"/>
      <c r="D1616" s="50"/>
      <c r="E1616" s="50"/>
      <c r="F1616" s="50"/>
      <c r="G1616" s="52"/>
      <c r="H1616" s="51"/>
      <c r="I1616" s="51"/>
      <c r="J1616" s="66"/>
      <c r="K1616" s="66"/>
      <c r="L1616" s="66"/>
      <c r="M1616" s="50"/>
      <c r="N1616" s="67"/>
    </row>
    <row r="1617" ht="15.0" customHeight="1">
      <c r="A1617" s="51"/>
      <c r="B1617" s="50"/>
      <c r="C1617" s="50"/>
      <c r="D1617" s="50"/>
      <c r="E1617" s="50"/>
      <c r="F1617" s="50"/>
      <c r="G1617" s="52"/>
      <c r="H1617" s="51"/>
      <c r="I1617" s="51"/>
      <c r="J1617" s="66"/>
      <c r="K1617" s="66"/>
      <c r="L1617" s="66"/>
      <c r="M1617" s="50"/>
      <c r="N1617" s="67"/>
    </row>
    <row r="1618" ht="15.0" customHeight="1">
      <c r="A1618" s="51"/>
      <c r="B1618" s="50"/>
      <c r="C1618" s="50"/>
      <c r="D1618" s="50"/>
      <c r="E1618" s="50"/>
      <c r="F1618" s="50"/>
      <c r="G1618" s="52"/>
      <c r="H1618" s="51"/>
      <c r="I1618" s="51"/>
      <c r="J1618" s="66"/>
      <c r="K1618" s="66"/>
      <c r="L1618" s="66"/>
      <c r="M1618" s="50"/>
      <c r="N1618" s="67"/>
    </row>
    <row r="1619" ht="15.0" customHeight="1">
      <c r="A1619" s="51"/>
      <c r="B1619" s="50"/>
      <c r="C1619" s="50"/>
      <c r="D1619" s="50"/>
      <c r="E1619" s="50"/>
      <c r="F1619" s="50"/>
      <c r="G1619" s="52"/>
      <c r="H1619" s="51"/>
      <c r="I1619" s="51"/>
      <c r="J1619" s="66"/>
      <c r="K1619" s="66"/>
      <c r="L1619" s="66"/>
      <c r="M1619" s="50"/>
      <c r="N1619" s="67"/>
    </row>
    <row r="1620" ht="15.0" customHeight="1">
      <c r="A1620" s="51"/>
      <c r="B1620" s="50"/>
      <c r="C1620" s="50"/>
      <c r="D1620" s="50"/>
      <c r="E1620" s="50"/>
      <c r="F1620" s="50"/>
      <c r="G1620" s="52"/>
      <c r="H1620" s="51"/>
      <c r="I1620" s="51"/>
      <c r="J1620" s="66"/>
      <c r="K1620" s="66"/>
      <c r="L1620" s="66"/>
      <c r="M1620" s="50"/>
      <c r="N1620" s="67"/>
    </row>
    <row r="1621" ht="15.0" customHeight="1">
      <c r="A1621" s="51"/>
      <c r="B1621" s="50"/>
      <c r="C1621" s="50"/>
      <c r="D1621" s="50"/>
      <c r="E1621" s="50"/>
      <c r="F1621" s="50"/>
      <c r="G1621" s="52"/>
      <c r="H1621" s="51"/>
      <c r="I1621" s="51"/>
      <c r="J1621" s="66"/>
      <c r="K1621" s="66"/>
      <c r="L1621" s="66"/>
      <c r="M1621" s="50"/>
      <c r="N1621" s="67"/>
    </row>
    <row r="1622" ht="15.0" customHeight="1">
      <c r="A1622" s="51"/>
      <c r="B1622" s="50"/>
      <c r="C1622" s="50"/>
      <c r="D1622" s="50"/>
      <c r="E1622" s="50"/>
      <c r="F1622" s="50"/>
      <c r="G1622" s="52"/>
      <c r="H1622" s="51"/>
      <c r="I1622" s="51"/>
      <c r="J1622" s="66"/>
      <c r="K1622" s="66"/>
      <c r="L1622" s="66"/>
      <c r="M1622" s="50"/>
      <c r="N1622" s="67"/>
    </row>
    <row r="1623" ht="15.0" customHeight="1">
      <c r="A1623" s="51"/>
      <c r="B1623" s="50"/>
      <c r="C1623" s="50"/>
      <c r="D1623" s="50"/>
      <c r="E1623" s="50"/>
      <c r="F1623" s="50"/>
      <c r="G1623" s="52"/>
      <c r="H1623" s="51"/>
      <c r="I1623" s="51"/>
      <c r="J1623" s="66"/>
      <c r="K1623" s="66"/>
      <c r="L1623" s="66"/>
      <c r="M1623" s="50"/>
      <c r="N1623" s="67"/>
    </row>
    <row r="1624" ht="15.0" customHeight="1">
      <c r="A1624" s="51"/>
      <c r="B1624" s="50"/>
      <c r="C1624" s="50"/>
      <c r="D1624" s="50"/>
      <c r="E1624" s="50"/>
      <c r="F1624" s="50"/>
      <c r="G1624" s="52"/>
      <c r="H1624" s="51"/>
      <c r="I1624" s="51"/>
      <c r="J1624" s="66"/>
      <c r="K1624" s="66"/>
      <c r="L1624" s="66"/>
      <c r="M1624" s="50"/>
      <c r="N1624" s="67"/>
    </row>
    <row r="1625" ht="15.0" customHeight="1">
      <c r="A1625" s="51"/>
      <c r="B1625" s="50"/>
      <c r="C1625" s="50"/>
      <c r="D1625" s="50"/>
      <c r="E1625" s="50"/>
      <c r="F1625" s="50"/>
      <c r="G1625" s="52"/>
      <c r="H1625" s="51"/>
      <c r="I1625" s="51"/>
      <c r="J1625" s="66"/>
      <c r="K1625" s="66"/>
      <c r="L1625" s="66"/>
      <c r="M1625" s="50"/>
      <c r="N1625" s="67"/>
    </row>
    <row r="1626" ht="15.0" customHeight="1">
      <c r="A1626" s="51"/>
      <c r="B1626" s="50"/>
      <c r="C1626" s="50"/>
      <c r="D1626" s="50"/>
      <c r="E1626" s="50"/>
      <c r="F1626" s="50"/>
      <c r="G1626" s="52"/>
      <c r="H1626" s="51"/>
      <c r="I1626" s="51"/>
      <c r="J1626" s="66"/>
      <c r="K1626" s="66"/>
      <c r="L1626" s="66"/>
      <c r="M1626" s="50"/>
      <c r="N1626" s="67"/>
    </row>
    <row r="1627" ht="15.0" customHeight="1">
      <c r="A1627" s="51"/>
      <c r="B1627" s="50"/>
      <c r="C1627" s="50"/>
      <c r="D1627" s="50"/>
      <c r="E1627" s="50"/>
      <c r="F1627" s="50"/>
      <c r="G1627" s="52"/>
      <c r="H1627" s="51"/>
      <c r="I1627" s="51"/>
      <c r="J1627" s="66"/>
      <c r="K1627" s="66"/>
      <c r="L1627" s="66"/>
      <c r="M1627" s="50"/>
      <c r="N1627" s="67"/>
    </row>
    <row r="1628" ht="15.0" customHeight="1">
      <c r="A1628" s="51"/>
      <c r="B1628" s="50"/>
      <c r="C1628" s="50"/>
      <c r="D1628" s="50"/>
      <c r="E1628" s="50"/>
      <c r="F1628" s="50"/>
      <c r="G1628" s="52"/>
      <c r="H1628" s="51"/>
      <c r="I1628" s="51"/>
      <c r="J1628" s="66"/>
      <c r="K1628" s="66"/>
      <c r="L1628" s="66"/>
      <c r="M1628" s="50"/>
      <c r="N1628" s="67"/>
    </row>
    <row r="1629" ht="15.0" customHeight="1">
      <c r="A1629" s="51"/>
      <c r="B1629" s="50"/>
      <c r="C1629" s="50"/>
      <c r="D1629" s="50"/>
      <c r="E1629" s="50"/>
      <c r="F1629" s="50"/>
      <c r="G1629" s="52"/>
      <c r="H1629" s="51"/>
      <c r="I1629" s="51"/>
      <c r="J1629" s="66"/>
      <c r="K1629" s="66"/>
      <c r="L1629" s="66"/>
      <c r="M1629" s="50"/>
      <c r="N1629" s="67"/>
    </row>
    <row r="1630" ht="15.0" customHeight="1">
      <c r="A1630" s="51"/>
      <c r="B1630" s="50"/>
      <c r="C1630" s="50"/>
      <c r="D1630" s="50"/>
      <c r="E1630" s="50"/>
      <c r="F1630" s="50"/>
      <c r="G1630" s="52"/>
      <c r="H1630" s="51"/>
      <c r="I1630" s="51"/>
      <c r="J1630" s="66"/>
      <c r="K1630" s="66"/>
      <c r="L1630" s="66"/>
      <c r="M1630" s="50"/>
      <c r="N1630" s="67"/>
    </row>
    <row r="1631" ht="15.0" customHeight="1">
      <c r="A1631" s="51"/>
      <c r="B1631" s="50"/>
      <c r="C1631" s="50"/>
      <c r="D1631" s="50"/>
      <c r="E1631" s="50"/>
      <c r="F1631" s="50"/>
      <c r="G1631" s="52"/>
      <c r="H1631" s="51"/>
      <c r="I1631" s="51"/>
      <c r="J1631" s="66"/>
      <c r="K1631" s="66"/>
      <c r="L1631" s="66"/>
      <c r="M1631" s="50"/>
      <c r="N1631" s="67"/>
    </row>
    <row r="1632" ht="15.0" customHeight="1">
      <c r="A1632" s="51"/>
      <c r="B1632" s="50"/>
      <c r="C1632" s="50"/>
      <c r="D1632" s="50"/>
      <c r="E1632" s="50"/>
      <c r="F1632" s="50"/>
      <c r="G1632" s="52"/>
      <c r="H1632" s="51"/>
      <c r="I1632" s="51"/>
      <c r="J1632" s="66"/>
      <c r="K1632" s="66"/>
      <c r="L1632" s="66"/>
      <c r="M1632" s="50"/>
      <c r="N1632" s="67"/>
    </row>
    <row r="1633" ht="15.0" customHeight="1">
      <c r="A1633" s="51"/>
      <c r="B1633" s="50"/>
      <c r="C1633" s="50"/>
      <c r="D1633" s="50"/>
      <c r="E1633" s="50"/>
      <c r="F1633" s="50"/>
      <c r="G1633" s="52"/>
      <c r="H1633" s="51"/>
      <c r="I1633" s="51"/>
      <c r="J1633" s="66"/>
      <c r="K1633" s="66"/>
      <c r="L1633" s="66"/>
      <c r="M1633" s="50"/>
      <c r="N1633" s="67"/>
    </row>
    <row r="1634" ht="15.0" customHeight="1">
      <c r="A1634" s="51"/>
      <c r="B1634" s="50"/>
      <c r="C1634" s="50"/>
      <c r="D1634" s="50"/>
      <c r="E1634" s="50"/>
      <c r="F1634" s="50"/>
      <c r="G1634" s="52"/>
      <c r="H1634" s="51"/>
      <c r="I1634" s="51"/>
      <c r="J1634" s="66"/>
      <c r="K1634" s="66"/>
      <c r="L1634" s="66"/>
      <c r="M1634" s="50"/>
      <c r="N1634" s="67"/>
    </row>
    <row r="1635" ht="15.0" customHeight="1">
      <c r="A1635" s="51"/>
      <c r="B1635" s="50"/>
      <c r="C1635" s="50"/>
      <c r="D1635" s="50"/>
      <c r="E1635" s="50"/>
      <c r="F1635" s="50"/>
      <c r="G1635" s="52"/>
      <c r="H1635" s="51"/>
      <c r="I1635" s="51"/>
      <c r="J1635" s="66"/>
      <c r="K1635" s="66"/>
      <c r="L1635" s="66"/>
      <c r="M1635" s="50"/>
      <c r="N1635" s="67"/>
    </row>
    <row r="1636" ht="15.0" customHeight="1">
      <c r="A1636" s="51"/>
      <c r="B1636" s="50"/>
      <c r="C1636" s="50"/>
      <c r="D1636" s="50"/>
      <c r="E1636" s="50"/>
      <c r="F1636" s="50"/>
      <c r="G1636" s="52"/>
      <c r="H1636" s="51"/>
      <c r="I1636" s="51"/>
      <c r="J1636" s="66"/>
      <c r="K1636" s="66"/>
      <c r="L1636" s="66"/>
      <c r="M1636" s="50"/>
      <c r="N1636" s="67"/>
    </row>
    <row r="1637" ht="15.0" customHeight="1">
      <c r="A1637" s="51"/>
      <c r="B1637" s="50"/>
      <c r="C1637" s="50"/>
      <c r="D1637" s="50"/>
      <c r="E1637" s="50"/>
      <c r="F1637" s="50"/>
      <c r="G1637" s="52"/>
      <c r="H1637" s="51"/>
      <c r="I1637" s="51"/>
      <c r="J1637" s="66"/>
      <c r="K1637" s="66"/>
      <c r="L1637" s="66"/>
      <c r="M1637" s="50"/>
      <c r="N1637" s="67"/>
    </row>
    <row r="1638" ht="15.0" customHeight="1">
      <c r="A1638" s="51"/>
      <c r="B1638" s="50"/>
      <c r="C1638" s="50"/>
      <c r="D1638" s="50"/>
      <c r="E1638" s="50"/>
      <c r="F1638" s="50"/>
      <c r="G1638" s="52"/>
      <c r="H1638" s="51"/>
      <c r="I1638" s="51"/>
      <c r="J1638" s="66"/>
      <c r="K1638" s="66"/>
      <c r="L1638" s="66"/>
      <c r="M1638" s="50"/>
      <c r="N1638" s="67"/>
    </row>
    <row r="1639" ht="15.0" customHeight="1">
      <c r="A1639" s="51"/>
      <c r="B1639" s="50"/>
      <c r="C1639" s="50"/>
      <c r="D1639" s="50"/>
      <c r="E1639" s="50"/>
      <c r="F1639" s="50"/>
      <c r="G1639" s="52"/>
      <c r="H1639" s="51"/>
      <c r="I1639" s="51"/>
      <c r="J1639" s="66"/>
      <c r="K1639" s="66"/>
      <c r="L1639" s="66"/>
      <c r="M1639" s="50"/>
      <c r="N1639" s="67"/>
    </row>
    <row r="1640" ht="15.0" customHeight="1">
      <c r="A1640" s="51"/>
      <c r="B1640" s="50"/>
      <c r="C1640" s="50"/>
      <c r="D1640" s="50"/>
      <c r="E1640" s="50"/>
      <c r="F1640" s="50"/>
      <c r="G1640" s="52"/>
      <c r="H1640" s="51"/>
      <c r="I1640" s="51"/>
      <c r="J1640" s="66"/>
      <c r="K1640" s="66"/>
      <c r="L1640" s="66"/>
      <c r="M1640" s="50"/>
      <c r="N1640" s="67"/>
    </row>
    <row r="1641" ht="15.0" customHeight="1">
      <c r="A1641" s="51"/>
      <c r="B1641" s="50"/>
      <c r="C1641" s="50"/>
      <c r="D1641" s="50"/>
      <c r="E1641" s="50"/>
      <c r="F1641" s="50"/>
      <c r="G1641" s="52"/>
      <c r="H1641" s="51"/>
      <c r="I1641" s="51"/>
      <c r="J1641" s="66"/>
      <c r="K1641" s="66"/>
      <c r="L1641" s="66"/>
      <c r="M1641" s="50"/>
      <c r="N1641" s="67"/>
    </row>
    <row r="1642" ht="15.0" customHeight="1">
      <c r="A1642" s="51"/>
      <c r="B1642" s="50"/>
      <c r="C1642" s="50"/>
      <c r="D1642" s="50"/>
      <c r="E1642" s="50"/>
      <c r="F1642" s="50"/>
      <c r="G1642" s="52"/>
      <c r="H1642" s="51"/>
      <c r="I1642" s="51"/>
      <c r="J1642" s="66"/>
      <c r="K1642" s="66"/>
      <c r="L1642" s="66"/>
      <c r="M1642" s="50"/>
      <c r="N1642" s="67"/>
    </row>
    <row r="1643" ht="15.0" customHeight="1">
      <c r="A1643" s="51"/>
      <c r="B1643" s="50"/>
      <c r="C1643" s="50"/>
      <c r="D1643" s="50"/>
      <c r="E1643" s="50"/>
      <c r="F1643" s="50"/>
      <c r="G1643" s="52"/>
      <c r="H1643" s="51"/>
      <c r="I1643" s="51"/>
      <c r="J1643" s="66"/>
      <c r="K1643" s="66"/>
      <c r="L1643" s="66"/>
      <c r="M1643" s="50"/>
      <c r="N1643" s="67"/>
    </row>
    <row r="1644" ht="15.0" customHeight="1">
      <c r="A1644" s="51"/>
      <c r="B1644" s="50"/>
      <c r="C1644" s="50"/>
      <c r="D1644" s="50"/>
      <c r="E1644" s="50"/>
      <c r="F1644" s="50"/>
      <c r="G1644" s="52"/>
      <c r="H1644" s="51"/>
      <c r="I1644" s="51"/>
      <c r="J1644" s="66"/>
      <c r="K1644" s="66"/>
      <c r="L1644" s="66"/>
      <c r="M1644" s="50"/>
      <c r="N1644" s="67"/>
    </row>
    <row r="1645" ht="15.0" customHeight="1">
      <c r="A1645" s="51"/>
      <c r="B1645" s="50"/>
      <c r="C1645" s="50"/>
      <c r="D1645" s="50"/>
      <c r="E1645" s="50"/>
      <c r="F1645" s="50"/>
      <c r="G1645" s="52"/>
      <c r="H1645" s="51"/>
      <c r="I1645" s="51"/>
      <c r="J1645" s="66"/>
      <c r="K1645" s="66"/>
      <c r="L1645" s="66"/>
      <c r="M1645" s="50"/>
      <c r="N1645" s="67"/>
    </row>
    <row r="1646" ht="15.0" customHeight="1">
      <c r="A1646" s="51"/>
      <c r="B1646" s="50"/>
      <c r="C1646" s="50"/>
      <c r="D1646" s="50"/>
      <c r="E1646" s="50"/>
      <c r="F1646" s="50"/>
      <c r="G1646" s="52"/>
      <c r="H1646" s="51"/>
      <c r="I1646" s="51"/>
      <c r="J1646" s="66"/>
      <c r="K1646" s="66"/>
      <c r="L1646" s="66"/>
      <c r="M1646" s="50"/>
      <c r="N1646" s="67"/>
    </row>
    <row r="1647" ht="15.0" customHeight="1">
      <c r="A1647" s="51"/>
      <c r="B1647" s="50"/>
      <c r="C1647" s="50"/>
      <c r="D1647" s="50"/>
      <c r="E1647" s="50"/>
      <c r="F1647" s="50"/>
      <c r="G1647" s="52"/>
      <c r="H1647" s="51"/>
      <c r="I1647" s="51"/>
      <c r="J1647" s="66"/>
      <c r="K1647" s="66"/>
      <c r="L1647" s="66"/>
      <c r="M1647" s="50"/>
      <c r="N1647" s="67"/>
    </row>
    <row r="1648" ht="15.0" customHeight="1">
      <c r="A1648" s="51"/>
      <c r="B1648" s="50"/>
      <c r="C1648" s="50"/>
      <c r="D1648" s="50"/>
      <c r="E1648" s="50"/>
      <c r="F1648" s="50"/>
      <c r="G1648" s="52"/>
      <c r="H1648" s="51"/>
      <c r="I1648" s="51"/>
      <c r="J1648" s="66"/>
      <c r="K1648" s="66"/>
      <c r="L1648" s="66"/>
      <c r="M1648" s="50"/>
      <c r="N1648" s="67"/>
    </row>
    <row r="1649" ht="15.0" customHeight="1">
      <c r="A1649" s="51"/>
      <c r="B1649" s="50"/>
      <c r="C1649" s="50"/>
      <c r="D1649" s="50"/>
      <c r="E1649" s="50"/>
      <c r="F1649" s="50"/>
      <c r="G1649" s="52"/>
      <c r="H1649" s="51"/>
      <c r="I1649" s="51"/>
      <c r="J1649" s="66"/>
      <c r="K1649" s="66"/>
      <c r="L1649" s="66"/>
      <c r="M1649" s="50"/>
      <c r="N1649" s="67"/>
    </row>
    <row r="1650" ht="15.0" customHeight="1">
      <c r="A1650" s="51"/>
      <c r="B1650" s="50"/>
      <c r="C1650" s="50"/>
      <c r="D1650" s="50"/>
      <c r="E1650" s="50"/>
      <c r="F1650" s="50"/>
      <c r="G1650" s="52"/>
      <c r="H1650" s="51"/>
      <c r="I1650" s="51"/>
      <c r="J1650" s="66"/>
      <c r="K1650" s="66"/>
      <c r="L1650" s="66"/>
      <c r="M1650" s="50"/>
      <c r="N1650" s="67"/>
    </row>
    <row r="1651" ht="15.0" customHeight="1">
      <c r="A1651" s="51"/>
      <c r="B1651" s="50"/>
      <c r="C1651" s="50"/>
      <c r="D1651" s="50"/>
      <c r="E1651" s="50"/>
      <c r="F1651" s="50"/>
      <c r="G1651" s="52"/>
      <c r="H1651" s="51"/>
      <c r="I1651" s="51"/>
      <c r="J1651" s="66"/>
      <c r="K1651" s="66"/>
      <c r="L1651" s="66"/>
      <c r="M1651" s="50"/>
      <c r="N1651" s="67"/>
    </row>
    <row r="1652" ht="15.0" customHeight="1">
      <c r="A1652" s="51"/>
      <c r="B1652" s="50"/>
      <c r="C1652" s="50"/>
      <c r="D1652" s="50"/>
      <c r="E1652" s="50"/>
      <c r="F1652" s="50"/>
      <c r="G1652" s="52"/>
      <c r="H1652" s="51"/>
      <c r="I1652" s="51"/>
      <c r="J1652" s="66"/>
      <c r="K1652" s="66"/>
      <c r="L1652" s="66"/>
      <c r="M1652" s="50"/>
      <c r="N1652" s="67"/>
    </row>
    <row r="1653" ht="15.0" customHeight="1">
      <c r="A1653" s="51"/>
      <c r="B1653" s="50"/>
      <c r="C1653" s="50"/>
      <c r="D1653" s="50"/>
      <c r="E1653" s="50"/>
      <c r="F1653" s="50"/>
      <c r="G1653" s="52"/>
      <c r="H1653" s="51"/>
      <c r="I1653" s="51"/>
      <c r="J1653" s="66"/>
      <c r="K1653" s="66"/>
      <c r="L1653" s="66"/>
      <c r="M1653" s="50"/>
      <c r="N1653" s="67"/>
    </row>
    <row r="1654" ht="15.0" customHeight="1">
      <c r="A1654" s="51"/>
      <c r="B1654" s="50"/>
      <c r="C1654" s="50"/>
      <c r="D1654" s="50"/>
      <c r="E1654" s="50"/>
      <c r="F1654" s="50"/>
      <c r="G1654" s="52"/>
      <c r="H1654" s="51"/>
      <c r="I1654" s="51"/>
      <c r="J1654" s="66"/>
      <c r="K1654" s="66"/>
      <c r="L1654" s="66"/>
      <c r="M1654" s="50"/>
      <c r="N1654" s="67"/>
    </row>
    <row r="1655" ht="15.0" customHeight="1">
      <c r="A1655" s="51"/>
      <c r="B1655" s="50"/>
      <c r="C1655" s="50"/>
      <c r="D1655" s="50"/>
      <c r="E1655" s="50"/>
      <c r="F1655" s="50"/>
      <c r="G1655" s="52"/>
      <c r="H1655" s="51"/>
      <c r="I1655" s="51"/>
      <c r="J1655" s="66"/>
      <c r="K1655" s="66"/>
      <c r="L1655" s="66"/>
      <c r="M1655" s="50"/>
      <c r="N1655" s="67"/>
    </row>
    <row r="1656" ht="15.0" customHeight="1">
      <c r="A1656" s="51"/>
      <c r="B1656" s="50"/>
      <c r="C1656" s="50"/>
      <c r="D1656" s="50"/>
      <c r="E1656" s="50"/>
      <c r="F1656" s="50"/>
      <c r="G1656" s="52"/>
      <c r="H1656" s="51"/>
      <c r="I1656" s="51"/>
      <c r="J1656" s="66"/>
      <c r="K1656" s="66"/>
      <c r="L1656" s="66"/>
      <c r="M1656" s="50"/>
      <c r="N1656" s="67"/>
    </row>
    <row r="1657" ht="15.0" customHeight="1">
      <c r="A1657" s="51"/>
      <c r="B1657" s="50"/>
      <c r="C1657" s="50"/>
      <c r="D1657" s="50"/>
      <c r="E1657" s="50"/>
      <c r="F1657" s="50"/>
      <c r="G1657" s="52"/>
      <c r="H1657" s="51"/>
      <c r="I1657" s="51"/>
      <c r="J1657" s="66"/>
      <c r="K1657" s="66"/>
      <c r="L1657" s="66"/>
      <c r="M1657" s="50"/>
      <c r="N1657" s="67"/>
    </row>
    <row r="1658" ht="15.0" customHeight="1">
      <c r="A1658" s="51"/>
      <c r="B1658" s="50"/>
      <c r="C1658" s="50"/>
      <c r="D1658" s="50"/>
      <c r="E1658" s="50"/>
      <c r="F1658" s="50"/>
      <c r="G1658" s="52"/>
      <c r="H1658" s="51"/>
      <c r="I1658" s="51"/>
      <c r="J1658" s="66"/>
      <c r="K1658" s="66"/>
      <c r="L1658" s="66"/>
      <c r="M1658" s="50"/>
      <c r="N1658" s="67"/>
    </row>
    <row r="1659" ht="15.0" customHeight="1">
      <c r="A1659" s="51"/>
      <c r="B1659" s="50"/>
      <c r="C1659" s="50"/>
      <c r="D1659" s="50"/>
      <c r="E1659" s="50"/>
      <c r="F1659" s="50"/>
      <c r="G1659" s="52"/>
      <c r="H1659" s="51"/>
      <c r="I1659" s="51"/>
      <c r="J1659" s="66"/>
      <c r="K1659" s="66"/>
      <c r="L1659" s="66"/>
      <c r="M1659" s="50"/>
      <c r="N1659" s="67"/>
    </row>
    <row r="1660" ht="15.0" customHeight="1">
      <c r="A1660" s="51"/>
      <c r="B1660" s="50"/>
      <c r="C1660" s="50"/>
      <c r="D1660" s="50"/>
      <c r="E1660" s="50"/>
      <c r="F1660" s="50"/>
      <c r="G1660" s="52"/>
      <c r="H1660" s="51"/>
      <c r="I1660" s="51"/>
      <c r="J1660" s="66"/>
      <c r="K1660" s="66"/>
      <c r="L1660" s="66"/>
      <c r="M1660" s="50"/>
      <c r="N1660" s="67"/>
    </row>
    <row r="1661" ht="15.0" customHeight="1">
      <c r="A1661" s="51"/>
      <c r="B1661" s="50"/>
      <c r="C1661" s="50"/>
      <c r="D1661" s="50"/>
      <c r="E1661" s="50"/>
      <c r="F1661" s="50"/>
      <c r="G1661" s="52"/>
      <c r="H1661" s="51"/>
      <c r="I1661" s="51"/>
      <c r="J1661" s="66"/>
      <c r="K1661" s="66"/>
      <c r="L1661" s="66"/>
      <c r="M1661" s="50"/>
      <c r="N1661" s="67"/>
    </row>
    <row r="1662" ht="15.0" customHeight="1">
      <c r="A1662" s="51"/>
      <c r="B1662" s="50"/>
      <c r="C1662" s="50"/>
      <c r="D1662" s="50"/>
      <c r="E1662" s="50"/>
      <c r="F1662" s="50"/>
      <c r="G1662" s="52"/>
      <c r="H1662" s="51"/>
      <c r="I1662" s="51"/>
      <c r="J1662" s="66"/>
      <c r="K1662" s="66"/>
      <c r="L1662" s="66"/>
      <c r="M1662" s="50"/>
      <c r="N1662" s="67"/>
    </row>
    <row r="1663" ht="15.0" customHeight="1">
      <c r="A1663" s="51"/>
      <c r="B1663" s="50"/>
      <c r="C1663" s="50"/>
      <c r="D1663" s="50"/>
      <c r="E1663" s="50"/>
      <c r="F1663" s="50"/>
      <c r="G1663" s="52"/>
      <c r="H1663" s="51"/>
      <c r="I1663" s="51"/>
      <c r="J1663" s="66"/>
      <c r="K1663" s="66"/>
      <c r="L1663" s="66"/>
      <c r="M1663" s="50"/>
      <c r="N1663" s="67"/>
    </row>
    <row r="1664" ht="15.0" customHeight="1">
      <c r="A1664" s="51"/>
      <c r="B1664" s="50"/>
      <c r="C1664" s="50"/>
      <c r="D1664" s="50"/>
      <c r="E1664" s="50"/>
      <c r="F1664" s="50"/>
      <c r="G1664" s="52"/>
      <c r="H1664" s="51"/>
      <c r="I1664" s="51"/>
      <c r="J1664" s="66"/>
      <c r="K1664" s="66"/>
      <c r="L1664" s="66"/>
      <c r="M1664" s="50"/>
      <c r="N1664" s="67"/>
    </row>
    <row r="1665" ht="15.0" customHeight="1">
      <c r="A1665" s="51"/>
      <c r="B1665" s="50"/>
      <c r="C1665" s="50"/>
      <c r="D1665" s="50"/>
      <c r="E1665" s="50"/>
      <c r="F1665" s="50"/>
      <c r="G1665" s="52"/>
      <c r="H1665" s="51"/>
      <c r="I1665" s="51"/>
      <c r="J1665" s="66"/>
      <c r="K1665" s="66"/>
      <c r="L1665" s="66"/>
      <c r="M1665" s="50"/>
      <c r="N1665" s="67"/>
    </row>
    <row r="1666" ht="15.0" customHeight="1">
      <c r="A1666" s="51"/>
      <c r="B1666" s="50"/>
      <c r="C1666" s="50"/>
      <c r="D1666" s="50"/>
      <c r="E1666" s="50"/>
      <c r="F1666" s="50"/>
      <c r="G1666" s="52"/>
      <c r="H1666" s="51"/>
      <c r="I1666" s="51"/>
      <c r="J1666" s="66"/>
      <c r="K1666" s="66"/>
      <c r="L1666" s="66"/>
      <c r="M1666" s="50"/>
      <c r="N1666" s="67"/>
    </row>
    <row r="1667" ht="15.0" customHeight="1">
      <c r="A1667" s="51"/>
      <c r="B1667" s="50"/>
      <c r="C1667" s="50"/>
      <c r="D1667" s="50"/>
      <c r="E1667" s="50"/>
      <c r="F1667" s="50"/>
      <c r="G1667" s="52"/>
      <c r="H1667" s="51"/>
      <c r="I1667" s="51"/>
      <c r="J1667" s="66"/>
      <c r="K1667" s="66"/>
      <c r="L1667" s="66"/>
      <c r="M1667" s="50"/>
      <c r="N1667" s="67"/>
    </row>
    <row r="1668" ht="15.0" customHeight="1">
      <c r="A1668" s="51"/>
      <c r="B1668" s="50"/>
      <c r="C1668" s="50"/>
      <c r="D1668" s="50"/>
      <c r="E1668" s="50"/>
      <c r="F1668" s="50"/>
      <c r="G1668" s="52"/>
      <c r="H1668" s="51"/>
      <c r="I1668" s="51"/>
      <c r="J1668" s="66"/>
      <c r="K1668" s="66"/>
      <c r="L1668" s="66"/>
      <c r="M1668" s="50"/>
      <c r="N1668" s="67"/>
    </row>
    <row r="1669" ht="15.0" customHeight="1">
      <c r="A1669" s="51"/>
      <c r="B1669" s="50"/>
      <c r="C1669" s="50"/>
      <c r="D1669" s="50"/>
      <c r="E1669" s="50"/>
      <c r="F1669" s="50"/>
      <c r="G1669" s="52"/>
      <c r="H1669" s="51"/>
      <c r="I1669" s="51"/>
      <c r="J1669" s="66"/>
      <c r="K1669" s="66"/>
      <c r="L1669" s="66"/>
      <c r="M1669" s="50"/>
      <c r="N1669" s="67"/>
    </row>
    <row r="1670" ht="15.0" customHeight="1">
      <c r="A1670" s="51"/>
      <c r="B1670" s="50"/>
      <c r="C1670" s="50"/>
      <c r="D1670" s="50"/>
      <c r="E1670" s="50"/>
      <c r="F1670" s="50"/>
      <c r="G1670" s="52"/>
      <c r="H1670" s="51"/>
      <c r="I1670" s="51"/>
      <c r="J1670" s="66"/>
      <c r="K1670" s="66"/>
      <c r="L1670" s="66"/>
      <c r="M1670" s="50"/>
      <c r="N1670" s="67"/>
    </row>
    <row r="1671" ht="15.0" customHeight="1">
      <c r="A1671" s="51"/>
      <c r="B1671" s="50"/>
      <c r="C1671" s="50"/>
      <c r="D1671" s="50"/>
      <c r="E1671" s="50"/>
      <c r="F1671" s="50"/>
      <c r="G1671" s="52"/>
      <c r="H1671" s="51"/>
      <c r="I1671" s="51"/>
      <c r="J1671" s="66"/>
      <c r="K1671" s="66"/>
      <c r="L1671" s="66"/>
      <c r="M1671" s="50"/>
      <c r="N1671" s="67"/>
    </row>
    <row r="1672" ht="15.0" customHeight="1">
      <c r="A1672" s="51"/>
      <c r="B1672" s="50"/>
      <c r="C1672" s="50"/>
      <c r="D1672" s="50"/>
      <c r="E1672" s="50"/>
      <c r="F1672" s="50"/>
      <c r="G1672" s="52"/>
      <c r="H1672" s="51"/>
      <c r="I1672" s="51"/>
      <c r="J1672" s="66"/>
      <c r="K1672" s="66"/>
      <c r="L1672" s="66"/>
      <c r="M1672" s="50"/>
      <c r="N1672" s="67"/>
    </row>
    <row r="1673" ht="15.0" customHeight="1">
      <c r="A1673" s="51"/>
      <c r="B1673" s="50"/>
      <c r="C1673" s="50"/>
      <c r="D1673" s="50"/>
      <c r="E1673" s="50"/>
      <c r="F1673" s="50"/>
      <c r="G1673" s="52"/>
      <c r="H1673" s="51"/>
      <c r="I1673" s="51"/>
      <c r="J1673" s="66"/>
      <c r="K1673" s="66"/>
      <c r="L1673" s="66"/>
      <c r="M1673" s="50"/>
      <c r="N1673" s="67"/>
    </row>
    <row r="1674" ht="15.0" customHeight="1">
      <c r="A1674" s="51"/>
      <c r="B1674" s="50"/>
      <c r="C1674" s="50"/>
      <c r="D1674" s="50"/>
      <c r="E1674" s="50"/>
      <c r="F1674" s="50"/>
      <c r="G1674" s="52"/>
      <c r="H1674" s="51"/>
      <c r="I1674" s="51"/>
      <c r="J1674" s="66"/>
      <c r="K1674" s="66"/>
      <c r="L1674" s="66"/>
      <c r="M1674" s="50"/>
      <c r="N1674" s="67"/>
    </row>
    <row r="1675" ht="15.0" customHeight="1">
      <c r="A1675" s="51"/>
      <c r="B1675" s="50"/>
      <c r="C1675" s="50"/>
      <c r="D1675" s="50"/>
      <c r="E1675" s="50"/>
      <c r="F1675" s="50"/>
      <c r="G1675" s="52"/>
      <c r="H1675" s="51"/>
      <c r="I1675" s="51"/>
      <c r="J1675" s="66"/>
      <c r="K1675" s="66"/>
      <c r="L1675" s="66"/>
      <c r="M1675" s="50"/>
      <c r="N1675" s="67"/>
    </row>
    <row r="1676" ht="15.0" customHeight="1">
      <c r="A1676" s="51"/>
      <c r="B1676" s="50"/>
      <c r="C1676" s="50"/>
      <c r="D1676" s="50"/>
      <c r="E1676" s="50"/>
      <c r="F1676" s="50"/>
      <c r="G1676" s="52"/>
      <c r="H1676" s="51"/>
      <c r="I1676" s="51"/>
      <c r="J1676" s="66"/>
      <c r="K1676" s="66"/>
      <c r="L1676" s="66"/>
      <c r="M1676" s="50"/>
      <c r="N1676" s="67"/>
    </row>
    <row r="1677" ht="15.0" customHeight="1">
      <c r="A1677" s="51"/>
      <c r="B1677" s="50"/>
      <c r="C1677" s="50"/>
      <c r="D1677" s="50"/>
      <c r="E1677" s="50"/>
      <c r="F1677" s="50"/>
      <c r="G1677" s="52"/>
      <c r="H1677" s="51"/>
      <c r="I1677" s="51"/>
      <c r="J1677" s="66"/>
      <c r="K1677" s="66"/>
      <c r="L1677" s="66"/>
      <c r="M1677" s="50"/>
      <c r="N1677" s="67"/>
    </row>
    <row r="1678" ht="15.0" customHeight="1">
      <c r="A1678" s="51"/>
      <c r="B1678" s="50"/>
      <c r="C1678" s="50"/>
      <c r="D1678" s="50"/>
      <c r="E1678" s="50"/>
      <c r="F1678" s="50"/>
      <c r="G1678" s="52"/>
      <c r="H1678" s="51"/>
      <c r="I1678" s="51"/>
      <c r="J1678" s="66"/>
      <c r="K1678" s="66"/>
      <c r="L1678" s="66"/>
      <c r="M1678" s="50"/>
      <c r="N1678" s="67"/>
    </row>
    <row r="1679" ht="15.0" customHeight="1">
      <c r="A1679" s="51"/>
      <c r="B1679" s="50"/>
      <c r="C1679" s="50"/>
      <c r="D1679" s="50"/>
      <c r="E1679" s="50"/>
      <c r="F1679" s="50"/>
      <c r="G1679" s="52"/>
      <c r="H1679" s="51"/>
      <c r="I1679" s="51"/>
      <c r="J1679" s="66"/>
      <c r="K1679" s="66"/>
      <c r="L1679" s="66"/>
      <c r="M1679" s="50"/>
      <c r="N1679" s="67"/>
    </row>
    <row r="1680" ht="15.0" customHeight="1">
      <c r="A1680" s="51"/>
      <c r="B1680" s="50"/>
      <c r="C1680" s="50"/>
      <c r="D1680" s="50"/>
      <c r="E1680" s="50"/>
      <c r="F1680" s="50"/>
      <c r="G1680" s="52"/>
      <c r="H1680" s="51"/>
      <c r="I1680" s="51"/>
      <c r="J1680" s="66"/>
      <c r="K1680" s="66"/>
      <c r="L1680" s="66"/>
      <c r="M1680" s="50"/>
      <c r="N1680" s="67"/>
    </row>
    <row r="1681" ht="15.0" customHeight="1">
      <c r="A1681" s="51"/>
      <c r="B1681" s="50"/>
      <c r="C1681" s="50"/>
      <c r="D1681" s="50"/>
      <c r="E1681" s="50"/>
      <c r="F1681" s="50"/>
      <c r="G1681" s="52"/>
      <c r="H1681" s="51"/>
      <c r="I1681" s="51"/>
      <c r="J1681" s="66"/>
      <c r="K1681" s="66"/>
      <c r="L1681" s="66"/>
      <c r="M1681" s="50"/>
      <c r="N1681" s="67"/>
    </row>
    <row r="1682" ht="15.0" customHeight="1">
      <c r="A1682" s="51"/>
      <c r="B1682" s="50"/>
      <c r="C1682" s="50"/>
      <c r="D1682" s="50"/>
      <c r="E1682" s="50"/>
      <c r="F1682" s="50"/>
      <c r="G1682" s="52"/>
      <c r="H1682" s="51"/>
      <c r="I1682" s="51"/>
      <c r="J1682" s="66"/>
      <c r="K1682" s="66"/>
      <c r="L1682" s="66"/>
      <c r="M1682" s="50"/>
      <c r="N1682" s="67"/>
    </row>
    <row r="1683" ht="15.0" customHeight="1">
      <c r="A1683" s="51"/>
      <c r="B1683" s="50"/>
      <c r="C1683" s="50"/>
      <c r="D1683" s="50"/>
      <c r="E1683" s="50"/>
      <c r="F1683" s="50"/>
      <c r="G1683" s="52"/>
      <c r="H1683" s="51"/>
      <c r="I1683" s="51"/>
      <c r="J1683" s="66"/>
      <c r="K1683" s="66"/>
      <c r="L1683" s="66"/>
      <c r="M1683" s="50"/>
      <c r="N1683" s="67"/>
    </row>
    <row r="1684" ht="15.0" customHeight="1">
      <c r="A1684" s="51"/>
      <c r="B1684" s="50"/>
      <c r="C1684" s="50"/>
      <c r="D1684" s="50"/>
      <c r="E1684" s="50"/>
      <c r="F1684" s="50"/>
      <c r="G1684" s="52"/>
      <c r="H1684" s="51"/>
      <c r="I1684" s="51"/>
      <c r="J1684" s="66"/>
      <c r="K1684" s="66"/>
      <c r="L1684" s="66"/>
      <c r="M1684" s="50"/>
      <c r="N1684" s="67"/>
    </row>
    <row r="1685" ht="15.0" customHeight="1">
      <c r="A1685" s="51"/>
      <c r="B1685" s="50"/>
      <c r="C1685" s="50"/>
      <c r="D1685" s="50"/>
      <c r="E1685" s="50"/>
      <c r="F1685" s="50"/>
      <c r="G1685" s="52"/>
      <c r="H1685" s="51"/>
      <c r="I1685" s="51"/>
      <c r="J1685" s="66"/>
      <c r="K1685" s="66"/>
      <c r="L1685" s="66"/>
      <c r="M1685" s="50"/>
      <c r="N1685" s="67"/>
    </row>
    <row r="1686" ht="15.0" customHeight="1">
      <c r="A1686" s="51"/>
      <c r="B1686" s="50"/>
      <c r="C1686" s="50"/>
      <c r="D1686" s="50"/>
      <c r="E1686" s="50"/>
      <c r="F1686" s="50"/>
      <c r="G1686" s="52"/>
      <c r="H1686" s="51"/>
      <c r="I1686" s="51"/>
      <c r="J1686" s="66"/>
      <c r="K1686" s="66"/>
      <c r="L1686" s="66"/>
      <c r="M1686" s="50"/>
      <c r="N1686" s="67"/>
    </row>
    <row r="1687" ht="15.0" customHeight="1">
      <c r="A1687" s="51"/>
      <c r="B1687" s="50"/>
      <c r="C1687" s="50"/>
      <c r="D1687" s="50"/>
      <c r="E1687" s="50"/>
      <c r="F1687" s="50"/>
      <c r="G1687" s="52"/>
      <c r="H1687" s="51"/>
      <c r="I1687" s="51"/>
      <c r="J1687" s="66"/>
      <c r="K1687" s="66"/>
      <c r="L1687" s="66"/>
      <c r="M1687" s="50"/>
      <c r="N1687" s="67"/>
    </row>
    <row r="1688" ht="15.0" customHeight="1">
      <c r="A1688" s="51"/>
      <c r="B1688" s="50"/>
      <c r="C1688" s="50"/>
      <c r="D1688" s="50"/>
      <c r="E1688" s="50"/>
      <c r="F1688" s="50"/>
      <c r="G1688" s="52"/>
      <c r="H1688" s="51"/>
      <c r="I1688" s="51"/>
      <c r="J1688" s="66"/>
      <c r="K1688" s="66"/>
      <c r="L1688" s="66"/>
      <c r="M1688" s="50"/>
      <c r="N1688" s="67"/>
    </row>
    <row r="1689" ht="15.0" customHeight="1">
      <c r="A1689" s="51"/>
      <c r="B1689" s="50"/>
      <c r="C1689" s="50"/>
      <c r="D1689" s="50"/>
      <c r="E1689" s="50"/>
      <c r="F1689" s="50"/>
      <c r="G1689" s="52"/>
      <c r="H1689" s="51"/>
      <c r="I1689" s="51"/>
      <c r="J1689" s="66"/>
      <c r="K1689" s="66"/>
      <c r="L1689" s="66"/>
      <c r="M1689" s="50"/>
      <c r="N1689" s="67"/>
    </row>
    <row r="1690" ht="15.0" customHeight="1">
      <c r="A1690" s="51"/>
      <c r="B1690" s="50"/>
      <c r="C1690" s="50"/>
      <c r="D1690" s="50"/>
      <c r="E1690" s="50"/>
      <c r="F1690" s="50"/>
      <c r="G1690" s="52"/>
      <c r="H1690" s="51"/>
      <c r="I1690" s="51"/>
      <c r="J1690" s="66"/>
      <c r="K1690" s="66"/>
      <c r="L1690" s="66"/>
      <c r="M1690" s="50"/>
      <c r="N1690" s="67"/>
    </row>
    <row r="1691" ht="15.0" customHeight="1">
      <c r="A1691" s="51"/>
      <c r="B1691" s="50"/>
      <c r="C1691" s="50"/>
      <c r="D1691" s="50"/>
      <c r="E1691" s="50"/>
      <c r="F1691" s="50"/>
      <c r="G1691" s="52"/>
      <c r="H1691" s="51"/>
      <c r="I1691" s="51"/>
      <c r="J1691" s="66"/>
      <c r="K1691" s="66"/>
      <c r="L1691" s="66"/>
      <c r="M1691" s="50"/>
      <c r="N1691" s="67"/>
    </row>
    <row r="1692" ht="15.0" customHeight="1">
      <c r="A1692" s="51"/>
      <c r="B1692" s="50"/>
      <c r="C1692" s="50"/>
      <c r="D1692" s="50"/>
      <c r="E1692" s="50"/>
      <c r="F1692" s="50"/>
      <c r="G1692" s="52"/>
      <c r="H1692" s="51"/>
      <c r="I1692" s="51"/>
      <c r="J1692" s="66"/>
      <c r="K1692" s="66"/>
      <c r="L1692" s="66"/>
      <c r="M1692" s="50"/>
      <c r="N1692" s="67"/>
    </row>
    <row r="1693" ht="15.0" customHeight="1">
      <c r="A1693" s="51"/>
      <c r="B1693" s="50"/>
      <c r="C1693" s="50"/>
      <c r="D1693" s="50"/>
      <c r="E1693" s="50"/>
      <c r="F1693" s="50"/>
      <c r="G1693" s="52"/>
      <c r="H1693" s="51"/>
      <c r="I1693" s="51"/>
      <c r="J1693" s="66"/>
      <c r="K1693" s="66"/>
      <c r="L1693" s="66"/>
      <c r="M1693" s="50"/>
      <c r="N1693" s="67"/>
    </row>
    <row r="1694" ht="15.0" customHeight="1">
      <c r="A1694" s="51"/>
      <c r="B1694" s="50"/>
      <c r="C1694" s="50"/>
      <c r="D1694" s="50"/>
      <c r="E1694" s="50"/>
      <c r="F1694" s="50"/>
      <c r="G1694" s="52"/>
      <c r="H1694" s="51"/>
      <c r="I1694" s="51"/>
      <c r="J1694" s="66"/>
      <c r="K1694" s="66"/>
      <c r="L1694" s="66"/>
      <c r="M1694" s="50"/>
      <c r="N1694" s="67"/>
    </row>
    <row r="1695" ht="15.0" customHeight="1">
      <c r="A1695" s="51"/>
      <c r="B1695" s="50"/>
      <c r="C1695" s="50"/>
      <c r="D1695" s="50"/>
      <c r="E1695" s="50"/>
      <c r="F1695" s="50"/>
      <c r="G1695" s="52"/>
      <c r="H1695" s="51"/>
      <c r="I1695" s="51"/>
      <c r="J1695" s="66"/>
      <c r="K1695" s="66"/>
      <c r="L1695" s="66"/>
      <c r="M1695" s="50"/>
      <c r="N1695" s="67"/>
    </row>
    <row r="1696" ht="15.0" customHeight="1">
      <c r="A1696" s="51"/>
      <c r="B1696" s="50"/>
      <c r="C1696" s="50"/>
      <c r="D1696" s="50"/>
      <c r="E1696" s="50"/>
      <c r="F1696" s="50"/>
      <c r="G1696" s="52"/>
      <c r="H1696" s="51"/>
      <c r="I1696" s="51"/>
      <c r="J1696" s="66"/>
      <c r="K1696" s="66"/>
      <c r="L1696" s="66"/>
      <c r="M1696" s="50"/>
      <c r="N1696" s="67"/>
    </row>
    <row r="1697" ht="15.0" customHeight="1">
      <c r="A1697" s="51"/>
      <c r="B1697" s="50"/>
      <c r="C1697" s="50"/>
      <c r="D1697" s="50"/>
      <c r="E1697" s="50"/>
      <c r="F1697" s="50"/>
      <c r="G1697" s="52"/>
      <c r="H1697" s="51"/>
      <c r="I1697" s="51"/>
      <c r="J1697" s="66"/>
      <c r="K1697" s="66"/>
      <c r="L1697" s="66"/>
      <c r="M1697" s="50"/>
      <c r="N1697" s="67"/>
    </row>
    <row r="1698" ht="15.0" customHeight="1">
      <c r="A1698" s="51"/>
      <c r="B1698" s="50"/>
      <c r="C1698" s="50"/>
      <c r="D1698" s="50"/>
      <c r="E1698" s="50"/>
      <c r="F1698" s="50"/>
      <c r="G1698" s="52"/>
      <c r="H1698" s="51"/>
      <c r="I1698" s="51"/>
      <c r="J1698" s="66"/>
      <c r="K1698" s="66"/>
      <c r="L1698" s="66"/>
      <c r="M1698" s="50"/>
      <c r="N1698" s="67"/>
    </row>
    <row r="1699" ht="15.0" customHeight="1">
      <c r="A1699" s="51"/>
      <c r="B1699" s="50"/>
      <c r="C1699" s="50"/>
      <c r="D1699" s="50"/>
      <c r="E1699" s="50"/>
      <c r="F1699" s="50"/>
      <c r="G1699" s="52"/>
      <c r="H1699" s="51"/>
      <c r="I1699" s="51"/>
      <c r="J1699" s="66"/>
      <c r="K1699" s="66"/>
      <c r="L1699" s="66"/>
      <c r="M1699" s="50"/>
      <c r="N1699" s="67"/>
    </row>
    <row r="1700" ht="15.0" customHeight="1">
      <c r="A1700" s="51"/>
      <c r="B1700" s="50"/>
      <c r="C1700" s="50"/>
      <c r="D1700" s="50"/>
      <c r="E1700" s="50"/>
      <c r="F1700" s="50"/>
      <c r="G1700" s="52"/>
      <c r="H1700" s="51"/>
      <c r="I1700" s="51"/>
      <c r="J1700" s="66"/>
      <c r="K1700" s="66"/>
      <c r="L1700" s="66"/>
      <c r="M1700" s="50"/>
      <c r="N1700" s="67"/>
    </row>
    <row r="1701" ht="15.0" customHeight="1">
      <c r="A1701" s="51"/>
      <c r="B1701" s="50"/>
      <c r="C1701" s="50"/>
      <c r="D1701" s="50"/>
      <c r="E1701" s="50"/>
      <c r="F1701" s="50"/>
      <c r="G1701" s="52"/>
      <c r="H1701" s="51"/>
      <c r="I1701" s="51"/>
      <c r="J1701" s="66"/>
      <c r="K1701" s="66"/>
      <c r="L1701" s="66"/>
      <c r="M1701" s="50"/>
      <c r="N1701" s="67"/>
    </row>
    <row r="1702" ht="15.0" customHeight="1">
      <c r="A1702" s="51"/>
      <c r="B1702" s="50"/>
      <c r="C1702" s="50"/>
      <c r="D1702" s="50"/>
      <c r="E1702" s="50"/>
      <c r="F1702" s="50"/>
      <c r="G1702" s="52"/>
      <c r="H1702" s="51"/>
      <c r="I1702" s="51"/>
      <c r="J1702" s="66"/>
      <c r="K1702" s="66"/>
      <c r="L1702" s="66"/>
      <c r="M1702" s="50"/>
      <c r="N1702" s="67"/>
    </row>
    <row r="1703" ht="15.0" customHeight="1">
      <c r="A1703" s="51"/>
      <c r="B1703" s="50"/>
      <c r="C1703" s="50"/>
      <c r="D1703" s="50"/>
      <c r="E1703" s="50"/>
      <c r="F1703" s="50"/>
      <c r="G1703" s="52"/>
      <c r="H1703" s="51"/>
      <c r="I1703" s="51"/>
      <c r="J1703" s="66"/>
      <c r="K1703" s="66"/>
      <c r="L1703" s="66"/>
      <c r="M1703" s="50"/>
      <c r="N1703" s="67"/>
    </row>
    <row r="1704" ht="15.0" customHeight="1">
      <c r="A1704" s="51"/>
      <c r="B1704" s="50"/>
      <c r="C1704" s="50"/>
      <c r="D1704" s="50"/>
      <c r="E1704" s="50"/>
      <c r="F1704" s="50"/>
      <c r="G1704" s="52"/>
      <c r="H1704" s="51"/>
      <c r="I1704" s="51"/>
      <c r="J1704" s="66"/>
      <c r="K1704" s="66"/>
      <c r="L1704" s="66"/>
      <c r="M1704" s="50"/>
      <c r="N1704" s="67"/>
    </row>
    <row r="1705" ht="15.0" customHeight="1">
      <c r="A1705" s="51"/>
      <c r="B1705" s="50"/>
      <c r="C1705" s="50"/>
      <c r="D1705" s="50"/>
      <c r="E1705" s="50"/>
      <c r="F1705" s="50"/>
      <c r="G1705" s="52"/>
      <c r="H1705" s="51"/>
      <c r="I1705" s="51"/>
      <c r="J1705" s="66"/>
      <c r="K1705" s="66"/>
      <c r="L1705" s="66"/>
      <c r="M1705" s="50"/>
      <c r="N1705" s="67"/>
    </row>
    <row r="1706" ht="15.0" customHeight="1">
      <c r="A1706" s="51"/>
      <c r="B1706" s="50"/>
      <c r="C1706" s="50"/>
      <c r="D1706" s="50"/>
      <c r="E1706" s="50"/>
      <c r="F1706" s="50"/>
      <c r="G1706" s="52"/>
      <c r="H1706" s="51"/>
      <c r="I1706" s="51"/>
      <c r="J1706" s="66"/>
      <c r="K1706" s="66"/>
      <c r="L1706" s="66"/>
      <c r="M1706" s="50"/>
      <c r="N1706" s="67"/>
    </row>
    <row r="1707" ht="15.0" customHeight="1">
      <c r="A1707" s="51"/>
      <c r="B1707" s="50"/>
      <c r="C1707" s="50"/>
      <c r="D1707" s="50"/>
      <c r="E1707" s="50"/>
      <c r="F1707" s="50"/>
      <c r="G1707" s="52"/>
      <c r="H1707" s="51"/>
      <c r="I1707" s="51"/>
      <c r="J1707" s="66"/>
      <c r="K1707" s="66"/>
      <c r="L1707" s="66"/>
      <c r="M1707" s="50"/>
      <c r="N1707" s="67"/>
    </row>
    <row r="1708" ht="15.0" customHeight="1">
      <c r="A1708" s="51"/>
      <c r="B1708" s="50"/>
      <c r="C1708" s="50"/>
      <c r="D1708" s="50"/>
      <c r="E1708" s="50"/>
      <c r="F1708" s="50"/>
      <c r="G1708" s="52"/>
      <c r="H1708" s="51"/>
      <c r="I1708" s="51"/>
      <c r="J1708" s="66"/>
      <c r="K1708" s="66"/>
      <c r="L1708" s="66"/>
      <c r="M1708" s="50"/>
      <c r="N1708" s="67"/>
    </row>
    <row r="1709" ht="15.0" customHeight="1">
      <c r="A1709" s="51"/>
      <c r="B1709" s="50"/>
      <c r="C1709" s="50"/>
      <c r="D1709" s="50"/>
      <c r="E1709" s="50"/>
      <c r="F1709" s="50"/>
      <c r="G1709" s="52"/>
      <c r="H1709" s="51"/>
      <c r="I1709" s="51"/>
      <c r="J1709" s="66"/>
      <c r="K1709" s="66"/>
      <c r="L1709" s="66"/>
      <c r="M1709" s="50"/>
      <c r="N1709" s="67"/>
    </row>
    <row r="1710" ht="15.0" customHeight="1">
      <c r="A1710" s="51"/>
      <c r="B1710" s="50"/>
      <c r="C1710" s="50"/>
      <c r="D1710" s="50"/>
      <c r="E1710" s="50"/>
      <c r="F1710" s="50"/>
      <c r="G1710" s="52"/>
      <c r="H1710" s="51"/>
      <c r="I1710" s="51"/>
      <c r="J1710" s="66"/>
      <c r="K1710" s="66"/>
      <c r="L1710" s="66"/>
      <c r="M1710" s="50"/>
      <c r="N1710" s="67"/>
    </row>
    <row r="1711" ht="15.0" customHeight="1">
      <c r="A1711" s="51"/>
      <c r="B1711" s="50"/>
      <c r="C1711" s="50"/>
      <c r="D1711" s="50"/>
      <c r="E1711" s="50"/>
      <c r="F1711" s="50"/>
      <c r="G1711" s="52"/>
      <c r="H1711" s="51"/>
      <c r="I1711" s="51"/>
      <c r="J1711" s="66"/>
      <c r="K1711" s="66"/>
      <c r="L1711" s="66"/>
      <c r="M1711" s="50"/>
      <c r="N1711" s="67"/>
    </row>
    <row r="1712" ht="15.0" customHeight="1">
      <c r="A1712" s="51"/>
      <c r="B1712" s="50"/>
      <c r="C1712" s="50"/>
      <c r="D1712" s="50"/>
      <c r="E1712" s="50"/>
      <c r="F1712" s="50"/>
      <c r="G1712" s="52"/>
      <c r="H1712" s="51"/>
      <c r="I1712" s="51"/>
      <c r="J1712" s="66"/>
      <c r="K1712" s="66"/>
      <c r="L1712" s="66"/>
      <c r="M1712" s="50"/>
      <c r="N1712" s="67"/>
    </row>
    <row r="1713" ht="15.0" customHeight="1">
      <c r="A1713" s="51"/>
      <c r="B1713" s="50"/>
      <c r="C1713" s="50"/>
      <c r="D1713" s="50"/>
      <c r="E1713" s="50"/>
      <c r="F1713" s="50"/>
      <c r="G1713" s="52"/>
      <c r="H1713" s="51"/>
      <c r="I1713" s="51"/>
      <c r="J1713" s="66"/>
      <c r="K1713" s="66"/>
      <c r="L1713" s="66"/>
      <c r="M1713" s="50"/>
      <c r="N1713" s="67"/>
    </row>
    <row r="1714" ht="15.0" customHeight="1">
      <c r="A1714" s="51"/>
      <c r="B1714" s="50"/>
      <c r="C1714" s="50"/>
      <c r="D1714" s="50"/>
      <c r="E1714" s="50"/>
      <c r="F1714" s="50"/>
      <c r="G1714" s="52"/>
      <c r="H1714" s="51"/>
      <c r="I1714" s="51"/>
      <c r="J1714" s="66"/>
      <c r="K1714" s="66"/>
      <c r="L1714" s="66"/>
      <c r="M1714" s="50"/>
      <c r="N1714" s="67"/>
    </row>
    <row r="1715" ht="15.0" customHeight="1">
      <c r="A1715" s="51"/>
      <c r="B1715" s="50"/>
      <c r="C1715" s="50"/>
      <c r="D1715" s="50"/>
      <c r="E1715" s="50"/>
      <c r="F1715" s="50"/>
      <c r="G1715" s="52"/>
      <c r="H1715" s="51"/>
      <c r="I1715" s="51"/>
      <c r="J1715" s="66"/>
      <c r="K1715" s="66"/>
      <c r="L1715" s="66"/>
      <c r="M1715" s="50"/>
      <c r="N1715" s="67"/>
    </row>
    <row r="1716" ht="15.0" customHeight="1">
      <c r="A1716" s="51"/>
      <c r="B1716" s="50"/>
      <c r="C1716" s="50"/>
      <c r="D1716" s="50"/>
      <c r="E1716" s="50"/>
      <c r="F1716" s="50"/>
      <c r="G1716" s="52"/>
      <c r="H1716" s="51"/>
      <c r="I1716" s="51"/>
      <c r="J1716" s="66"/>
      <c r="K1716" s="66"/>
      <c r="L1716" s="66"/>
      <c r="M1716" s="50"/>
      <c r="N1716" s="67"/>
    </row>
    <row r="1717" ht="15.0" customHeight="1">
      <c r="A1717" s="51"/>
      <c r="B1717" s="50"/>
      <c r="C1717" s="50"/>
      <c r="D1717" s="50"/>
      <c r="E1717" s="50"/>
      <c r="F1717" s="50"/>
      <c r="G1717" s="52"/>
      <c r="H1717" s="51"/>
      <c r="I1717" s="51"/>
      <c r="J1717" s="66"/>
      <c r="K1717" s="66"/>
      <c r="L1717" s="66"/>
      <c r="M1717" s="50"/>
      <c r="N1717" s="67"/>
    </row>
    <row r="1718" ht="15.0" customHeight="1">
      <c r="A1718" s="51"/>
      <c r="B1718" s="50"/>
      <c r="C1718" s="50"/>
      <c r="D1718" s="50"/>
      <c r="E1718" s="50"/>
      <c r="F1718" s="50"/>
      <c r="G1718" s="52"/>
      <c r="H1718" s="51"/>
      <c r="I1718" s="51"/>
      <c r="J1718" s="66"/>
      <c r="K1718" s="66"/>
      <c r="L1718" s="66"/>
      <c r="M1718" s="50"/>
      <c r="N1718" s="67"/>
    </row>
    <row r="1719" ht="15.0" customHeight="1">
      <c r="A1719" s="51"/>
      <c r="B1719" s="50"/>
      <c r="C1719" s="50"/>
      <c r="D1719" s="50"/>
      <c r="E1719" s="50"/>
      <c r="F1719" s="50"/>
      <c r="G1719" s="52"/>
      <c r="H1719" s="51"/>
      <c r="I1719" s="51"/>
      <c r="J1719" s="66"/>
      <c r="K1719" s="66"/>
      <c r="L1719" s="66"/>
      <c r="M1719" s="50"/>
      <c r="N1719" s="67"/>
    </row>
    <row r="1720" ht="15.0" customHeight="1">
      <c r="A1720" s="51"/>
      <c r="B1720" s="50"/>
      <c r="C1720" s="50"/>
      <c r="D1720" s="50"/>
      <c r="E1720" s="50"/>
      <c r="F1720" s="50"/>
      <c r="G1720" s="52"/>
      <c r="H1720" s="51"/>
      <c r="I1720" s="51"/>
      <c r="J1720" s="66"/>
      <c r="K1720" s="66"/>
      <c r="L1720" s="66"/>
      <c r="M1720" s="50"/>
      <c r="N1720" s="67"/>
    </row>
    <row r="1721" ht="15.0" customHeight="1">
      <c r="A1721" s="51"/>
      <c r="B1721" s="50"/>
      <c r="C1721" s="50"/>
      <c r="D1721" s="50"/>
      <c r="E1721" s="50"/>
      <c r="F1721" s="50"/>
      <c r="G1721" s="52"/>
      <c r="H1721" s="51"/>
      <c r="I1721" s="51"/>
      <c r="J1721" s="66"/>
      <c r="K1721" s="66"/>
      <c r="L1721" s="66"/>
      <c r="M1721" s="50"/>
      <c r="N1721" s="67"/>
    </row>
    <row r="1722" ht="15.0" customHeight="1">
      <c r="A1722" s="51"/>
      <c r="B1722" s="50"/>
      <c r="C1722" s="50"/>
      <c r="D1722" s="50"/>
      <c r="E1722" s="50"/>
      <c r="F1722" s="50"/>
      <c r="G1722" s="52"/>
      <c r="H1722" s="51"/>
      <c r="I1722" s="51"/>
      <c r="J1722" s="66"/>
      <c r="K1722" s="66"/>
      <c r="L1722" s="66"/>
      <c r="M1722" s="50"/>
      <c r="N1722" s="67"/>
    </row>
    <row r="1723" ht="15.0" customHeight="1">
      <c r="A1723" s="51"/>
      <c r="B1723" s="50"/>
      <c r="C1723" s="50"/>
      <c r="D1723" s="50"/>
      <c r="E1723" s="50"/>
      <c r="F1723" s="50"/>
      <c r="G1723" s="52"/>
      <c r="H1723" s="51"/>
      <c r="I1723" s="51"/>
      <c r="J1723" s="66"/>
      <c r="K1723" s="66"/>
      <c r="L1723" s="66"/>
      <c r="M1723" s="50"/>
      <c r="N1723" s="67"/>
    </row>
    <row r="1724" ht="15.0" customHeight="1">
      <c r="A1724" s="51"/>
      <c r="B1724" s="50"/>
      <c r="C1724" s="50"/>
      <c r="D1724" s="50"/>
      <c r="E1724" s="50"/>
      <c r="F1724" s="50"/>
      <c r="G1724" s="52"/>
      <c r="H1724" s="51"/>
      <c r="I1724" s="51"/>
      <c r="J1724" s="66"/>
      <c r="K1724" s="66"/>
      <c r="L1724" s="66"/>
      <c r="M1724" s="50"/>
      <c r="N1724" s="67"/>
    </row>
    <row r="1725" ht="15.0" customHeight="1">
      <c r="A1725" s="51"/>
      <c r="B1725" s="50"/>
      <c r="C1725" s="50"/>
      <c r="D1725" s="50"/>
      <c r="E1725" s="50"/>
      <c r="F1725" s="50"/>
      <c r="G1725" s="52"/>
      <c r="H1725" s="51"/>
      <c r="I1725" s="51"/>
      <c r="J1725" s="66"/>
      <c r="K1725" s="66"/>
      <c r="L1725" s="66"/>
      <c r="M1725" s="50"/>
      <c r="N1725" s="67"/>
    </row>
    <row r="1726" ht="15.0" customHeight="1">
      <c r="A1726" s="51"/>
      <c r="B1726" s="50"/>
      <c r="C1726" s="50"/>
      <c r="D1726" s="50"/>
      <c r="E1726" s="50"/>
      <c r="F1726" s="50"/>
      <c r="G1726" s="52"/>
      <c r="H1726" s="51"/>
      <c r="I1726" s="51"/>
      <c r="J1726" s="66"/>
      <c r="K1726" s="66"/>
      <c r="L1726" s="66"/>
      <c r="M1726" s="50"/>
      <c r="N1726" s="67"/>
    </row>
    <row r="1727" ht="15.0" customHeight="1">
      <c r="A1727" s="51"/>
      <c r="B1727" s="50"/>
      <c r="C1727" s="50"/>
      <c r="D1727" s="50"/>
      <c r="E1727" s="50"/>
      <c r="F1727" s="50"/>
      <c r="G1727" s="52"/>
      <c r="H1727" s="51"/>
      <c r="I1727" s="51"/>
      <c r="J1727" s="66"/>
      <c r="K1727" s="66"/>
      <c r="L1727" s="66"/>
      <c r="M1727" s="50"/>
      <c r="N1727" s="67"/>
    </row>
    <row r="1728" ht="15.0" customHeight="1">
      <c r="A1728" s="51"/>
      <c r="B1728" s="50"/>
      <c r="C1728" s="50"/>
      <c r="D1728" s="50"/>
      <c r="E1728" s="50"/>
      <c r="F1728" s="50"/>
      <c r="G1728" s="52"/>
      <c r="H1728" s="51"/>
      <c r="I1728" s="51"/>
      <c r="J1728" s="66"/>
      <c r="K1728" s="66"/>
      <c r="L1728" s="66"/>
      <c r="M1728" s="50"/>
      <c r="N1728" s="67"/>
    </row>
    <row r="1729" ht="15.0" customHeight="1">
      <c r="A1729" s="51"/>
      <c r="B1729" s="50"/>
      <c r="C1729" s="50"/>
      <c r="D1729" s="50"/>
      <c r="E1729" s="50"/>
      <c r="F1729" s="50"/>
      <c r="G1729" s="52"/>
      <c r="H1729" s="51"/>
      <c r="I1729" s="51"/>
      <c r="J1729" s="66"/>
      <c r="K1729" s="66"/>
      <c r="L1729" s="66"/>
      <c r="M1729" s="50"/>
      <c r="N1729" s="67"/>
    </row>
    <row r="1730" ht="15.0" customHeight="1">
      <c r="A1730" s="51"/>
      <c r="B1730" s="50"/>
      <c r="C1730" s="50"/>
      <c r="D1730" s="50"/>
      <c r="E1730" s="50"/>
      <c r="F1730" s="50"/>
      <c r="G1730" s="52"/>
      <c r="H1730" s="51"/>
      <c r="I1730" s="51"/>
      <c r="J1730" s="66"/>
      <c r="K1730" s="66"/>
      <c r="L1730" s="66"/>
      <c r="M1730" s="50"/>
      <c r="N1730" s="67"/>
    </row>
    <row r="1731" ht="15.0" customHeight="1">
      <c r="A1731" s="51"/>
      <c r="B1731" s="50"/>
      <c r="C1731" s="50"/>
      <c r="D1731" s="50"/>
      <c r="E1731" s="50"/>
      <c r="F1731" s="50"/>
      <c r="G1731" s="52"/>
      <c r="H1731" s="51"/>
      <c r="I1731" s="51"/>
      <c r="J1731" s="66"/>
      <c r="K1731" s="66"/>
      <c r="L1731" s="66"/>
      <c r="M1731" s="50"/>
      <c r="N1731" s="67"/>
    </row>
    <row r="1732" ht="15.0" customHeight="1">
      <c r="A1732" s="51"/>
      <c r="B1732" s="50"/>
      <c r="C1732" s="50"/>
      <c r="D1732" s="50"/>
      <c r="E1732" s="50"/>
      <c r="F1732" s="50"/>
      <c r="G1732" s="52"/>
      <c r="H1732" s="51"/>
      <c r="I1732" s="51"/>
      <c r="J1732" s="66"/>
      <c r="K1732" s="66"/>
      <c r="L1732" s="66"/>
      <c r="M1732" s="50"/>
      <c r="N1732" s="67"/>
    </row>
    <row r="1733" ht="15.0" customHeight="1">
      <c r="A1733" s="51"/>
      <c r="B1733" s="50"/>
      <c r="C1733" s="50"/>
      <c r="D1733" s="50"/>
      <c r="E1733" s="50"/>
      <c r="F1733" s="50"/>
      <c r="G1733" s="52"/>
      <c r="H1733" s="51"/>
      <c r="I1733" s="51"/>
      <c r="J1733" s="66"/>
      <c r="K1733" s="66"/>
      <c r="L1733" s="66"/>
      <c r="M1733" s="50"/>
      <c r="N1733" s="67"/>
    </row>
    <row r="1734" ht="15.0" customHeight="1">
      <c r="A1734" s="51"/>
      <c r="B1734" s="50"/>
      <c r="C1734" s="50"/>
      <c r="D1734" s="50"/>
      <c r="E1734" s="50"/>
      <c r="F1734" s="50"/>
      <c r="G1734" s="52"/>
      <c r="H1734" s="51"/>
      <c r="I1734" s="51"/>
      <c r="J1734" s="66"/>
      <c r="K1734" s="66"/>
      <c r="L1734" s="66"/>
      <c r="M1734" s="50"/>
      <c r="N1734" s="67"/>
    </row>
    <row r="1735" ht="15.0" customHeight="1">
      <c r="A1735" s="51"/>
      <c r="B1735" s="50"/>
      <c r="C1735" s="50"/>
      <c r="D1735" s="50"/>
      <c r="E1735" s="50"/>
      <c r="F1735" s="50"/>
      <c r="G1735" s="52"/>
      <c r="H1735" s="51"/>
      <c r="I1735" s="51"/>
      <c r="J1735" s="66"/>
      <c r="K1735" s="66"/>
      <c r="L1735" s="66"/>
      <c r="M1735" s="50"/>
      <c r="N1735" s="67"/>
    </row>
    <row r="1736" ht="15.0" customHeight="1">
      <c r="A1736" s="51"/>
      <c r="B1736" s="50"/>
      <c r="C1736" s="50"/>
      <c r="D1736" s="50"/>
      <c r="E1736" s="50"/>
      <c r="F1736" s="50"/>
      <c r="G1736" s="52"/>
      <c r="H1736" s="51"/>
      <c r="I1736" s="51"/>
      <c r="J1736" s="66"/>
      <c r="K1736" s="66"/>
      <c r="L1736" s="66"/>
      <c r="M1736" s="50"/>
      <c r="N1736" s="67"/>
    </row>
    <row r="1737" ht="15.0" customHeight="1">
      <c r="A1737" s="51"/>
      <c r="B1737" s="50"/>
      <c r="C1737" s="50"/>
      <c r="D1737" s="50"/>
      <c r="E1737" s="50"/>
      <c r="F1737" s="50"/>
      <c r="G1737" s="52"/>
      <c r="H1737" s="51"/>
      <c r="I1737" s="51"/>
      <c r="J1737" s="66"/>
      <c r="K1737" s="66"/>
      <c r="L1737" s="66"/>
      <c r="M1737" s="50"/>
      <c r="N1737" s="67"/>
    </row>
    <row r="1738" ht="15.0" customHeight="1">
      <c r="A1738" s="51"/>
      <c r="B1738" s="50"/>
      <c r="C1738" s="50"/>
      <c r="D1738" s="50"/>
      <c r="E1738" s="50"/>
      <c r="F1738" s="50"/>
      <c r="G1738" s="52"/>
      <c r="H1738" s="51"/>
      <c r="I1738" s="51"/>
      <c r="J1738" s="66"/>
      <c r="K1738" s="66"/>
      <c r="L1738" s="66"/>
      <c r="M1738" s="50"/>
      <c r="N1738" s="67"/>
    </row>
    <row r="1739" ht="15.0" customHeight="1">
      <c r="A1739" s="51"/>
      <c r="B1739" s="50"/>
      <c r="C1739" s="50"/>
      <c r="D1739" s="50"/>
      <c r="E1739" s="50"/>
      <c r="F1739" s="50"/>
      <c r="G1739" s="52"/>
      <c r="H1739" s="51"/>
      <c r="I1739" s="51"/>
      <c r="J1739" s="66"/>
      <c r="K1739" s="66"/>
      <c r="L1739" s="66"/>
      <c r="M1739" s="50"/>
      <c r="N1739" s="67"/>
    </row>
    <row r="1740" ht="15.0" customHeight="1">
      <c r="A1740" s="51"/>
      <c r="B1740" s="50"/>
      <c r="C1740" s="50"/>
      <c r="D1740" s="50"/>
      <c r="E1740" s="50"/>
      <c r="F1740" s="50"/>
      <c r="G1740" s="52"/>
      <c r="H1740" s="51"/>
      <c r="I1740" s="51"/>
      <c r="J1740" s="66"/>
      <c r="K1740" s="66"/>
      <c r="L1740" s="66"/>
      <c r="M1740" s="50"/>
      <c r="N1740" s="67"/>
    </row>
    <row r="1741" ht="15.0" customHeight="1">
      <c r="A1741" s="51"/>
      <c r="B1741" s="50"/>
      <c r="C1741" s="50"/>
      <c r="D1741" s="50"/>
      <c r="E1741" s="50"/>
      <c r="F1741" s="50"/>
      <c r="G1741" s="52"/>
      <c r="H1741" s="51"/>
      <c r="I1741" s="51"/>
      <c r="J1741" s="66"/>
      <c r="K1741" s="66"/>
      <c r="L1741" s="66"/>
      <c r="M1741" s="50"/>
      <c r="N1741" s="67"/>
    </row>
    <row r="1742" ht="15.0" customHeight="1">
      <c r="A1742" s="51"/>
      <c r="B1742" s="50"/>
      <c r="C1742" s="50"/>
      <c r="D1742" s="50"/>
      <c r="E1742" s="50"/>
      <c r="F1742" s="50"/>
      <c r="G1742" s="52"/>
      <c r="H1742" s="51"/>
      <c r="I1742" s="51"/>
      <c r="J1742" s="66"/>
      <c r="K1742" s="66"/>
      <c r="L1742" s="66"/>
      <c r="M1742" s="50"/>
      <c r="N1742" s="67"/>
    </row>
    <row r="1743" ht="15.0" customHeight="1">
      <c r="A1743" s="51"/>
      <c r="B1743" s="50"/>
      <c r="C1743" s="50"/>
      <c r="D1743" s="50"/>
      <c r="E1743" s="50"/>
      <c r="F1743" s="50"/>
      <c r="G1743" s="52"/>
      <c r="H1743" s="51"/>
      <c r="I1743" s="51"/>
      <c r="J1743" s="66"/>
      <c r="K1743" s="66"/>
      <c r="L1743" s="66"/>
      <c r="M1743" s="50"/>
      <c r="N1743" s="67"/>
    </row>
    <row r="1744" ht="15.0" customHeight="1">
      <c r="A1744" s="51"/>
      <c r="B1744" s="50"/>
      <c r="C1744" s="50"/>
      <c r="D1744" s="50"/>
      <c r="E1744" s="50"/>
      <c r="F1744" s="50"/>
      <c r="G1744" s="52"/>
      <c r="H1744" s="51"/>
      <c r="I1744" s="51"/>
      <c r="J1744" s="66"/>
      <c r="K1744" s="66"/>
      <c r="L1744" s="66"/>
      <c r="M1744" s="50"/>
      <c r="N1744" s="67"/>
    </row>
    <row r="1745" ht="15.0" customHeight="1">
      <c r="A1745" s="51"/>
      <c r="B1745" s="50"/>
      <c r="C1745" s="50"/>
      <c r="D1745" s="50"/>
      <c r="E1745" s="50"/>
      <c r="F1745" s="50"/>
      <c r="G1745" s="52"/>
      <c r="H1745" s="51"/>
      <c r="I1745" s="51"/>
      <c r="J1745" s="66"/>
      <c r="K1745" s="66"/>
      <c r="L1745" s="66"/>
      <c r="M1745" s="50"/>
      <c r="N1745" s="67"/>
    </row>
    <row r="1746" ht="15.0" customHeight="1">
      <c r="A1746" s="51"/>
      <c r="B1746" s="50"/>
      <c r="C1746" s="50"/>
      <c r="D1746" s="50"/>
      <c r="E1746" s="50"/>
      <c r="F1746" s="50"/>
      <c r="G1746" s="52"/>
      <c r="H1746" s="51"/>
      <c r="I1746" s="51"/>
      <c r="J1746" s="66"/>
      <c r="K1746" s="66"/>
      <c r="L1746" s="66"/>
      <c r="M1746" s="50"/>
      <c r="N1746" s="67"/>
    </row>
    <row r="1747" ht="15.0" customHeight="1">
      <c r="A1747" s="51"/>
      <c r="B1747" s="50"/>
      <c r="C1747" s="50"/>
      <c r="D1747" s="50"/>
      <c r="E1747" s="50"/>
      <c r="F1747" s="50"/>
      <c r="G1747" s="52"/>
      <c r="H1747" s="51"/>
      <c r="I1747" s="51"/>
      <c r="J1747" s="66"/>
      <c r="K1747" s="66"/>
      <c r="L1747" s="66"/>
      <c r="M1747" s="50"/>
      <c r="N1747" s="67"/>
    </row>
    <row r="1748" ht="15.0" customHeight="1">
      <c r="A1748" s="51"/>
      <c r="B1748" s="50"/>
      <c r="C1748" s="50"/>
      <c r="D1748" s="50"/>
      <c r="E1748" s="50"/>
      <c r="F1748" s="50"/>
      <c r="G1748" s="52"/>
      <c r="H1748" s="51"/>
      <c r="I1748" s="51"/>
      <c r="J1748" s="66"/>
      <c r="K1748" s="66"/>
      <c r="L1748" s="66"/>
      <c r="M1748" s="50"/>
      <c r="N1748" s="67"/>
    </row>
    <row r="1749" ht="15.0" customHeight="1">
      <c r="A1749" s="51"/>
      <c r="B1749" s="50"/>
      <c r="C1749" s="50"/>
      <c r="D1749" s="50"/>
      <c r="E1749" s="50"/>
      <c r="F1749" s="50"/>
      <c r="G1749" s="52"/>
      <c r="H1749" s="51"/>
      <c r="I1749" s="51"/>
      <c r="J1749" s="66"/>
      <c r="K1749" s="66"/>
      <c r="L1749" s="66"/>
      <c r="M1749" s="50"/>
      <c r="N1749" s="67"/>
    </row>
    <row r="1750" ht="15.0" customHeight="1">
      <c r="A1750" s="51"/>
      <c r="B1750" s="50"/>
      <c r="C1750" s="50"/>
      <c r="D1750" s="50"/>
      <c r="E1750" s="50"/>
      <c r="F1750" s="50"/>
      <c r="G1750" s="52"/>
      <c r="H1750" s="51"/>
      <c r="I1750" s="51"/>
      <c r="J1750" s="66"/>
      <c r="K1750" s="66"/>
      <c r="L1750" s="66"/>
      <c r="M1750" s="50"/>
      <c r="N1750" s="67"/>
    </row>
    <row r="1751" ht="15.0" customHeight="1">
      <c r="A1751" s="51"/>
      <c r="B1751" s="50"/>
      <c r="C1751" s="50"/>
      <c r="D1751" s="50"/>
      <c r="E1751" s="50"/>
      <c r="F1751" s="50"/>
      <c r="G1751" s="52"/>
      <c r="H1751" s="51"/>
      <c r="I1751" s="51"/>
      <c r="J1751" s="66"/>
      <c r="K1751" s="66"/>
      <c r="L1751" s="66"/>
      <c r="M1751" s="50"/>
      <c r="N1751" s="67"/>
    </row>
    <row r="1752" ht="15.0" customHeight="1">
      <c r="A1752" s="51"/>
      <c r="B1752" s="50"/>
      <c r="C1752" s="50"/>
      <c r="D1752" s="50"/>
      <c r="E1752" s="50"/>
      <c r="F1752" s="50"/>
      <c r="G1752" s="52"/>
      <c r="H1752" s="51"/>
      <c r="I1752" s="51"/>
      <c r="J1752" s="66"/>
      <c r="K1752" s="66"/>
      <c r="L1752" s="66"/>
      <c r="M1752" s="50"/>
      <c r="N1752" s="67"/>
    </row>
    <row r="1753" ht="15.0" customHeight="1">
      <c r="A1753" s="51"/>
      <c r="B1753" s="50"/>
      <c r="C1753" s="50"/>
      <c r="D1753" s="50"/>
      <c r="E1753" s="50"/>
      <c r="F1753" s="50"/>
      <c r="G1753" s="52"/>
      <c r="H1753" s="51"/>
      <c r="I1753" s="51"/>
      <c r="J1753" s="66"/>
      <c r="K1753" s="66"/>
      <c r="L1753" s="66"/>
      <c r="M1753" s="50"/>
      <c r="N1753" s="67"/>
    </row>
    <row r="1754" ht="15.0" customHeight="1">
      <c r="A1754" s="51"/>
      <c r="B1754" s="50"/>
      <c r="C1754" s="50"/>
      <c r="D1754" s="50"/>
      <c r="E1754" s="50"/>
      <c r="F1754" s="50"/>
      <c r="G1754" s="52"/>
      <c r="H1754" s="51"/>
      <c r="I1754" s="51"/>
      <c r="J1754" s="66"/>
      <c r="K1754" s="66"/>
      <c r="L1754" s="66"/>
      <c r="M1754" s="50"/>
      <c r="N1754" s="67"/>
    </row>
    <row r="1755" ht="15.0" customHeight="1">
      <c r="A1755" s="51"/>
      <c r="B1755" s="50"/>
      <c r="C1755" s="50"/>
      <c r="D1755" s="50"/>
      <c r="E1755" s="50"/>
      <c r="F1755" s="50"/>
      <c r="G1755" s="52"/>
      <c r="H1755" s="51"/>
      <c r="I1755" s="51"/>
      <c r="J1755" s="66"/>
      <c r="K1755" s="66"/>
      <c r="L1755" s="66"/>
      <c r="M1755" s="50"/>
      <c r="N1755" s="67"/>
    </row>
    <row r="1756" ht="15.0" customHeight="1">
      <c r="A1756" s="51"/>
      <c r="B1756" s="50"/>
      <c r="C1756" s="50"/>
      <c r="D1756" s="50"/>
      <c r="E1756" s="50"/>
      <c r="F1756" s="50"/>
      <c r="G1756" s="52"/>
      <c r="H1756" s="51"/>
      <c r="I1756" s="51"/>
      <c r="J1756" s="66"/>
      <c r="K1756" s="66"/>
      <c r="L1756" s="66"/>
      <c r="M1756" s="50"/>
      <c r="N1756" s="67"/>
    </row>
    <row r="1757" ht="15.0" customHeight="1">
      <c r="A1757" s="51"/>
      <c r="B1757" s="50"/>
      <c r="C1757" s="50"/>
      <c r="D1757" s="50"/>
      <c r="E1757" s="50"/>
      <c r="F1757" s="50"/>
      <c r="G1757" s="52"/>
      <c r="H1757" s="51"/>
      <c r="I1757" s="51"/>
      <c r="J1757" s="66"/>
      <c r="K1757" s="66"/>
      <c r="L1757" s="66"/>
      <c r="M1757" s="50"/>
      <c r="N1757" s="67"/>
    </row>
    <row r="1758" ht="15.0" customHeight="1">
      <c r="A1758" s="51"/>
      <c r="B1758" s="50"/>
      <c r="C1758" s="50"/>
      <c r="D1758" s="50"/>
      <c r="E1758" s="50"/>
      <c r="F1758" s="50"/>
      <c r="G1758" s="52"/>
      <c r="H1758" s="51"/>
      <c r="I1758" s="51"/>
      <c r="J1758" s="66"/>
      <c r="K1758" s="66"/>
      <c r="L1758" s="66"/>
      <c r="M1758" s="50"/>
      <c r="N1758" s="67"/>
    </row>
    <row r="1759" ht="15.0" customHeight="1">
      <c r="A1759" s="51"/>
      <c r="B1759" s="50"/>
      <c r="C1759" s="50"/>
      <c r="D1759" s="50"/>
      <c r="E1759" s="50"/>
      <c r="F1759" s="50"/>
      <c r="G1759" s="52"/>
      <c r="H1759" s="51"/>
      <c r="I1759" s="51"/>
      <c r="J1759" s="66"/>
      <c r="K1759" s="66"/>
      <c r="L1759" s="66"/>
      <c r="M1759" s="50"/>
      <c r="N1759" s="67"/>
    </row>
    <row r="1760" ht="15.0" customHeight="1">
      <c r="A1760" s="51"/>
      <c r="B1760" s="50"/>
      <c r="C1760" s="50"/>
      <c r="D1760" s="50"/>
      <c r="E1760" s="50"/>
      <c r="F1760" s="50"/>
      <c r="G1760" s="52"/>
      <c r="H1760" s="51"/>
      <c r="I1760" s="51"/>
      <c r="J1760" s="66"/>
      <c r="K1760" s="66"/>
      <c r="L1760" s="66"/>
      <c r="M1760" s="50"/>
      <c r="N1760" s="67"/>
    </row>
    <row r="1761" ht="15.0" customHeight="1">
      <c r="A1761" s="51"/>
      <c r="B1761" s="50"/>
      <c r="C1761" s="50"/>
      <c r="D1761" s="50"/>
      <c r="E1761" s="50"/>
      <c r="F1761" s="50"/>
      <c r="G1761" s="52"/>
      <c r="H1761" s="51"/>
      <c r="I1761" s="51"/>
      <c r="J1761" s="66"/>
      <c r="K1761" s="66"/>
      <c r="L1761" s="66"/>
      <c r="M1761" s="50"/>
      <c r="N1761" s="67"/>
    </row>
    <row r="1762" ht="15.0" customHeight="1">
      <c r="A1762" s="51"/>
      <c r="B1762" s="50"/>
      <c r="C1762" s="50"/>
      <c r="D1762" s="50"/>
      <c r="E1762" s="50"/>
      <c r="F1762" s="50"/>
      <c r="G1762" s="52"/>
      <c r="H1762" s="51"/>
      <c r="I1762" s="51"/>
      <c r="J1762" s="66"/>
      <c r="K1762" s="66"/>
      <c r="L1762" s="66"/>
      <c r="M1762" s="50"/>
      <c r="N1762" s="67"/>
    </row>
    <row r="1763" ht="15.0" customHeight="1">
      <c r="A1763" s="51"/>
      <c r="B1763" s="50"/>
      <c r="C1763" s="50"/>
      <c r="D1763" s="50"/>
      <c r="E1763" s="50"/>
      <c r="F1763" s="50"/>
      <c r="G1763" s="52"/>
      <c r="H1763" s="51"/>
      <c r="I1763" s="51"/>
      <c r="J1763" s="66"/>
      <c r="K1763" s="66"/>
      <c r="L1763" s="66"/>
      <c r="M1763" s="50"/>
      <c r="N1763" s="67"/>
    </row>
    <row r="1764" ht="15.0" customHeight="1">
      <c r="A1764" s="51"/>
      <c r="B1764" s="50"/>
      <c r="C1764" s="50"/>
      <c r="D1764" s="50"/>
      <c r="E1764" s="50"/>
      <c r="F1764" s="50"/>
      <c r="G1764" s="52"/>
      <c r="H1764" s="51"/>
      <c r="I1764" s="51"/>
      <c r="J1764" s="66"/>
      <c r="K1764" s="66"/>
      <c r="L1764" s="66"/>
      <c r="M1764" s="50"/>
      <c r="N1764" s="67"/>
    </row>
    <row r="1765" ht="15.0" customHeight="1">
      <c r="A1765" s="51"/>
      <c r="B1765" s="50"/>
      <c r="C1765" s="50"/>
      <c r="D1765" s="50"/>
      <c r="E1765" s="50"/>
      <c r="F1765" s="50"/>
      <c r="G1765" s="52"/>
      <c r="H1765" s="51"/>
      <c r="I1765" s="51"/>
      <c r="J1765" s="66"/>
      <c r="K1765" s="66"/>
      <c r="L1765" s="66"/>
      <c r="M1765" s="50"/>
      <c r="N1765" s="67"/>
    </row>
    <row r="1766" ht="15.0" customHeight="1">
      <c r="A1766" s="51"/>
      <c r="B1766" s="50"/>
      <c r="C1766" s="50"/>
      <c r="D1766" s="50"/>
      <c r="E1766" s="50"/>
      <c r="F1766" s="50"/>
      <c r="G1766" s="52"/>
      <c r="H1766" s="51"/>
      <c r="I1766" s="51"/>
      <c r="J1766" s="66"/>
      <c r="K1766" s="66"/>
      <c r="L1766" s="66"/>
      <c r="M1766" s="50"/>
      <c r="N1766" s="67"/>
    </row>
    <row r="1767" ht="15.0" customHeight="1">
      <c r="A1767" s="51"/>
      <c r="B1767" s="50"/>
      <c r="C1767" s="50"/>
      <c r="D1767" s="50"/>
      <c r="E1767" s="50"/>
      <c r="F1767" s="50"/>
      <c r="G1767" s="52"/>
      <c r="H1767" s="51"/>
      <c r="I1767" s="51"/>
      <c r="J1767" s="66"/>
      <c r="K1767" s="66"/>
      <c r="L1767" s="66"/>
      <c r="M1767" s="50"/>
      <c r="N1767" s="67"/>
    </row>
    <row r="1768" ht="15.0" customHeight="1">
      <c r="A1768" s="51"/>
      <c r="B1768" s="50"/>
      <c r="C1768" s="50"/>
      <c r="D1768" s="50"/>
      <c r="E1768" s="50"/>
      <c r="F1768" s="50"/>
      <c r="G1768" s="52"/>
      <c r="H1768" s="51"/>
      <c r="I1768" s="51"/>
      <c r="J1768" s="66"/>
      <c r="K1768" s="66"/>
      <c r="L1768" s="66"/>
      <c r="M1768" s="50"/>
      <c r="N1768" s="67"/>
    </row>
    <row r="1769" ht="15.0" customHeight="1">
      <c r="A1769" s="51"/>
      <c r="B1769" s="50"/>
      <c r="C1769" s="50"/>
      <c r="D1769" s="50"/>
      <c r="E1769" s="50"/>
      <c r="F1769" s="50"/>
      <c r="G1769" s="52"/>
      <c r="H1769" s="51"/>
      <c r="I1769" s="51"/>
      <c r="J1769" s="66"/>
      <c r="K1769" s="66"/>
      <c r="L1769" s="66"/>
      <c r="M1769" s="50"/>
      <c r="N1769" s="67"/>
    </row>
    <row r="1770" ht="15.0" customHeight="1">
      <c r="A1770" s="51"/>
      <c r="B1770" s="50"/>
      <c r="C1770" s="50"/>
      <c r="D1770" s="50"/>
      <c r="E1770" s="50"/>
      <c r="F1770" s="50"/>
      <c r="G1770" s="52"/>
      <c r="H1770" s="51"/>
      <c r="I1770" s="51"/>
      <c r="J1770" s="66"/>
      <c r="K1770" s="66"/>
      <c r="L1770" s="66"/>
      <c r="M1770" s="50"/>
      <c r="N1770" s="67"/>
    </row>
    <row r="1771" ht="15.0" customHeight="1">
      <c r="A1771" s="51"/>
      <c r="B1771" s="50"/>
      <c r="C1771" s="50"/>
      <c r="D1771" s="50"/>
      <c r="E1771" s="50"/>
      <c r="F1771" s="50"/>
      <c r="G1771" s="52"/>
      <c r="H1771" s="51"/>
      <c r="I1771" s="51"/>
      <c r="J1771" s="66"/>
      <c r="K1771" s="66"/>
      <c r="L1771" s="66"/>
      <c r="M1771" s="50"/>
      <c r="N1771" s="67"/>
    </row>
    <row r="1772" ht="15.0" customHeight="1">
      <c r="A1772" s="51"/>
      <c r="B1772" s="50"/>
      <c r="C1772" s="50"/>
      <c r="D1772" s="50"/>
      <c r="E1772" s="50"/>
      <c r="F1772" s="50"/>
      <c r="G1772" s="52"/>
      <c r="H1772" s="51"/>
      <c r="I1772" s="51"/>
      <c r="J1772" s="66"/>
      <c r="K1772" s="66"/>
      <c r="L1772" s="66"/>
      <c r="M1772" s="50"/>
      <c r="N1772" s="67"/>
    </row>
    <row r="1773" ht="15.0" customHeight="1">
      <c r="A1773" s="51"/>
      <c r="B1773" s="50"/>
      <c r="C1773" s="50"/>
      <c r="D1773" s="50"/>
      <c r="E1773" s="50"/>
      <c r="F1773" s="50"/>
      <c r="G1773" s="52"/>
      <c r="H1773" s="51"/>
      <c r="I1773" s="51"/>
      <c r="J1773" s="66"/>
      <c r="K1773" s="66"/>
      <c r="L1773" s="66"/>
      <c r="M1773" s="50"/>
      <c r="N1773" s="67"/>
    </row>
    <row r="1774" ht="15.0" customHeight="1">
      <c r="A1774" s="51"/>
      <c r="B1774" s="50"/>
      <c r="C1774" s="50"/>
      <c r="D1774" s="50"/>
      <c r="E1774" s="50"/>
      <c r="F1774" s="50"/>
      <c r="G1774" s="52"/>
      <c r="H1774" s="51"/>
      <c r="I1774" s="51"/>
      <c r="J1774" s="66"/>
      <c r="K1774" s="66"/>
      <c r="L1774" s="66"/>
      <c r="M1774" s="50"/>
      <c r="N1774" s="67"/>
    </row>
    <row r="1775" ht="15.0" customHeight="1">
      <c r="A1775" s="51"/>
      <c r="B1775" s="50"/>
      <c r="C1775" s="50"/>
      <c r="D1775" s="50"/>
      <c r="E1775" s="50"/>
      <c r="F1775" s="50"/>
      <c r="G1775" s="52"/>
      <c r="H1775" s="51"/>
      <c r="I1775" s="51"/>
      <c r="J1775" s="66"/>
      <c r="K1775" s="66"/>
      <c r="L1775" s="66"/>
      <c r="M1775" s="50"/>
      <c r="N1775" s="67"/>
    </row>
    <row r="1776" ht="15.0" customHeight="1">
      <c r="A1776" s="51"/>
      <c r="B1776" s="50"/>
      <c r="C1776" s="50"/>
      <c r="D1776" s="50"/>
      <c r="E1776" s="50"/>
      <c r="F1776" s="50"/>
      <c r="G1776" s="52"/>
      <c r="H1776" s="51"/>
      <c r="I1776" s="51"/>
      <c r="J1776" s="66"/>
      <c r="K1776" s="66"/>
      <c r="L1776" s="66"/>
      <c r="M1776" s="50"/>
      <c r="N1776" s="67"/>
    </row>
    <row r="1777" ht="15.0" customHeight="1">
      <c r="A1777" s="51"/>
      <c r="B1777" s="50"/>
      <c r="C1777" s="50"/>
      <c r="D1777" s="50"/>
      <c r="E1777" s="50"/>
      <c r="F1777" s="50"/>
      <c r="G1777" s="52"/>
      <c r="H1777" s="51"/>
      <c r="I1777" s="51"/>
      <c r="J1777" s="66"/>
      <c r="K1777" s="66"/>
      <c r="L1777" s="66"/>
      <c r="M1777" s="50"/>
      <c r="N1777" s="67"/>
    </row>
    <row r="1778" ht="15.0" customHeight="1">
      <c r="A1778" s="51"/>
      <c r="B1778" s="50"/>
      <c r="C1778" s="50"/>
      <c r="D1778" s="50"/>
      <c r="E1778" s="50"/>
      <c r="F1778" s="50"/>
      <c r="G1778" s="52"/>
      <c r="H1778" s="51"/>
      <c r="I1778" s="51"/>
      <c r="J1778" s="66"/>
      <c r="K1778" s="66"/>
      <c r="L1778" s="66"/>
      <c r="M1778" s="50"/>
      <c r="N1778" s="67"/>
    </row>
    <row r="1779" ht="15.0" customHeight="1">
      <c r="A1779" s="51"/>
      <c r="B1779" s="50"/>
      <c r="C1779" s="50"/>
      <c r="D1779" s="50"/>
      <c r="E1779" s="50"/>
      <c r="F1779" s="50"/>
      <c r="G1779" s="52"/>
      <c r="H1779" s="51"/>
      <c r="I1779" s="51"/>
      <c r="J1779" s="66"/>
      <c r="K1779" s="66"/>
      <c r="L1779" s="66"/>
      <c r="M1779" s="50"/>
      <c r="N1779" s="67"/>
    </row>
    <row r="1780" ht="15.0" customHeight="1">
      <c r="A1780" s="51"/>
      <c r="B1780" s="50"/>
      <c r="C1780" s="50"/>
      <c r="D1780" s="50"/>
      <c r="E1780" s="50"/>
      <c r="F1780" s="50"/>
      <c r="G1780" s="52"/>
      <c r="H1780" s="51"/>
      <c r="I1780" s="51"/>
      <c r="J1780" s="66"/>
      <c r="K1780" s="66"/>
      <c r="L1780" s="66"/>
      <c r="M1780" s="50"/>
      <c r="N1780" s="67"/>
    </row>
    <row r="1781" ht="15.0" customHeight="1">
      <c r="A1781" s="51"/>
      <c r="B1781" s="50"/>
      <c r="C1781" s="50"/>
      <c r="D1781" s="50"/>
      <c r="E1781" s="50"/>
      <c r="F1781" s="50"/>
      <c r="G1781" s="52"/>
      <c r="H1781" s="51"/>
      <c r="I1781" s="51"/>
      <c r="J1781" s="66"/>
      <c r="K1781" s="66"/>
      <c r="L1781" s="66"/>
      <c r="M1781" s="50"/>
      <c r="N1781" s="67"/>
    </row>
    <row r="1782" ht="15.0" customHeight="1">
      <c r="A1782" s="51"/>
      <c r="B1782" s="50"/>
      <c r="C1782" s="50"/>
      <c r="D1782" s="50"/>
      <c r="E1782" s="50"/>
      <c r="F1782" s="50"/>
      <c r="G1782" s="52"/>
      <c r="H1782" s="51"/>
      <c r="I1782" s="51"/>
      <c r="J1782" s="66"/>
      <c r="K1782" s="66"/>
      <c r="L1782" s="66"/>
      <c r="M1782" s="50"/>
      <c r="N1782" s="67"/>
    </row>
    <row r="1783" ht="15.0" customHeight="1">
      <c r="A1783" s="51"/>
      <c r="B1783" s="50"/>
      <c r="C1783" s="50"/>
      <c r="D1783" s="50"/>
      <c r="E1783" s="50"/>
      <c r="F1783" s="50"/>
      <c r="G1783" s="52"/>
      <c r="H1783" s="51"/>
      <c r="I1783" s="51"/>
      <c r="J1783" s="66"/>
      <c r="K1783" s="66"/>
      <c r="L1783" s="66"/>
      <c r="M1783" s="50"/>
      <c r="N1783" s="67"/>
    </row>
    <row r="1784" ht="15.0" customHeight="1">
      <c r="A1784" s="51"/>
      <c r="B1784" s="50"/>
      <c r="C1784" s="50"/>
      <c r="D1784" s="50"/>
      <c r="E1784" s="50"/>
      <c r="F1784" s="50"/>
      <c r="G1784" s="52"/>
      <c r="H1784" s="51"/>
      <c r="I1784" s="51"/>
      <c r="J1784" s="66"/>
      <c r="K1784" s="66"/>
      <c r="L1784" s="66"/>
      <c r="M1784" s="50"/>
      <c r="N1784" s="67"/>
    </row>
    <row r="1785" ht="15.0" customHeight="1">
      <c r="A1785" s="51"/>
      <c r="B1785" s="50"/>
      <c r="C1785" s="50"/>
      <c r="D1785" s="50"/>
      <c r="E1785" s="50"/>
      <c r="F1785" s="50"/>
      <c r="G1785" s="52"/>
      <c r="H1785" s="51"/>
      <c r="I1785" s="51"/>
      <c r="J1785" s="66"/>
      <c r="K1785" s="66"/>
      <c r="L1785" s="66"/>
      <c r="M1785" s="50"/>
      <c r="N1785" s="67"/>
    </row>
    <row r="1786" ht="15.0" customHeight="1">
      <c r="A1786" s="51"/>
      <c r="B1786" s="50"/>
      <c r="C1786" s="50"/>
      <c r="D1786" s="50"/>
      <c r="E1786" s="50"/>
      <c r="F1786" s="50"/>
      <c r="G1786" s="52"/>
      <c r="H1786" s="51"/>
      <c r="I1786" s="51"/>
      <c r="J1786" s="66"/>
      <c r="K1786" s="66"/>
      <c r="L1786" s="66"/>
      <c r="M1786" s="50"/>
      <c r="N1786" s="67"/>
    </row>
    <row r="1787" ht="15.0" customHeight="1">
      <c r="A1787" s="51"/>
      <c r="B1787" s="50"/>
      <c r="C1787" s="50"/>
      <c r="D1787" s="50"/>
      <c r="E1787" s="50"/>
      <c r="F1787" s="50"/>
      <c r="G1787" s="52"/>
      <c r="H1787" s="51"/>
      <c r="I1787" s="51"/>
      <c r="J1787" s="66"/>
      <c r="K1787" s="66"/>
      <c r="L1787" s="66"/>
      <c r="M1787" s="50"/>
      <c r="N1787" s="67"/>
    </row>
    <row r="1788" ht="15.0" customHeight="1">
      <c r="A1788" s="51"/>
      <c r="B1788" s="50"/>
      <c r="C1788" s="50"/>
      <c r="D1788" s="50"/>
      <c r="E1788" s="50"/>
      <c r="F1788" s="50"/>
      <c r="G1788" s="52"/>
      <c r="H1788" s="51"/>
      <c r="I1788" s="51"/>
      <c r="J1788" s="66"/>
      <c r="K1788" s="66"/>
      <c r="L1788" s="66"/>
      <c r="M1788" s="50"/>
      <c r="N1788" s="67"/>
    </row>
    <row r="1789" ht="15.0" customHeight="1">
      <c r="A1789" s="51"/>
      <c r="B1789" s="50"/>
      <c r="C1789" s="50"/>
      <c r="D1789" s="50"/>
      <c r="E1789" s="50"/>
      <c r="F1789" s="50"/>
      <c r="G1789" s="52"/>
      <c r="H1789" s="51"/>
      <c r="I1789" s="51"/>
      <c r="J1789" s="66"/>
      <c r="K1789" s="66"/>
      <c r="L1789" s="66"/>
      <c r="M1789" s="50"/>
      <c r="N1789" s="67"/>
    </row>
    <row r="1790" ht="15.0" customHeight="1">
      <c r="A1790" s="51"/>
      <c r="B1790" s="50"/>
      <c r="C1790" s="50"/>
      <c r="D1790" s="50"/>
      <c r="E1790" s="50"/>
      <c r="F1790" s="50"/>
      <c r="G1790" s="52"/>
      <c r="H1790" s="51"/>
      <c r="I1790" s="51"/>
      <c r="J1790" s="66"/>
      <c r="K1790" s="66"/>
      <c r="L1790" s="66"/>
      <c r="M1790" s="50"/>
      <c r="N1790" s="67"/>
    </row>
    <row r="1791" ht="15.0" customHeight="1">
      <c r="A1791" s="51"/>
      <c r="B1791" s="50"/>
      <c r="C1791" s="50"/>
      <c r="D1791" s="50"/>
      <c r="E1791" s="50"/>
      <c r="F1791" s="50"/>
      <c r="G1791" s="52"/>
      <c r="H1791" s="51"/>
      <c r="I1791" s="51"/>
      <c r="J1791" s="66"/>
      <c r="K1791" s="66"/>
      <c r="L1791" s="66"/>
      <c r="M1791" s="50"/>
      <c r="N1791" s="67"/>
    </row>
    <row r="1792" ht="15.0" customHeight="1">
      <c r="A1792" s="51"/>
      <c r="B1792" s="50"/>
      <c r="C1792" s="50"/>
      <c r="D1792" s="50"/>
      <c r="E1792" s="50"/>
      <c r="F1792" s="50"/>
      <c r="G1792" s="52"/>
      <c r="H1792" s="51"/>
      <c r="I1792" s="51"/>
      <c r="J1792" s="66"/>
      <c r="K1792" s="66"/>
      <c r="L1792" s="66"/>
      <c r="M1792" s="50"/>
      <c r="N1792" s="67"/>
    </row>
    <row r="1793" ht="15.0" customHeight="1">
      <c r="A1793" s="51"/>
      <c r="B1793" s="50"/>
      <c r="C1793" s="50"/>
      <c r="D1793" s="50"/>
      <c r="E1793" s="50"/>
      <c r="F1793" s="50"/>
      <c r="G1793" s="52"/>
      <c r="H1793" s="51"/>
      <c r="I1793" s="51"/>
      <c r="J1793" s="66"/>
      <c r="K1793" s="66"/>
      <c r="L1793" s="66"/>
      <c r="M1793" s="50"/>
      <c r="N1793" s="67"/>
    </row>
    <row r="1794" ht="15.0" customHeight="1">
      <c r="A1794" s="51"/>
      <c r="B1794" s="50"/>
      <c r="C1794" s="50"/>
      <c r="D1794" s="50"/>
      <c r="E1794" s="50"/>
      <c r="F1794" s="50"/>
      <c r="G1794" s="52"/>
      <c r="H1794" s="51"/>
      <c r="I1794" s="51"/>
      <c r="J1794" s="66"/>
      <c r="K1794" s="66"/>
      <c r="L1794" s="66"/>
      <c r="M1794" s="50"/>
      <c r="N1794" s="67"/>
    </row>
    <row r="1795" ht="15.0" customHeight="1">
      <c r="A1795" s="51"/>
      <c r="B1795" s="50"/>
      <c r="C1795" s="50"/>
      <c r="D1795" s="50"/>
      <c r="E1795" s="50"/>
      <c r="F1795" s="50"/>
      <c r="G1795" s="52"/>
      <c r="H1795" s="51"/>
      <c r="I1795" s="51"/>
      <c r="J1795" s="66"/>
      <c r="K1795" s="66"/>
      <c r="L1795" s="66"/>
      <c r="M1795" s="50"/>
      <c r="N1795" s="67"/>
    </row>
    <row r="1796" ht="15.0" customHeight="1">
      <c r="A1796" s="51"/>
      <c r="B1796" s="50"/>
      <c r="C1796" s="50"/>
      <c r="D1796" s="50"/>
      <c r="E1796" s="50"/>
      <c r="F1796" s="50"/>
      <c r="G1796" s="52"/>
      <c r="H1796" s="51"/>
      <c r="I1796" s="51"/>
      <c r="J1796" s="66"/>
      <c r="K1796" s="66"/>
      <c r="L1796" s="66"/>
      <c r="M1796" s="50"/>
      <c r="N1796" s="67"/>
    </row>
    <row r="1797" ht="15.0" customHeight="1">
      <c r="A1797" s="51"/>
      <c r="B1797" s="50"/>
      <c r="C1797" s="50"/>
      <c r="D1797" s="50"/>
      <c r="E1797" s="50"/>
      <c r="F1797" s="50"/>
      <c r="G1797" s="52"/>
      <c r="H1797" s="51"/>
      <c r="I1797" s="51"/>
      <c r="J1797" s="66"/>
      <c r="K1797" s="66"/>
      <c r="L1797" s="66"/>
      <c r="M1797" s="50"/>
      <c r="N1797" s="67"/>
    </row>
    <row r="1798" ht="15.0" customHeight="1">
      <c r="A1798" s="51"/>
      <c r="B1798" s="50"/>
      <c r="C1798" s="50"/>
      <c r="D1798" s="50"/>
      <c r="E1798" s="50"/>
      <c r="F1798" s="50"/>
      <c r="G1798" s="52"/>
      <c r="H1798" s="51"/>
      <c r="I1798" s="51"/>
      <c r="J1798" s="66"/>
      <c r="K1798" s="66"/>
      <c r="L1798" s="66"/>
      <c r="M1798" s="50"/>
      <c r="N1798" s="67"/>
    </row>
    <row r="1799" ht="15.0" customHeight="1">
      <c r="A1799" s="51"/>
      <c r="B1799" s="50"/>
      <c r="C1799" s="50"/>
      <c r="D1799" s="50"/>
      <c r="E1799" s="50"/>
      <c r="F1799" s="50"/>
      <c r="G1799" s="52"/>
      <c r="H1799" s="51"/>
      <c r="I1799" s="51"/>
      <c r="J1799" s="66"/>
      <c r="K1799" s="66"/>
      <c r="L1799" s="66"/>
      <c r="M1799" s="50"/>
      <c r="N1799" s="67"/>
    </row>
    <row r="1800" ht="15.0" customHeight="1">
      <c r="A1800" s="51"/>
      <c r="B1800" s="50"/>
      <c r="C1800" s="50"/>
      <c r="D1800" s="50"/>
      <c r="E1800" s="50"/>
      <c r="F1800" s="50"/>
      <c r="G1800" s="52"/>
      <c r="H1800" s="51"/>
      <c r="I1800" s="51"/>
      <c r="J1800" s="66"/>
      <c r="K1800" s="66"/>
      <c r="L1800" s="66"/>
      <c r="M1800" s="50"/>
      <c r="N1800" s="67"/>
    </row>
    <row r="1801" ht="15.0" customHeight="1">
      <c r="A1801" s="51"/>
      <c r="B1801" s="50"/>
      <c r="C1801" s="50"/>
      <c r="D1801" s="50"/>
      <c r="E1801" s="50"/>
      <c r="F1801" s="50"/>
      <c r="G1801" s="52"/>
      <c r="H1801" s="51"/>
      <c r="I1801" s="51"/>
      <c r="J1801" s="66"/>
      <c r="K1801" s="66"/>
      <c r="L1801" s="66"/>
      <c r="M1801" s="50"/>
      <c r="N1801" s="67"/>
    </row>
    <row r="1802" ht="15.0" customHeight="1">
      <c r="A1802" s="51"/>
      <c r="B1802" s="50"/>
      <c r="C1802" s="50"/>
      <c r="D1802" s="50"/>
      <c r="E1802" s="50"/>
      <c r="F1802" s="50"/>
      <c r="G1802" s="52"/>
      <c r="H1802" s="51"/>
      <c r="I1802" s="51"/>
      <c r="J1802" s="66"/>
      <c r="K1802" s="66"/>
      <c r="L1802" s="66"/>
      <c r="M1802" s="50"/>
      <c r="N1802" s="67"/>
    </row>
    <row r="1803" ht="15.0" customHeight="1">
      <c r="A1803" s="51"/>
      <c r="B1803" s="50"/>
      <c r="C1803" s="50"/>
      <c r="D1803" s="50"/>
      <c r="E1803" s="50"/>
      <c r="F1803" s="50"/>
      <c r="G1803" s="52"/>
      <c r="H1803" s="51"/>
      <c r="I1803" s="51"/>
      <c r="J1803" s="66"/>
      <c r="K1803" s="66"/>
      <c r="L1803" s="66"/>
      <c r="M1803" s="50"/>
      <c r="N1803" s="67"/>
    </row>
    <row r="1804" ht="15.0" customHeight="1">
      <c r="A1804" s="51"/>
      <c r="B1804" s="50"/>
      <c r="C1804" s="50"/>
      <c r="D1804" s="50"/>
      <c r="E1804" s="50"/>
      <c r="F1804" s="50"/>
      <c r="G1804" s="52"/>
      <c r="H1804" s="51"/>
      <c r="I1804" s="51"/>
      <c r="J1804" s="66"/>
      <c r="K1804" s="66"/>
      <c r="L1804" s="66"/>
      <c r="M1804" s="50"/>
      <c r="N1804" s="67"/>
    </row>
    <row r="1805" ht="15.0" customHeight="1">
      <c r="A1805" s="51"/>
      <c r="B1805" s="50"/>
      <c r="C1805" s="50"/>
      <c r="D1805" s="50"/>
      <c r="E1805" s="50"/>
      <c r="F1805" s="50"/>
      <c r="G1805" s="52"/>
      <c r="H1805" s="51"/>
      <c r="I1805" s="51"/>
      <c r="J1805" s="66"/>
      <c r="K1805" s="66"/>
      <c r="L1805" s="66"/>
      <c r="M1805" s="50"/>
      <c r="N1805" s="67"/>
    </row>
    <row r="1806" ht="15.0" customHeight="1">
      <c r="A1806" s="51"/>
      <c r="B1806" s="50"/>
      <c r="C1806" s="50"/>
      <c r="D1806" s="50"/>
      <c r="E1806" s="50"/>
      <c r="F1806" s="50"/>
      <c r="G1806" s="52"/>
      <c r="H1806" s="51"/>
      <c r="I1806" s="51"/>
      <c r="J1806" s="66"/>
      <c r="K1806" s="66"/>
      <c r="L1806" s="66"/>
      <c r="M1806" s="50"/>
      <c r="N1806" s="67"/>
    </row>
    <row r="1807" ht="15.0" customHeight="1">
      <c r="A1807" s="51"/>
      <c r="B1807" s="50"/>
      <c r="C1807" s="50"/>
      <c r="D1807" s="50"/>
      <c r="E1807" s="50"/>
      <c r="F1807" s="50"/>
      <c r="G1807" s="52"/>
      <c r="H1807" s="51"/>
      <c r="I1807" s="51"/>
      <c r="J1807" s="66"/>
      <c r="K1807" s="66"/>
      <c r="L1807" s="66"/>
      <c r="M1807" s="50"/>
      <c r="N1807" s="67"/>
    </row>
    <row r="1808" ht="15.0" customHeight="1">
      <c r="A1808" s="51"/>
      <c r="B1808" s="50"/>
      <c r="C1808" s="50"/>
      <c r="D1808" s="50"/>
      <c r="E1808" s="50"/>
      <c r="F1808" s="50"/>
      <c r="G1808" s="52"/>
      <c r="H1808" s="51"/>
      <c r="I1808" s="51"/>
      <c r="J1808" s="66"/>
      <c r="K1808" s="66"/>
      <c r="L1808" s="66"/>
      <c r="M1808" s="50"/>
      <c r="N1808" s="67"/>
    </row>
    <row r="1809" ht="15.0" customHeight="1">
      <c r="A1809" s="51"/>
      <c r="B1809" s="50"/>
      <c r="C1809" s="50"/>
      <c r="D1809" s="50"/>
      <c r="E1809" s="50"/>
      <c r="F1809" s="50"/>
      <c r="G1809" s="52"/>
      <c r="H1809" s="51"/>
      <c r="I1809" s="51"/>
      <c r="J1809" s="66"/>
      <c r="K1809" s="66"/>
      <c r="L1809" s="66"/>
      <c r="M1809" s="50"/>
      <c r="N1809" s="67"/>
    </row>
    <row r="1810" ht="15.0" customHeight="1">
      <c r="A1810" s="51"/>
      <c r="B1810" s="50"/>
      <c r="C1810" s="50"/>
      <c r="D1810" s="50"/>
      <c r="E1810" s="50"/>
      <c r="F1810" s="50"/>
      <c r="G1810" s="52"/>
      <c r="H1810" s="51"/>
      <c r="I1810" s="51"/>
      <c r="J1810" s="66"/>
      <c r="K1810" s="66"/>
      <c r="L1810" s="66"/>
      <c r="M1810" s="50"/>
      <c r="N1810" s="67"/>
    </row>
    <row r="1811" ht="15.0" customHeight="1">
      <c r="A1811" s="51"/>
      <c r="B1811" s="50"/>
      <c r="C1811" s="50"/>
      <c r="D1811" s="50"/>
      <c r="E1811" s="50"/>
      <c r="F1811" s="50"/>
      <c r="G1811" s="52"/>
      <c r="H1811" s="51"/>
      <c r="I1811" s="51"/>
      <c r="J1811" s="66"/>
      <c r="K1811" s="66"/>
      <c r="L1811" s="66"/>
      <c r="M1811" s="50"/>
      <c r="N1811" s="67"/>
    </row>
    <row r="1812" ht="15.0" customHeight="1">
      <c r="A1812" s="51"/>
      <c r="B1812" s="50"/>
      <c r="C1812" s="50"/>
      <c r="D1812" s="50"/>
      <c r="E1812" s="50"/>
      <c r="F1812" s="50"/>
      <c r="G1812" s="52"/>
      <c r="H1812" s="51"/>
      <c r="I1812" s="51"/>
      <c r="J1812" s="66"/>
      <c r="K1812" s="66"/>
      <c r="L1812" s="66"/>
      <c r="M1812" s="50"/>
      <c r="N1812" s="67"/>
    </row>
    <row r="1813" ht="15.0" customHeight="1">
      <c r="A1813" s="51"/>
      <c r="B1813" s="50"/>
      <c r="C1813" s="50"/>
      <c r="D1813" s="50"/>
      <c r="E1813" s="50"/>
      <c r="F1813" s="50"/>
      <c r="G1813" s="52"/>
      <c r="H1813" s="51"/>
      <c r="I1813" s="51"/>
      <c r="J1813" s="66"/>
      <c r="K1813" s="66"/>
      <c r="L1813" s="66"/>
      <c r="M1813" s="50"/>
      <c r="N1813" s="67"/>
    </row>
    <row r="1814" ht="15.0" customHeight="1">
      <c r="A1814" s="51"/>
      <c r="B1814" s="50"/>
      <c r="C1814" s="50"/>
      <c r="D1814" s="50"/>
      <c r="E1814" s="50"/>
      <c r="F1814" s="50"/>
      <c r="G1814" s="52"/>
      <c r="H1814" s="51"/>
      <c r="I1814" s="51"/>
      <c r="J1814" s="66"/>
      <c r="K1814" s="66"/>
      <c r="L1814" s="66"/>
      <c r="M1814" s="50"/>
      <c r="N1814" s="67"/>
    </row>
    <row r="1815" ht="15.0" customHeight="1">
      <c r="A1815" s="51"/>
      <c r="B1815" s="50"/>
      <c r="C1815" s="50"/>
      <c r="D1815" s="50"/>
      <c r="E1815" s="50"/>
      <c r="F1815" s="50"/>
      <c r="G1815" s="52"/>
      <c r="H1815" s="51"/>
      <c r="I1815" s="51"/>
      <c r="J1815" s="66"/>
      <c r="K1815" s="66"/>
      <c r="L1815" s="66"/>
      <c r="M1815" s="50"/>
      <c r="N1815" s="67"/>
    </row>
    <row r="1816" ht="15.0" customHeight="1">
      <c r="A1816" s="51"/>
      <c r="B1816" s="50"/>
      <c r="C1816" s="50"/>
      <c r="D1816" s="50"/>
      <c r="E1816" s="50"/>
      <c r="F1816" s="50"/>
      <c r="G1816" s="52"/>
      <c r="H1816" s="51"/>
      <c r="I1816" s="51"/>
      <c r="J1816" s="66"/>
      <c r="K1816" s="66"/>
      <c r="L1816" s="66"/>
      <c r="M1816" s="50"/>
      <c r="N1816" s="67"/>
    </row>
    <row r="1817" ht="15.0" customHeight="1">
      <c r="A1817" s="51"/>
      <c r="B1817" s="50"/>
      <c r="C1817" s="50"/>
      <c r="D1817" s="50"/>
      <c r="E1817" s="50"/>
      <c r="F1817" s="50"/>
      <c r="G1817" s="52"/>
      <c r="H1817" s="51"/>
      <c r="I1817" s="51"/>
      <c r="J1817" s="66"/>
      <c r="K1817" s="66"/>
      <c r="L1817" s="66"/>
      <c r="M1817" s="50"/>
      <c r="N1817" s="67"/>
    </row>
    <row r="1818" ht="15.0" customHeight="1">
      <c r="A1818" s="51"/>
      <c r="B1818" s="50"/>
      <c r="C1818" s="50"/>
      <c r="D1818" s="50"/>
      <c r="E1818" s="50"/>
      <c r="F1818" s="50"/>
      <c r="G1818" s="52"/>
      <c r="H1818" s="51"/>
      <c r="I1818" s="51"/>
      <c r="J1818" s="66"/>
      <c r="K1818" s="66"/>
      <c r="L1818" s="66"/>
      <c r="M1818" s="50"/>
      <c r="N1818" s="67"/>
    </row>
    <row r="1819" ht="15.0" customHeight="1">
      <c r="A1819" s="51"/>
      <c r="B1819" s="50"/>
      <c r="C1819" s="50"/>
      <c r="D1819" s="50"/>
      <c r="E1819" s="50"/>
      <c r="F1819" s="50"/>
      <c r="G1819" s="52"/>
      <c r="H1819" s="51"/>
      <c r="I1819" s="51"/>
      <c r="J1819" s="66"/>
      <c r="K1819" s="66"/>
      <c r="L1819" s="66"/>
      <c r="M1819" s="50"/>
      <c r="N1819" s="67"/>
    </row>
    <row r="1820" ht="15.0" customHeight="1">
      <c r="A1820" s="51"/>
      <c r="B1820" s="50"/>
      <c r="C1820" s="50"/>
      <c r="D1820" s="50"/>
      <c r="E1820" s="50"/>
      <c r="F1820" s="50"/>
      <c r="G1820" s="52"/>
      <c r="H1820" s="51"/>
      <c r="I1820" s="51"/>
      <c r="J1820" s="66"/>
      <c r="K1820" s="66"/>
      <c r="L1820" s="66"/>
      <c r="M1820" s="50"/>
      <c r="N1820" s="67"/>
    </row>
    <row r="1821" ht="15.0" customHeight="1">
      <c r="A1821" s="51"/>
      <c r="B1821" s="50"/>
      <c r="C1821" s="50"/>
      <c r="D1821" s="50"/>
      <c r="E1821" s="50"/>
      <c r="F1821" s="50"/>
      <c r="G1821" s="52"/>
      <c r="H1821" s="51"/>
      <c r="I1821" s="51"/>
      <c r="J1821" s="66"/>
      <c r="K1821" s="66"/>
      <c r="L1821" s="66"/>
      <c r="M1821" s="50"/>
      <c r="N1821" s="67"/>
    </row>
    <row r="1822" ht="15.0" customHeight="1">
      <c r="A1822" s="51"/>
      <c r="B1822" s="50"/>
      <c r="C1822" s="50"/>
      <c r="D1822" s="50"/>
      <c r="E1822" s="50"/>
      <c r="F1822" s="50"/>
      <c r="G1822" s="52"/>
      <c r="H1822" s="51"/>
      <c r="I1822" s="51"/>
      <c r="J1822" s="66"/>
      <c r="K1822" s="66"/>
      <c r="L1822" s="66"/>
      <c r="M1822" s="50"/>
      <c r="N1822" s="67"/>
    </row>
    <row r="1823" ht="15.0" customHeight="1">
      <c r="A1823" s="51"/>
      <c r="B1823" s="50"/>
      <c r="C1823" s="50"/>
      <c r="D1823" s="50"/>
      <c r="E1823" s="50"/>
      <c r="F1823" s="50"/>
      <c r="G1823" s="52"/>
      <c r="H1823" s="51"/>
      <c r="I1823" s="51"/>
      <c r="J1823" s="66"/>
      <c r="K1823" s="66"/>
      <c r="L1823" s="66"/>
      <c r="M1823" s="50"/>
      <c r="N1823" s="67"/>
    </row>
    <row r="1824" ht="15.0" customHeight="1">
      <c r="A1824" s="51"/>
      <c r="B1824" s="50"/>
      <c r="C1824" s="50"/>
      <c r="D1824" s="50"/>
      <c r="E1824" s="50"/>
      <c r="F1824" s="50"/>
      <c r="G1824" s="52"/>
      <c r="H1824" s="51"/>
      <c r="I1824" s="51"/>
      <c r="J1824" s="66"/>
      <c r="K1824" s="66"/>
      <c r="L1824" s="66"/>
      <c r="M1824" s="50"/>
      <c r="N1824" s="67"/>
    </row>
    <row r="1825" ht="15.0" customHeight="1">
      <c r="A1825" s="51"/>
      <c r="B1825" s="50"/>
      <c r="C1825" s="50"/>
      <c r="D1825" s="50"/>
      <c r="E1825" s="50"/>
      <c r="F1825" s="50"/>
      <c r="G1825" s="52"/>
      <c r="H1825" s="51"/>
      <c r="I1825" s="51"/>
      <c r="J1825" s="66"/>
      <c r="K1825" s="66"/>
      <c r="L1825" s="66"/>
      <c r="M1825" s="50"/>
      <c r="N1825" s="67"/>
    </row>
    <row r="1826" ht="15.0" customHeight="1">
      <c r="A1826" s="51"/>
      <c r="B1826" s="50"/>
      <c r="C1826" s="50"/>
      <c r="D1826" s="50"/>
      <c r="E1826" s="50"/>
      <c r="F1826" s="50"/>
      <c r="G1826" s="52"/>
      <c r="H1826" s="51"/>
      <c r="I1826" s="51"/>
      <c r="J1826" s="66"/>
      <c r="K1826" s="66"/>
      <c r="L1826" s="66"/>
      <c r="M1826" s="50"/>
      <c r="N1826" s="67"/>
    </row>
    <row r="1827" ht="15.0" customHeight="1">
      <c r="A1827" s="51"/>
      <c r="B1827" s="50"/>
      <c r="C1827" s="50"/>
      <c r="D1827" s="50"/>
      <c r="E1827" s="50"/>
      <c r="F1827" s="50"/>
      <c r="G1827" s="52"/>
      <c r="H1827" s="51"/>
      <c r="I1827" s="51"/>
      <c r="J1827" s="66"/>
      <c r="K1827" s="66"/>
      <c r="L1827" s="66"/>
      <c r="M1827" s="50"/>
      <c r="N1827" s="67"/>
    </row>
    <row r="1828" ht="15.0" customHeight="1">
      <c r="A1828" s="51"/>
      <c r="B1828" s="50"/>
      <c r="C1828" s="50"/>
      <c r="D1828" s="50"/>
      <c r="E1828" s="50"/>
      <c r="F1828" s="50"/>
      <c r="G1828" s="52"/>
      <c r="H1828" s="51"/>
      <c r="I1828" s="51"/>
      <c r="J1828" s="66"/>
      <c r="K1828" s="66"/>
      <c r="L1828" s="66"/>
      <c r="M1828" s="50"/>
      <c r="N1828" s="67"/>
    </row>
    <row r="1829" ht="15.0" customHeight="1">
      <c r="A1829" s="51"/>
      <c r="B1829" s="50"/>
      <c r="C1829" s="50"/>
      <c r="D1829" s="50"/>
      <c r="E1829" s="50"/>
      <c r="F1829" s="50"/>
      <c r="G1829" s="52"/>
      <c r="H1829" s="51"/>
      <c r="I1829" s="51"/>
      <c r="J1829" s="66"/>
      <c r="K1829" s="66"/>
      <c r="L1829" s="66"/>
      <c r="M1829" s="50"/>
      <c r="N1829" s="67"/>
    </row>
    <row r="1830" ht="15.0" customHeight="1">
      <c r="A1830" s="51"/>
      <c r="B1830" s="50"/>
      <c r="C1830" s="50"/>
      <c r="D1830" s="50"/>
      <c r="E1830" s="50"/>
      <c r="F1830" s="50"/>
      <c r="G1830" s="52"/>
      <c r="H1830" s="51"/>
      <c r="I1830" s="51"/>
      <c r="J1830" s="66"/>
      <c r="K1830" s="66"/>
      <c r="L1830" s="66"/>
      <c r="M1830" s="50"/>
      <c r="N1830" s="67"/>
    </row>
    <row r="1831" ht="15.0" customHeight="1">
      <c r="A1831" s="51"/>
      <c r="B1831" s="50"/>
      <c r="C1831" s="50"/>
      <c r="D1831" s="50"/>
      <c r="E1831" s="50"/>
      <c r="F1831" s="50"/>
      <c r="G1831" s="52"/>
      <c r="H1831" s="51"/>
      <c r="I1831" s="51"/>
      <c r="J1831" s="66"/>
      <c r="K1831" s="66"/>
      <c r="L1831" s="66"/>
      <c r="M1831" s="50"/>
      <c r="N1831" s="67"/>
    </row>
    <row r="1832" ht="15.0" customHeight="1">
      <c r="A1832" s="51"/>
      <c r="B1832" s="50"/>
      <c r="C1832" s="50"/>
      <c r="D1832" s="50"/>
      <c r="E1832" s="50"/>
      <c r="F1832" s="50"/>
      <c r="G1832" s="52"/>
      <c r="H1832" s="51"/>
      <c r="I1832" s="51"/>
      <c r="J1832" s="66"/>
      <c r="K1832" s="66"/>
      <c r="L1832" s="66"/>
      <c r="M1832" s="50"/>
      <c r="N1832" s="67"/>
    </row>
    <row r="1833" ht="15.0" customHeight="1">
      <c r="A1833" s="51"/>
      <c r="B1833" s="50"/>
      <c r="C1833" s="50"/>
      <c r="D1833" s="50"/>
      <c r="E1833" s="50"/>
      <c r="F1833" s="50"/>
      <c r="G1833" s="52"/>
      <c r="H1833" s="51"/>
      <c r="I1833" s="51"/>
      <c r="J1833" s="66"/>
      <c r="K1833" s="66"/>
      <c r="L1833" s="66"/>
      <c r="M1833" s="50"/>
      <c r="N1833" s="67"/>
    </row>
    <row r="1834" ht="15.0" customHeight="1">
      <c r="A1834" s="51"/>
      <c r="B1834" s="50"/>
      <c r="C1834" s="50"/>
      <c r="D1834" s="50"/>
      <c r="E1834" s="50"/>
      <c r="F1834" s="50"/>
      <c r="G1834" s="52"/>
      <c r="H1834" s="51"/>
      <c r="I1834" s="51"/>
      <c r="J1834" s="66"/>
      <c r="K1834" s="66"/>
      <c r="L1834" s="66"/>
      <c r="M1834" s="50"/>
      <c r="N1834" s="67"/>
    </row>
    <row r="1835" ht="15.0" customHeight="1">
      <c r="A1835" s="51"/>
      <c r="B1835" s="50"/>
      <c r="C1835" s="50"/>
      <c r="D1835" s="50"/>
      <c r="E1835" s="50"/>
      <c r="F1835" s="50"/>
      <c r="G1835" s="52"/>
      <c r="H1835" s="51"/>
      <c r="I1835" s="51"/>
      <c r="J1835" s="66"/>
      <c r="K1835" s="66"/>
      <c r="L1835" s="66"/>
      <c r="M1835" s="50"/>
      <c r="N1835" s="67"/>
    </row>
    <row r="1836" ht="15.0" customHeight="1">
      <c r="A1836" s="51"/>
      <c r="B1836" s="50"/>
      <c r="C1836" s="50"/>
      <c r="D1836" s="50"/>
      <c r="E1836" s="50"/>
      <c r="F1836" s="50"/>
      <c r="G1836" s="52"/>
      <c r="H1836" s="51"/>
      <c r="I1836" s="51"/>
      <c r="J1836" s="66"/>
      <c r="K1836" s="66"/>
      <c r="L1836" s="66"/>
      <c r="M1836" s="50"/>
      <c r="N1836" s="67"/>
    </row>
    <row r="1837" ht="15.0" customHeight="1">
      <c r="A1837" s="51"/>
      <c r="B1837" s="50"/>
      <c r="C1837" s="50"/>
      <c r="D1837" s="50"/>
      <c r="E1837" s="50"/>
      <c r="F1837" s="50"/>
      <c r="G1837" s="52"/>
      <c r="H1837" s="51"/>
      <c r="I1837" s="51"/>
      <c r="J1837" s="66"/>
      <c r="K1837" s="66"/>
      <c r="L1837" s="66"/>
      <c r="M1837" s="50"/>
      <c r="N1837" s="67"/>
    </row>
    <row r="1838" ht="15.0" customHeight="1">
      <c r="A1838" s="51"/>
      <c r="B1838" s="50"/>
      <c r="C1838" s="50"/>
      <c r="D1838" s="50"/>
      <c r="E1838" s="50"/>
      <c r="F1838" s="50"/>
      <c r="G1838" s="52"/>
      <c r="H1838" s="51"/>
      <c r="I1838" s="51"/>
      <c r="J1838" s="66"/>
      <c r="K1838" s="66"/>
      <c r="L1838" s="66"/>
      <c r="M1838" s="50"/>
      <c r="N1838" s="67"/>
    </row>
    <row r="1839" ht="15.0" customHeight="1">
      <c r="A1839" s="51"/>
      <c r="B1839" s="50"/>
      <c r="C1839" s="50"/>
      <c r="D1839" s="50"/>
      <c r="E1839" s="50"/>
      <c r="F1839" s="50"/>
      <c r="G1839" s="52"/>
      <c r="H1839" s="51"/>
      <c r="I1839" s="51"/>
      <c r="J1839" s="66"/>
      <c r="K1839" s="66"/>
      <c r="L1839" s="66"/>
      <c r="M1839" s="50"/>
      <c r="N1839" s="67"/>
    </row>
    <row r="1840" ht="15.0" customHeight="1">
      <c r="A1840" s="51"/>
      <c r="B1840" s="50"/>
      <c r="C1840" s="50"/>
      <c r="D1840" s="50"/>
      <c r="E1840" s="50"/>
      <c r="F1840" s="50"/>
      <c r="G1840" s="52"/>
      <c r="H1840" s="51"/>
      <c r="I1840" s="51"/>
      <c r="J1840" s="66"/>
      <c r="K1840" s="66"/>
      <c r="L1840" s="66"/>
      <c r="M1840" s="50"/>
      <c r="N1840" s="67"/>
    </row>
    <row r="1841" ht="15.0" customHeight="1">
      <c r="A1841" s="51"/>
      <c r="B1841" s="50"/>
      <c r="C1841" s="50"/>
      <c r="D1841" s="50"/>
      <c r="E1841" s="50"/>
      <c r="F1841" s="50"/>
      <c r="G1841" s="52"/>
      <c r="H1841" s="51"/>
      <c r="I1841" s="51"/>
      <c r="J1841" s="66"/>
      <c r="K1841" s="66"/>
      <c r="L1841" s="66"/>
      <c r="M1841" s="50"/>
      <c r="N1841" s="67"/>
    </row>
    <row r="1842" ht="15.0" customHeight="1">
      <c r="A1842" s="51"/>
      <c r="B1842" s="50"/>
      <c r="C1842" s="50"/>
      <c r="D1842" s="50"/>
      <c r="E1842" s="50"/>
      <c r="F1842" s="50"/>
      <c r="G1842" s="52"/>
      <c r="H1842" s="51"/>
      <c r="I1842" s="51"/>
      <c r="J1842" s="66"/>
      <c r="K1842" s="66"/>
      <c r="L1842" s="66"/>
      <c r="M1842" s="50"/>
      <c r="N1842" s="67"/>
    </row>
    <row r="1843" ht="15.0" customHeight="1">
      <c r="A1843" s="51"/>
      <c r="B1843" s="50"/>
      <c r="C1843" s="50"/>
      <c r="D1843" s="50"/>
      <c r="E1843" s="50"/>
      <c r="F1843" s="50"/>
      <c r="G1843" s="52"/>
      <c r="H1843" s="51"/>
      <c r="I1843" s="51"/>
      <c r="J1843" s="66"/>
      <c r="K1843" s="66"/>
      <c r="L1843" s="66"/>
      <c r="M1843" s="50"/>
      <c r="N1843" s="67"/>
    </row>
    <row r="1844" ht="15.0" customHeight="1">
      <c r="A1844" s="51"/>
      <c r="B1844" s="50"/>
      <c r="C1844" s="50"/>
      <c r="D1844" s="50"/>
      <c r="E1844" s="50"/>
      <c r="F1844" s="50"/>
      <c r="G1844" s="52"/>
      <c r="H1844" s="51"/>
      <c r="I1844" s="51"/>
      <c r="J1844" s="66"/>
      <c r="K1844" s="66"/>
      <c r="L1844" s="66"/>
      <c r="M1844" s="50"/>
      <c r="N1844" s="67"/>
    </row>
    <row r="1845" ht="15.0" customHeight="1">
      <c r="A1845" s="51"/>
      <c r="B1845" s="50"/>
      <c r="C1845" s="50"/>
      <c r="D1845" s="50"/>
      <c r="E1845" s="50"/>
      <c r="F1845" s="50"/>
      <c r="G1845" s="52"/>
      <c r="H1845" s="51"/>
      <c r="I1845" s="51"/>
      <c r="J1845" s="66"/>
      <c r="K1845" s="66"/>
      <c r="L1845" s="66"/>
      <c r="M1845" s="50"/>
      <c r="N1845" s="67"/>
    </row>
    <row r="1846" ht="15.0" customHeight="1">
      <c r="A1846" s="51"/>
      <c r="B1846" s="50"/>
      <c r="C1846" s="50"/>
      <c r="D1846" s="50"/>
      <c r="E1846" s="50"/>
      <c r="F1846" s="50"/>
      <c r="G1846" s="52"/>
      <c r="H1846" s="51"/>
      <c r="I1846" s="51"/>
      <c r="J1846" s="66"/>
      <c r="K1846" s="66"/>
      <c r="L1846" s="66"/>
      <c r="M1846" s="50"/>
      <c r="N1846" s="67"/>
    </row>
    <row r="1847" ht="15.0" customHeight="1">
      <c r="A1847" s="51"/>
      <c r="B1847" s="50"/>
      <c r="C1847" s="50"/>
      <c r="D1847" s="50"/>
      <c r="E1847" s="50"/>
      <c r="F1847" s="50"/>
      <c r="G1847" s="52"/>
      <c r="H1847" s="51"/>
      <c r="I1847" s="51"/>
      <c r="J1847" s="66"/>
      <c r="K1847" s="66"/>
      <c r="L1847" s="66"/>
      <c r="M1847" s="50"/>
      <c r="N1847" s="67"/>
    </row>
    <row r="1848" ht="15.0" customHeight="1">
      <c r="A1848" s="51"/>
      <c r="B1848" s="50"/>
      <c r="C1848" s="50"/>
      <c r="D1848" s="50"/>
      <c r="E1848" s="50"/>
      <c r="F1848" s="50"/>
      <c r="G1848" s="52"/>
      <c r="H1848" s="51"/>
      <c r="I1848" s="51"/>
      <c r="J1848" s="66"/>
      <c r="K1848" s="66"/>
      <c r="L1848" s="66"/>
      <c r="M1848" s="50"/>
      <c r="N1848" s="67"/>
    </row>
    <row r="1849" ht="15.0" customHeight="1">
      <c r="A1849" s="51"/>
      <c r="B1849" s="50"/>
      <c r="C1849" s="50"/>
      <c r="D1849" s="50"/>
      <c r="E1849" s="50"/>
      <c r="F1849" s="50"/>
      <c r="G1849" s="52"/>
      <c r="H1849" s="51"/>
      <c r="I1849" s="51"/>
      <c r="J1849" s="66"/>
      <c r="K1849" s="66"/>
      <c r="L1849" s="66"/>
      <c r="M1849" s="50"/>
      <c r="N1849" s="67"/>
    </row>
    <row r="1850" ht="15.0" customHeight="1">
      <c r="A1850" s="51"/>
      <c r="B1850" s="50"/>
      <c r="C1850" s="50"/>
      <c r="D1850" s="50"/>
      <c r="E1850" s="50"/>
      <c r="F1850" s="50"/>
      <c r="G1850" s="52"/>
      <c r="H1850" s="51"/>
      <c r="I1850" s="51"/>
      <c r="J1850" s="66"/>
      <c r="K1850" s="66"/>
      <c r="L1850" s="66"/>
      <c r="M1850" s="50"/>
      <c r="N1850" s="67"/>
    </row>
    <row r="1851" ht="15.0" customHeight="1">
      <c r="A1851" s="51"/>
      <c r="B1851" s="50"/>
      <c r="C1851" s="50"/>
      <c r="D1851" s="50"/>
      <c r="E1851" s="50"/>
      <c r="F1851" s="50"/>
      <c r="G1851" s="52"/>
      <c r="H1851" s="51"/>
      <c r="I1851" s="51"/>
      <c r="J1851" s="66"/>
      <c r="K1851" s="66"/>
      <c r="L1851" s="66"/>
      <c r="M1851" s="50"/>
      <c r="N1851" s="67"/>
    </row>
    <row r="1852" ht="15.0" customHeight="1">
      <c r="A1852" s="51"/>
      <c r="B1852" s="50"/>
      <c r="C1852" s="50"/>
      <c r="D1852" s="50"/>
      <c r="E1852" s="50"/>
      <c r="F1852" s="50"/>
      <c r="G1852" s="52"/>
      <c r="H1852" s="51"/>
      <c r="I1852" s="51"/>
      <c r="J1852" s="66"/>
      <c r="K1852" s="66"/>
      <c r="L1852" s="66"/>
      <c r="M1852" s="50"/>
      <c r="N1852" s="67"/>
    </row>
    <row r="1853" ht="15.0" customHeight="1">
      <c r="A1853" s="51"/>
      <c r="B1853" s="50"/>
      <c r="C1853" s="50"/>
      <c r="D1853" s="50"/>
      <c r="E1853" s="50"/>
      <c r="F1853" s="50"/>
      <c r="G1853" s="52"/>
      <c r="H1853" s="51"/>
      <c r="I1853" s="51"/>
      <c r="J1853" s="66"/>
      <c r="K1853" s="66"/>
      <c r="L1853" s="66"/>
      <c r="M1853" s="50"/>
      <c r="N1853" s="67"/>
    </row>
    <row r="1854" ht="15.0" customHeight="1">
      <c r="A1854" s="51"/>
      <c r="B1854" s="50"/>
      <c r="C1854" s="50"/>
      <c r="D1854" s="50"/>
      <c r="E1854" s="50"/>
      <c r="F1854" s="50"/>
      <c r="G1854" s="52"/>
      <c r="H1854" s="51"/>
      <c r="I1854" s="51"/>
      <c r="J1854" s="66"/>
      <c r="K1854" s="66"/>
      <c r="L1854" s="66"/>
      <c r="M1854" s="50"/>
      <c r="N1854" s="67"/>
    </row>
    <row r="1855" ht="15.0" customHeight="1">
      <c r="A1855" s="51"/>
      <c r="B1855" s="50"/>
      <c r="C1855" s="50"/>
      <c r="D1855" s="50"/>
      <c r="E1855" s="50"/>
      <c r="F1855" s="50"/>
      <c r="G1855" s="52"/>
      <c r="H1855" s="51"/>
      <c r="I1855" s="51"/>
      <c r="J1855" s="66"/>
      <c r="K1855" s="66"/>
      <c r="L1855" s="66"/>
      <c r="M1855" s="50"/>
      <c r="N1855" s="67"/>
    </row>
    <row r="1856" ht="15.0" customHeight="1">
      <c r="A1856" s="51"/>
      <c r="B1856" s="50"/>
      <c r="C1856" s="50"/>
      <c r="D1856" s="50"/>
      <c r="E1856" s="50"/>
      <c r="F1856" s="50"/>
      <c r="G1856" s="52"/>
      <c r="H1856" s="51"/>
      <c r="I1856" s="51"/>
      <c r="J1856" s="66"/>
      <c r="K1856" s="66"/>
      <c r="L1856" s="66"/>
      <c r="M1856" s="50"/>
      <c r="N1856" s="67"/>
    </row>
    <row r="1857" ht="15.0" customHeight="1">
      <c r="A1857" s="51"/>
      <c r="B1857" s="50"/>
      <c r="C1857" s="50"/>
      <c r="D1857" s="50"/>
      <c r="E1857" s="50"/>
      <c r="F1857" s="50"/>
      <c r="G1857" s="52"/>
      <c r="H1857" s="51"/>
      <c r="I1857" s="51"/>
      <c r="J1857" s="66"/>
      <c r="K1857" s="66"/>
      <c r="L1857" s="66"/>
      <c r="M1857" s="50"/>
      <c r="N1857" s="67"/>
    </row>
    <row r="1858" ht="15.0" customHeight="1">
      <c r="A1858" s="51"/>
      <c r="B1858" s="50"/>
      <c r="C1858" s="50"/>
      <c r="D1858" s="50"/>
      <c r="E1858" s="50"/>
      <c r="F1858" s="50"/>
      <c r="G1858" s="52"/>
      <c r="H1858" s="51"/>
      <c r="I1858" s="51"/>
      <c r="J1858" s="66"/>
      <c r="K1858" s="66"/>
      <c r="L1858" s="66"/>
      <c r="M1858" s="50"/>
      <c r="N1858" s="67"/>
    </row>
    <row r="1859" ht="15.0" customHeight="1">
      <c r="A1859" s="51"/>
      <c r="B1859" s="50"/>
      <c r="C1859" s="50"/>
      <c r="D1859" s="50"/>
      <c r="E1859" s="50"/>
      <c r="F1859" s="50"/>
      <c r="G1859" s="52"/>
      <c r="H1859" s="51"/>
      <c r="I1859" s="51"/>
      <c r="J1859" s="66"/>
      <c r="K1859" s="66"/>
      <c r="L1859" s="66"/>
      <c r="M1859" s="50"/>
      <c r="N1859" s="67"/>
    </row>
    <row r="1860" ht="15.0" customHeight="1">
      <c r="A1860" s="51"/>
      <c r="B1860" s="50"/>
      <c r="C1860" s="50"/>
      <c r="D1860" s="50"/>
      <c r="E1860" s="50"/>
      <c r="F1860" s="50"/>
      <c r="G1860" s="52"/>
      <c r="H1860" s="51"/>
      <c r="I1860" s="51"/>
      <c r="J1860" s="66"/>
      <c r="K1860" s="66"/>
      <c r="L1860" s="66"/>
      <c r="M1860" s="50"/>
      <c r="N1860" s="67"/>
    </row>
    <row r="1861" ht="15.0" customHeight="1">
      <c r="A1861" s="51"/>
      <c r="B1861" s="50"/>
      <c r="C1861" s="50"/>
      <c r="D1861" s="50"/>
      <c r="E1861" s="50"/>
      <c r="F1861" s="50"/>
      <c r="G1861" s="52"/>
      <c r="H1861" s="51"/>
      <c r="I1861" s="51"/>
      <c r="J1861" s="66"/>
      <c r="K1861" s="66"/>
      <c r="L1861" s="66"/>
      <c r="M1861" s="50"/>
      <c r="N1861" s="67"/>
    </row>
    <row r="1862" ht="15.0" customHeight="1">
      <c r="A1862" s="51"/>
      <c r="B1862" s="50"/>
      <c r="C1862" s="50"/>
      <c r="D1862" s="50"/>
      <c r="E1862" s="50"/>
      <c r="F1862" s="50"/>
      <c r="G1862" s="52"/>
      <c r="H1862" s="51"/>
      <c r="I1862" s="51"/>
      <c r="J1862" s="66"/>
      <c r="K1862" s="66"/>
      <c r="L1862" s="66"/>
      <c r="M1862" s="50"/>
      <c r="N1862" s="67"/>
    </row>
    <row r="1863" ht="15.0" customHeight="1">
      <c r="A1863" s="51"/>
      <c r="B1863" s="50"/>
      <c r="C1863" s="50"/>
      <c r="D1863" s="50"/>
      <c r="E1863" s="50"/>
      <c r="F1863" s="50"/>
      <c r="G1863" s="52"/>
      <c r="H1863" s="51"/>
      <c r="I1863" s="51"/>
      <c r="J1863" s="66"/>
      <c r="K1863" s="66"/>
      <c r="L1863" s="66"/>
      <c r="M1863" s="50"/>
      <c r="N1863" s="67"/>
    </row>
    <row r="1864" ht="15.0" customHeight="1">
      <c r="A1864" s="51"/>
      <c r="B1864" s="50"/>
      <c r="C1864" s="50"/>
      <c r="D1864" s="50"/>
      <c r="E1864" s="50"/>
      <c r="F1864" s="50"/>
      <c r="G1864" s="52"/>
      <c r="H1864" s="51"/>
      <c r="I1864" s="51"/>
      <c r="J1864" s="66"/>
      <c r="K1864" s="66"/>
      <c r="L1864" s="66"/>
      <c r="M1864" s="50"/>
      <c r="N1864" s="67"/>
    </row>
    <row r="1865" ht="15.0" customHeight="1">
      <c r="A1865" s="51"/>
      <c r="B1865" s="50"/>
      <c r="C1865" s="50"/>
      <c r="D1865" s="50"/>
      <c r="E1865" s="50"/>
      <c r="F1865" s="50"/>
      <c r="G1865" s="52"/>
      <c r="H1865" s="51"/>
      <c r="I1865" s="51"/>
      <c r="J1865" s="66"/>
      <c r="K1865" s="66"/>
      <c r="L1865" s="66"/>
      <c r="M1865" s="50"/>
      <c r="N1865" s="67"/>
    </row>
    <row r="1866" ht="15.0" customHeight="1">
      <c r="A1866" s="51"/>
      <c r="B1866" s="50"/>
      <c r="C1866" s="50"/>
      <c r="D1866" s="50"/>
      <c r="E1866" s="50"/>
      <c r="F1866" s="50"/>
      <c r="G1866" s="52"/>
      <c r="H1866" s="51"/>
      <c r="I1866" s="51"/>
      <c r="J1866" s="66"/>
      <c r="K1866" s="66"/>
      <c r="L1866" s="66"/>
      <c r="M1866" s="50"/>
      <c r="N1866" s="67"/>
    </row>
    <row r="1867" ht="15.0" customHeight="1">
      <c r="A1867" s="51"/>
      <c r="B1867" s="50"/>
      <c r="C1867" s="50"/>
      <c r="D1867" s="50"/>
      <c r="E1867" s="50"/>
      <c r="F1867" s="50"/>
      <c r="G1867" s="52"/>
      <c r="H1867" s="51"/>
      <c r="I1867" s="51"/>
      <c r="J1867" s="66"/>
      <c r="K1867" s="66"/>
      <c r="L1867" s="66"/>
      <c r="M1867" s="50"/>
      <c r="N1867" s="67"/>
    </row>
    <row r="1868" ht="15.0" customHeight="1">
      <c r="A1868" s="51"/>
      <c r="B1868" s="50"/>
      <c r="C1868" s="50"/>
      <c r="D1868" s="50"/>
      <c r="E1868" s="50"/>
      <c r="F1868" s="50"/>
      <c r="G1868" s="52"/>
      <c r="H1868" s="51"/>
      <c r="I1868" s="51"/>
      <c r="J1868" s="66"/>
      <c r="K1868" s="66"/>
      <c r="L1868" s="66"/>
      <c r="M1868" s="50"/>
      <c r="N1868" s="67"/>
    </row>
    <row r="1869" ht="15.0" customHeight="1">
      <c r="A1869" s="51"/>
      <c r="B1869" s="50"/>
      <c r="C1869" s="50"/>
      <c r="D1869" s="50"/>
      <c r="E1869" s="50"/>
      <c r="F1869" s="50"/>
      <c r="G1869" s="52"/>
      <c r="H1869" s="51"/>
      <c r="I1869" s="51"/>
      <c r="J1869" s="66"/>
      <c r="K1869" s="66"/>
      <c r="L1869" s="66"/>
      <c r="M1869" s="50"/>
      <c r="N1869" s="67"/>
    </row>
    <row r="1870" ht="15.0" customHeight="1">
      <c r="A1870" s="51"/>
      <c r="B1870" s="50"/>
      <c r="C1870" s="50"/>
      <c r="D1870" s="50"/>
      <c r="E1870" s="50"/>
      <c r="F1870" s="50"/>
      <c r="G1870" s="52"/>
      <c r="H1870" s="51"/>
      <c r="I1870" s="51"/>
      <c r="J1870" s="66"/>
      <c r="K1870" s="66"/>
      <c r="L1870" s="66"/>
      <c r="M1870" s="50"/>
      <c r="N1870" s="67"/>
    </row>
    <row r="1871" ht="15.0" customHeight="1">
      <c r="A1871" s="51"/>
      <c r="B1871" s="50"/>
      <c r="C1871" s="50"/>
      <c r="D1871" s="50"/>
      <c r="E1871" s="50"/>
      <c r="F1871" s="50"/>
      <c r="G1871" s="52"/>
      <c r="H1871" s="51"/>
      <c r="I1871" s="51"/>
      <c r="J1871" s="66"/>
      <c r="K1871" s="66"/>
      <c r="L1871" s="66"/>
      <c r="M1871" s="50"/>
      <c r="N1871" s="67"/>
    </row>
    <row r="1872" ht="15.0" customHeight="1">
      <c r="A1872" s="51"/>
      <c r="B1872" s="50"/>
      <c r="C1872" s="50"/>
      <c r="D1872" s="50"/>
      <c r="E1872" s="50"/>
      <c r="F1872" s="50"/>
      <c r="G1872" s="52"/>
      <c r="H1872" s="51"/>
      <c r="I1872" s="51"/>
      <c r="J1872" s="66"/>
      <c r="K1872" s="66"/>
      <c r="L1872" s="66"/>
      <c r="M1872" s="50"/>
      <c r="N1872" s="67"/>
    </row>
    <row r="1873" ht="15.0" customHeight="1">
      <c r="A1873" s="51"/>
      <c r="B1873" s="50"/>
      <c r="C1873" s="50"/>
      <c r="D1873" s="50"/>
      <c r="E1873" s="50"/>
      <c r="F1873" s="50"/>
      <c r="G1873" s="52"/>
      <c r="H1873" s="51"/>
      <c r="I1873" s="51"/>
      <c r="J1873" s="66"/>
      <c r="K1873" s="66"/>
      <c r="L1873" s="66"/>
      <c r="M1873" s="50"/>
      <c r="N1873" s="67"/>
    </row>
    <row r="1874" ht="15.0" customHeight="1">
      <c r="A1874" s="51"/>
      <c r="B1874" s="50"/>
      <c r="C1874" s="50"/>
      <c r="D1874" s="50"/>
      <c r="E1874" s="50"/>
      <c r="F1874" s="50"/>
      <c r="G1874" s="52"/>
      <c r="H1874" s="51"/>
      <c r="I1874" s="51"/>
      <c r="J1874" s="66"/>
      <c r="K1874" s="66"/>
      <c r="L1874" s="66"/>
      <c r="M1874" s="50"/>
      <c r="N1874" s="67"/>
    </row>
    <row r="1875" ht="15.0" customHeight="1">
      <c r="A1875" s="51"/>
      <c r="B1875" s="50"/>
      <c r="C1875" s="50"/>
      <c r="D1875" s="50"/>
      <c r="E1875" s="50"/>
      <c r="F1875" s="50"/>
      <c r="G1875" s="52"/>
      <c r="H1875" s="51"/>
      <c r="I1875" s="51"/>
      <c r="J1875" s="66"/>
      <c r="K1875" s="66"/>
      <c r="L1875" s="66"/>
      <c r="M1875" s="50"/>
      <c r="N1875" s="67"/>
    </row>
    <row r="1876" ht="15.0" customHeight="1">
      <c r="A1876" s="51"/>
      <c r="B1876" s="50"/>
      <c r="C1876" s="50"/>
      <c r="D1876" s="50"/>
      <c r="E1876" s="50"/>
      <c r="F1876" s="50"/>
      <c r="G1876" s="52"/>
      <c r="H1876" s="51"/>
      <c r="I1876" s="51"/>
      <c r="J1876" s="66"/>
      <c r="K1876" s="66"/>
      <c r="L1876" s="66"/>
      <c r="M1876" s="50"/>
      <c r="N1876" s="67"/>
    </row>
    <row r="1877" ht="15.0" customHeight="1">
      <c r="A1877" s="51"/>
      <c r="B1877" s="50"/>
      <c r="C1877" s="50"/>
      <c r="D1877" s="50"/>
      <c r="E1877" s="50"/>
      <c r="F1877" s="50"/>
      <c r="G1877" s="52"/>
      <c r="H1877" s="51"/>
      <c r="I1877" s="51"/>
      <c r="J1877" s="66"/>
      <c r="K1877" s="66"/>
      <c r="L1877" s="66"/>
      <c r="M1877" s="50"/>
      <c r="N1877" s="67"/>
    </row>
    <row r="1878" ht="15.0" customHeight="1">
      <c r="A1878" s="51"/>
      <c r="B1878" s="50"/>
      <c r="C1878" s="50"/>
      <c r="D1878" s="50"/>
      <c r="E1878" s="50"/>
      <c r="F1878" s="50"/>
      <c r="G1878" s="52"/>
      <c r="H1878" s="51"/>
      <c r="I1878" s="51"/>
      <c r="J1878" s="66"/>
      <c r="K1878" s="66"/>
      <c r="L1878" s="66"/>
      <c r="M1878" s="50"/>
      <c r="N1878" s="67"/>
    </row>
    <row r="1879" ht="15.0" customHeight="1">
      <c r="A1879" s="51"/>
      <c r="B1879" s="50"/>
      <c r="C1879" s="50"/>
      <c r="D1879" s="50"/>
      <c r="E1879" s="50"/>
      <c r="F1879" s="50"/>
      <c r="G1879" s="52"/>
      <c r="H1879" s="51"/>
      <c r="I1879" s="51"/>
      <c r="J1879" s="66"/>
      <c r="K1879" s="66"/>
      <c r="L1879" s="66"/>
      <c r="M1879" s="50"/>
      <c r="N1879" s="67"/>
    </row>
    <row r="1880" ht="15.0" customHeight="1">
      <c r="A1880" s="51"/>
      <c r="B1880" s="50"/>
      <c r="C1880" s="50"/>
      <c r="D1880" s="50"/>
      <c r="E1880" s="50"/>
      <c r="F1880" s="50"/>
      <c r="G1880" s="52"/>
      <c r="H1880" s="51"/>
      <c r="I1880" s="51"/>
      <c r="J1880" s="66"/>
      <c r="K1880" s="66"/>
      <c r="L1880" s="66"/>
      <c r="M1880" s="50"/>
      <c r="N1880" s="67"/>
    </row>
    <row r="1881" ht="15.0" customHeight="1">
      <c r="A1881" s="51"/>
      <c r="B1881" s="50"/>
      <c r="C1881" s="50"/>
      <c r="D1881" s="50"/>
      <c r="E1881" s="50"/>
      <c r="F1881" s="50"/>
      <c r="G1881" s="52"/>
      <c r="H1881" s="51"/>
      <c r="I1881" s="51"/>
      <c r="J1881" s="66"/>
      <c r="K1881" s="66"/>
      <c r="L1881" s="66"/>
      <c r="M1881" s="50"/>
      <c r="N1881" s="67"/>
    </row>
    <row r="1882" ht="15.0" customHeight="1">
      <c r="A1882" s="51"/>
      <c r="B1882" s="50"/>
      <c r="C1882" s="50"/>
      <c r="D1882" s="50"/>
      <c r="E1882" s="50"/>
      <c r="F1882" s="50"/>
      <c r="G1882" s="52"/>
      <c r="H1882" s="51"/>
      <c r="I1882" s="51"/>
      <c r="J1882" s="66"/>
      <c r="K1882" s="66"/>
      <c r="L1882" s="66"/>
      <c r="M1882" s="50"/>
      <c r="N1882" s="67"/>
    </row>
    <row r="1883" ht="15.0" customHeight="1">
      <c r="A1883" s="51"/>
      <c r="B1883" s="50"/>
      <c r="C1883" s="50"/>
      <c r="D1883" s="50"/>
      <c r="E1883" s="50"/>
      <c r="F1883" s="50"/>
      <c r="G1883" s="52"/>
      <c r="H1883" s="51"/>
      <c r="I1883" s="51"/>
      <c r="J1883" s="66"/>
      <c r="K1883" s="66"/>
      <c r="L1883" s="66"/>
      <c r="M1883" s="50"/>
      <c r="N1883" s="67"/>
    </row>
    <row r="1884" ht="15.0" customHeight="1">
      <c r="A1884" s="51"/>
      <c r="B1884" s="50"/>
      <c r="C1884" s="50"/>
      <c r="D1884" s="50"/>
      <c r="E1884" s="50"/>
      <c r="F1884" s="50"/>
      <c r="G1884" s="52"/>
      <c r="H1884" s="51"/>
      <c r="I1884" s="51"/>
      <c r="J1884" s="66"/>
      <c r="K1884" s="66"/>
      <c r="L1884" s="66"/>
      <c r="M1884" s="50"/>
      <c r="N1884" s="67"/>
    </row>
    <row r="1885" ht="15.0" customHeight="1">
      <c r="A1885" s="51"/>
      <c r="B1885" s="50"/>
      <c r="C1885" s="50"/>
      <c r="D1885" s="50"/>
      <c r="E1885" s="50"/>
      <c r="F1885" s="50"/>
      <c r="G1885" s="52"/>
      <c r="H1885" s="51"/>
      <c r="I1885" s="51"/>
      <c r="J1885" s="66"/>
      <c r="K1885" s="66"/>
      <c r="L1885" s="66"/>
      <c r="M1885" s="50"/>
      <c r="N1885" s="67"/>
    </row>
    <row r="1886" ht="15.0" customHeight="1">
      <c r="A1886" s="51"/>
      <c r="B1886" s="50"/>
      <c r="C1886" s="50"/>
      <c r="D1886" s="50"/>
      <c r="E1886" s="50"/>
      <c r="F1886" s="50"/>
      <c r="G1886" s="52"/>
      <c r="H1886" s="51"/>
      <c r="I1886" s="51"/>
      <c r="J1886" s="66"/>
      <c r="K1886" s="66"/>
      <c r="L1886" s="66"/>
      <c r="M1886" s="50"/>
      <c r="N1886" s="67"/>
    </row>
    <row r="1887" ht="15.0" customHeight="1">
      <c r="A1887" s="51"/>
      <c r="B1887" s="50"/>
      <c r="C1887" s="50"/>
      <c r="D1887" s="50"/>
      <c r="E1887" s="50"/>
      <c r="F1887" s="50"/>
      <c r="G1887" s="52"/>
      <c r="H1887" s="51"/>
      <c r="I1887" s="51"/>
      <c r="J1887" s="66"/>
      <c r="K1887" s="66"/>
      <c r="L1887" s="66"/>
      <c r="M1887" s="50"/>
      <c r="N1887" s="67"/>
    </row>
    <row r="1888" ht="15.0" customHeight="1">
      <c r="A1888" s="51"/>
      <c r="B1888" s="50"/>
      <c r="C1888" s="50"/>
      <c r="D1888" s="50"/>
      <c r="E1888" s="50"/>
      <c r="F1888" s="50"/>
      <c r="G1888" s="52"/>
      <c r="H1888" s="51"/>
      <c r="I1888" s="51"/>
      <c r="J1888" s="66"/>
      <c r="K1888" s="66"/>
      <c r="L1888" s="66"/>
      <c r="M1888" s="50"/>
      <c r="N1888" s="67"/>
    </row>
    <row r="1889" ht="15.0" customHeight="1">
      <c r="A1889" s="51"/>
      <c r="B1889" s="50"/>
      <c r="C1889" s="50"/>
      <c r="D1889" s="50"/>
      <c r="E1889" s="50"/>
      <c r="F1889" s="50"/>
      <c r="G1889" s="52"/>
      <c r="H1889" s="51"/>
      <c r="I1889" s="51"/>
      <c r="J1889" s="66"/>
      <c r="K1889" s="66"/>
      <c r="L1889" s="66"/>
      <c r="M1889" s="50"/>
      <c r="N1889" s="67"/>
    </row>
    <row r="1890" ht="15.0" customHeight="1">
      <c r="A1890" s="51"/>
      <c r="B1890" s="50"/>
      <c r="C1890" s="50"/>
      <c r="D1890" s="50"/>
      <c r="E1890" s="50"/>
      <c r="F1890" s="50"/>
      <c r="G1890" s="52"/>
      <c r="H1890" s="51"/>
      <c r="I1890" s="51"/>
      <c r="J1890" s="66"/>
      <c r="K1890" s="66"/>
      <c r="L1890" s="66"/>
      <c r="M1890" s="50"/>
      <c r="N1890" s="67"/>
    </row>
    <row r="1891" ht="15.0" customHeight="1">
      <c r="A1891" s="51"/>
      <c r="B1891" s="50"/>
      <c r="C1891" s="50"/>
      <c r="D1891" s="50"/>
      <c r="E1891" s="50"/>
      <c r="F1891" s="50"/>
      <c r="G1891" s="52"/>
      <c r="H1891" s="51"/>
      <c r="I1891" s="51"/>
      <c r="J1891" s="66"/>
      <c r="K1891" s="66"/>
      <c r="L1891" s="66"/>
      <c r="M1891" s="50"/>
      <c r="N1891" s="67"/>
    </row>
    <row r="1892" ht="15.0" customHeight="1">
      <c r="A1892" s="51"/>
      <c r="B1892" s="50"/>
      <c r="C1892" s="50"/>
      <c r="D1892" s="50"/>
      <c r="E1892" s="50"/>
      <c r="F1892" s="50"/>
      <c r="G1892" s="52"/>
      <c r="H1892" s="51"/>
      <c r="I1892" s="51"/>
      <c r="J1892" s="66"/>
      <c r="K1892" s="66"/>
      <c r="L1892" s="66"/>
      <c r="M1892" s="50"/>
      <c r="N1892" s="67"/>
    </row>
    <row r="1893" ht="15.0" customHeight="1">
      <c r="A1893" s="51"/>
      <c r="B1893" s="50"/>
      <c r="C1893" s="50"/>
      <c r="D1893" s="50"/>
      <c r="E1893" s="50"/>
      <c r="F1893" s="50"/>
      <c r="G1893" s="52"/>
      <c r="H1893" s="51"/>
      <c r="I1893" s="51"/>
      <c r="J1893" s="66"/>
      <c r="K1893" s="66"/>
      <c r="L1893" s="66"/>
      <c r="M1893" s="50"/>
      <c r="N1893" s="67"/>
    </row>
    <row r="1894" ht="15.0" customHeight="1">
      <c r="A1894" s="51"/>
      <c r="B1894" s="50"/>
      <c r="C1894" s="50"/>
      <c r="D1894" s="50"/>
      <c r="E1894" s="50"/>
      <c r="F1894" s="50"/>
      <c r="G1894" s="52"/>
      <c r="H1894" s="51"/>
      <c r="I1894" s="51"/>
      <c r="J1894" s="66"/>
      <c r="K1894" s="66"/>
      <c r="L1894" s="66"/>
      <c r="M1894" s="50"/>
      <c r="N1894" s="67"/>
    </row>
    <row r="1895" ht="15.0" customHeight="1">
      <c r="A1895" s="51"/>
      <c r="B1895" s="50"/>
      <c r="C1895" s="50"/>
      <c r="D1895" s="50"/>
      <c r="E1895" s="50"/>
      <c r="F1895" s="50"/>
      <c r="G1895" s="52"/>
      <c r="H1895" s="51"/>
      <c r="I1895" s="51"/>
      <c r="J1895" s="66"/>
      <c r="K1895" s="66"/>
      <c r="L1895" s="66"/>
      <c r="M1895" s="50"/>
      <c r="N1895" s="67"/>
    </row>
    <row r="1896" ht="15.0" customHeight="1">
      <c r="A1896" s="51"/>
      <c r="B1896" s="50"/>
      <c r="C1896" s="50"/>
      <c r="D1896" s="50"/>
      <c r="E1896" s="50"/>
      <c r="F1896" s="50"/>
      <c r="G1896" s="52"/>
      <c r="H1896" s="51"/>
      <c r="I1896" s="51"/>
      <c r="J1896" s="66"/>
      <c r="K1896" s="66"/>
      <c r="L1896" s="66"/>
      <c r="M1896" s="50"/>
      <c r="N1896" s="67"/>
    </row>
    <row r="1897" ht="15.0" customHeight="1">
      <c r="A1897" s="51"/>
      <c r="B1897" s="50"/>
      <c r="C1897" s="50"/>
      <c r="D1897" s="50"/>
      <c r="E1897" s="50"/>
      <c r="F1897" s="50"/>
      <c r="G1897" s="52"/>
      <c r="H1897" s="51"/>
      <c r="I1897" s="51"/>
      <c r="J1897" s="66"/>
      <c r="K1897" s="66"/>
      <c r="L1897" s="66"/>
      <c r="M1897" s="50"/>
      <c r="N1897" s="67"/>
    </row>
    <row r="1898" ht="15.0" customHeight="1">
      <c r="A1898" s="51"/>
      <c r="B1898" s="50"/>
      <c r="C1898" s="50"/>
      <c r="D1898" s="50"/>
      <c r="E1898" s="50"/>
      <c r="F1898" s="50"/>
      <c r="G1898" s="52"/>
      <c r="H1898" s="51"/>
      <c r="I1898" s="51"/>
      <c r="J1898" s="66"/>
      <c r="K1898" s="66"/>
      <c r="L1898" s="66"/>
      <c r="M1898" s="50"/>
      <c r="N1898" s="67"/>
    </row>
    <row r="1899" ht="15.0" customHeight="1">
      <c r="A1899" s="51"/>
      <c r="B1899" s="50"/>
      <c r="C1899" s="50"/>
      <c r="D1899" s="50"/>
      <c r="E1899" s="50"/>
      <c r="F1899" s="50"/>
      <c r="G1899" s="52"/>
      <c r="H1899" s="51"/>
      <c r="I1899" s="51"/>
      <c r="J1899" s="66"/>
      <c r="K1899" s="66"/>
      <c r="L1899" s="66"/>
      <c r="M1899" s="50"/>
      <c r="N1899" s="67"/>
    </row>
    <row r="1900" ht="15.0" customHeight="1">
      <c r="A1900" s="51"/>
      <c r="B1900" s="50"/>
      <c r="C1900" s="50"/>
      <c r="D1900" s="50"/>
      <c r="E1900" s="50"/>
      <c r="F1900" s="50"/>
      <c r="G1900" s="52"/>
      <c r="H1900" s="51"/>
      <c r="I1900" s="51"/>
      <c r="J1900" s="66"/>
      <c r="K1900" s="66"/>
      <c r="L1900" s="66"/>
      <c r="M1900" s="50"/>
      <c r="N1900" s="67"/>
    </row>
    <row r="1901" ht="15.0" customHeight="1">
      <c r="A1901" s="51"/>
      <c r="B1901" s="50"/>
      <c r="C1901" s="50"/>
      <c r="D1901" s="50"/>
      <c r="E1901" s="50"/>
      <c r="F1901" s="50"/>
      <c r="G1901" s="52"/>
      <c r="H1901" s="51"/>
      <c r="I1901" s="51"/>
      <c r="J1901" s="66"/>
      <c r="K1901" s="66"/>
      <c r="L1901" s="66"/>
      <c r="M1901" s="50"/>
      <c r="N1901" s="67"/>
    </row>
    <row r="1902" ht="15.0" customHeight="1">
      <c r="A1902" s="51"/>
      <c r="B1902" s="50"/>
      <c r="C1902" s="50"/>
      <c r="D1902" s="50"/>
      <c r="E1902" s="50"/>
      <c r="F1902" s="50"/>
      <c r="G1902" s="52"/>
      <c r="H1902" s="51"/>
      <c r="I1902" s="51"/>
      <c r="J1902" s="66"/>
      <c r="K1902" s="66"/>
      <c r="L1902" s="66"/>
      <c r="M1902" s="50"/>
      <c r="N1902" s="67"/>
    </row>
    <row r="1903" ht="15.0" customHeight="1">
      <c r="A1903" s="51"/>
      <c r="B1903" s="50"/>
      <c r="C1903" s="50"/>
      <c r="D1903" s="50"/>
      <c r="E1903" s="50"/>
      <c r="F1903" s="50"/>
      <c r="G1903" s="52"/>
      <c r="H1903" s="51"/>
      <c r="I1903" s="51"/>
      <c r="J1903" s="66"/>
      <c r="K1903" s="66"/>
      <c r="L1903" s="66"/>
      <c r="M1903" s="50"/>
      <c r="N1903" s="67"/>
    </row>
    <row r="1904" ht="15.0" customHeight="1">
      <c r="A1904" s="51"/>
      <c r="B1904" s="50"/>
      <c r="C1904" s="50"/>
      <c r="D1904" s="50"/>
      <c r="E1904" s="50"/>
      <c r="F1904" s="50"/>
      <c r="G1904" s="52"/>
      <c r="H1904" s="51"/>
      <c r="I1904" s="51"/>
      <c r="J1904" s="66"/>
      <c r="K1904" s="66"/>
      <c r="L1904" s="66"/>
      <c r="M1904" s="50"/>
      <c r="N1904" s="67"/>
    </row>
    <row r="1905" ht="15.0" customHeight="1">
      <c r="A1905" s="51"/>
      <c r="B1905" s="50"/>
      <c r="C1905" s="50"/>
      <c r="D1905" s="50"/>
      <c r="E1905" s="50"/>
      <c r="F1905" s="50"/>
      <c r="G1905" s="52"/>
      <c r="H1905" s="51"/>
      <c r="I1905" s="51"/>
      <c r="J1905" s="66"/>
      <c r="K1905" s="66"/>
      <c r="L1905" s="66"/>
      <c r="M1905" s="50"/>
      <c r="N1905" s="67"/>
    </row>
    <row r="1906" ht="15.0" customHeight="1">
      <c r="A1906" s="51"/>
      <c r="B1906" s="50"/>
      <c r="C1906" s="50"/>
      <c r="D1906" s="50"/>
      <c r="E1906" s="50"/>
      <c r="F1906" s="50"/>
      <c r="G1906" s="52"/>
      <c r="H1906" s="51"/>
      <c r="I1906" s="51"/>
      <c r="J1906" s="66"/>
      <c r="K1906" s="66"/>
      <c r="L1906" s="66"/>
      <c r="M1906" s="50"/>
      <c r="N1906" s="67"/>
    </row>
    <row r="1907" ht="15.0" customHeight="1">
      <c r="A1907" s="51"/>
      <c r="B1907" s="50"/>
      <c r="C1907" s="50"/>
      <c r="D1907" s="50"/>
      <c r="E1907" s="50"/>
      <c r="F1907" s="50"/>
      <c r="G1907" s="52"/>
      <c r="H1907" s="51"/>
      <c r="I1907" s="51"/>
      <c r="J1907" s="66"/>
      <c r="K1907" s="66"/>
      <c r="L1907" s="66"/>
      <c r="M1907" s="50"/>
      <c r="N1907" s="67"/>
    </row>
    <row r="1908" ht="15.0" customHeight="1">
      <c r="A1908" s="51"/>
      <c r="B1908" s="50"/>
      <c r="C1908" s="50"/>
      <c r="D1908" s="50"/>
      <c r="E1908" s="50"/>
      <c r="F1908" s="50"/>
      <c r="G1908" s="52"/>
      <c r="H1908" s="51"/>
      <c r="I1908" s="51"/>
      <c r="J1908" s="66"/>
      <c r="K1908" s="66"/>
      <c r="L1908" s="66"/>
      <c r="M1908" s="50"/>
      <c r="N1908" s="67"/>
    </row>
    <row r="1909" ht="15.0" customHeight="1">
      <c r="A1909" s="51"/>
      <c r="B1909" s="50"/>
      <c r="C1909" s="50"/>
      <c r="D1909" s="50"/>
      <c r="E1909" s="50"/>
      <c r="F1909" s="50"/>
      <c r="G1909" s="52"/>
      <c r="H1909" s="51"/>
      <c r="I1909" s="51"/>
      <c r="J1909" s="66"/>
      <c r="K1909" s="66"/>
      <c r="L1909" s="66"/>
      <c r="M1909" s="50"/>
      <c r="N1909" s="67"/>
    </row>
    <row r="1910" ht="15.0" customHeight="1">
      <c r="A1910" s="51"/>
      <c r="B1910" s="50"/>
      <c r="C1910" s="50"/>
      <c r="D1910" s="50"/>
      <c r="E1910" s="50"/>
      <c r="F1910" s="50"/>
      <c r="G1910" s="52"/>
      <c r="H1910" s="51"/>
      <c r="I1910" s="51"/>
      <c r="J1910" s="66"/>
      <c r="K1910" s="66"/>
      <c r="L1910" s="66"/>
      <c r="M1910" s="50"/>
      <c r="N1910" s="67"/>
    </row>
    <row r="1911" ht="15.0" customHeight="1">
      <c r="A1911" s="51"/>
      <c r="B1911" s="50"/>
      <c r="C1911" s="50"/>
      <c r="D1911" s="50"/>
      <c r="E1911" s="50"/>
      <c r="F1911" s="50"/>
      <c r="G1911" s="52"/>
      <c r="H1911" s="51"/>
      <c r="I1911" s="51"/>
      <c r="J1911" s="66"/>
      <c r="K1911" s="66"/>
      <c r="L1911" s="66"/>
      <c r="M1911" s="50"/>
      <c r="N1911" s="67"/>
    </row>
    <row r="1912" ht="15.0" customHeight="1">
      <c r="A1912" s="51"/>
      <c r="B1912" s="50"/>
      <c r="C1912" s="50"/>
      <c r="D1912" s="50"/>
      <c r="E1912" s="50"/>
      <c r="F1912" s="50"/>
      <c r="G1912" s="52"/>
      <c r="H1912" s="51"/>
      <c r="I1912" s="51"/>
      <c r="J1912" s="66"/>
      <c r="K1912" s="66"/>
      <c r="L1912" s="66"/>
      <c r="M1912" s="50"/>
      <c r="N1912" s="67"/>
    </row>
    <row r="1913" ht="15.0" customHeight="1">
      <c r="A1913" s="51"/>
      <c r="B1913" s="50"/>
      <c r="C1913" s="50"/>
      <c r="D1913" s="50"/>
      <c r="E1913" s="50"/>
      <c r="F1913" s="50"/>
      <c r="G1913" s="52"/>
      <c r="H1913" s="51"/>
      <c r="I1913" s="51"/>
      <c r="J1913" s="66"/>
      <c r="K1913" s="66"/>
      <c r="L1913" s="66"/>
      <c r="M1913" s="50"/>
      <c r="N1913" s="67"/>
    </row>
    <row r="1914" ht="15.0" customHeight="1">
      <c r="A1914" s="51"/>
      <c r="B1914" s="50"/>
      <c r="C1914" s="50"/>
      <c r="D1914" s="50"/>
      <c r="E1914" s="50"/>
      <c r="F1914" s="50"/>
      <c r="G1914" s="52"/>
      <c r="H1914" s="51"/>
      <c r="I1914" s="51"/>
      <c r="J1914" s="66"/>
      <c r="K1914" s="66"/>
      <c r="L1914" s="66"/>
      <c r="M1914" s="50"/>
      <c r="N1914" s="67"/>
    </row>
    <row r="1915" ht="15.0" customHeight="1">
      <c r="A1915" s="51"/>
      <c r="B1915" s="50"/>
      <c r="C1915" s="50"/>
      <c r="D1915" s="50"/>
      <c r="E1915" s="50"/>
      <c r="F1915" s="50"/>
      <c r="G1915" s="52"/>
      <c r="H1915" s="51"/>
      <c r="I1915" s="51"/>
      <c r="J1915" s="66"/>
      <c r="K1915" s="66"/>
      <c r="L1915" s="66"/>
      <c r="M1915" s="50"/>
      <c r="N1915" s="67"/>
    </row>
    <row r="1916" ht="15.0" customHeight="1">
      <c r="A1916" s="51"/>
      <c r="B1916" s="50"/>
      <c r="C1916" s="50"/>
      <c r="D1916" s="50"/>
      <c r="E1916" s="50"/>
      <c r="F1916" s="50"/>
      <c r="G1916" s="52"/>
      <c r="H1916" s="51"/>
      <c r="I1916" s="51"/>
      <c r="J1916" s="66"/>
      <c r="K1916" s="66"/>
      <c r="L1916" s="66"/>
      <c r="M1916" s="50"/>
      <c r="N1916" s="67"/>
    </row>
    <row r="1917" ht="15.0" customHeight="1">
      <c r="A1917" s="51"/>
      <c r="B1917" s="50"/>
      <c r="C1917" s="50"/>
      <c r="D1917" s="50"/>
      <c r="E1917" s="50"/>
      <c r="F1917" s="50"/>
      <c r="G1917" s="52"/>
      <c r="H1917" s="51"/>
      <c r="I1917" s="51"/>
      <c r="J1917" s="66"/>
      <c r="K1917" s="66"/>
      <c r="L1917" s="66"/>
      <c r="M1917" s="50"/>
      <c r="N1917" s="67"/>
    </row>
    <row r="1918" ht="15.0" customHeight="1">
      <c r="A1918" s="51"/>
      <c r="B1918" s="50"/>
      <c r="C1918" s="50"/>
      <c r="D1918" s="50"/>
      <c r="E1918" s="50"/>
      <c r="F1918" s="50"/>
      <c r="G1918" s="52"/>
      <c r="H1918" s="51"/>
      <c r="I1918" s="51"/>
      <c r="J1918" s="66"/>
      <c r="K1918" s="66"/>
      <c r="L1918" s="66"/>
      <c r="M1918" s="50"/>
      <c r="N1918" s="67"/>
    </row>
    <row r="1919" ht="15.0" customHeight="1">
      <c r="A1919" s="51"/>
      <c r="B1919" s="50"/>
      <c r="C1919" s="50"/>
      <c r="D1919" s="50"/>
      <c r="E1919" s="50"/>
      <c r="F1919" s="50"/>
      <c r="G1919" s="52"/>
      <c r="H1919" s="51"/>
      <c r="I1919" s="51"/>
      <c r="J1919" s="66"/>
      <c r="K1919" s="66"/>
      <c r="L1919" s="66"/>
      <c r="M1919" s="50"/>
      <c r="N1919" s="67"/>
    </row>
    <row r="1920" ht="15.0" customHeight="1">
      <c r="A1920" s="51"/>
      <c r="B1920" s="50"/>
      <c r="C1920" s="50"/>
      <c r="D1920" s="50"/>
      <c r="E1920" s="50"/>
      <c r="F1920" s="50"/>
      <c r="G1920" s="52"/>
      <c r="H1920" s="51"/>
      <c r="I1920" s="51"/>
      <c r="J1920" s="66"/>
      <c r="K1920" s="66"/>
      <c r="L1920" s="66"/>
      <c r="M1920" s="50"/>
      <c r="N1920" s="67"/>
    </row>
    <row r="1921" ht="15.0" customHeight="1">
      <c r="A1921" s="51"/>
      <c r="B1921" s="50"/>
      <c r="C1921" s="50"/>
      <c r="D1921" s="50"/>
      <c r="E1921" s="50"/>
      <c r="F1921" s="50"/>
      <c r="G1921" s="52"/>
      <c r="H1921" s="51"/>
      <c r="I1921" s="51"/>
      <c r="J1921" s="66"/>
      <c r="K1921" s="66"/>
      <c r="L1921" s="66"/>
      <c r="M1921" s="50"/>
      <c r="N1921" s="67"/>
    </row>
    <row r="1922" ht="15.0" customHeight="1">
      <c r="A1922" s="51"/>
      <c r="B1922" s="50"/>
      <c r="C1922" s="50"/>
      <c r="D1922" s="50"/>
      <c r="E1922" s="50"/>
      <c r="F1922" s="50"/>
      <c r="G1922" s="52"/>
      <c r="H1922" s="51"/>
      <c r="I1922" s="51"/>
      <c r="J1922" s="66"/>
      <c r="K1922" s="66"/>
      <c r="L1922" s="66"/>
      <c r="M1922" s="50"/>
      <c r="N1922" s="67"/>
    </row>
    <row r="1923" ht="15.0" customHeight="1">
      <c r="A1923" s="51"/>
      <c r="B1923" s="50"/>
      <c r="C1923" s="50"/>
      <c r="D1923" s="50"/>
      <c r="E1923" s="50"/>
      <c r="F1923" s="50"/>
      <c r="G1923" s="52"/>
      <c r="H1923" s="51"/>
      <c r="I1923" s="51"/>
      <c r="J1923" s="66"/>
      <c r="K1923" s="66"/>
      <c r="L1923" s="66"/>
      <c r="M1923" s="50"/>
      <c r="N1923" s="67"/>
    </row>
    <row r="1924" ht="15.0" customHeight="1">
      <c r="A1924" s="51"/>
      <c r="B1924" s="50"/>
      <c r="C1924" s="50"/>
      <c r="D1924" s="50"/>
      <c r="E1924" s="50"/>
      <c r="F1924" s="50"/>
      <c r="G1924" s="52"/>
      <c r="H1924" s="51"/>
      <c r="I1924" s="51"/>
      <c r="J1924" s="66"/>
      <c r="K1924" s="66"/>
      <c r="L1924" s="66"/>
      <c r="M1924" s="50"/>
      <c r="N1924" s="67"/>
    </row>
    <row r="1925" ht="15.0" customHeight="1">
      <c r="A1925" s="51"/>
      <c r="B1925" s="50"/>
      <c r="C1925" s="50"/>
      <c r="D1925" s="50"/>
      <c r="E1925" s="50"/>
      <c r="F1925" s="50"/>
      <c r="G1925" s="52"/>
      <c r="H1925" s="51"/>
      <c r="I1925" s="51"/>
      <c r="J1925" s="66"/>
      <c r="K1925" s="66"/>
      <c r="L1925" s="66"/>
      <c r="M1925" s="50"/>
      <c r="N1925" s="67"/>
    </row>
    <row r="1926" ht="15.0" customHeight="1">
      <c r="A1926" s="51"/>
      <c r="B1926" s="50"/>
      <c r="C1926" s="50"/>
      <c r="D1926" s="50"/>
      <c r="E1926" s="50"/>
      <c r="F1926" s="50"/>
      <c r="G1926" s="52"/>
      <c r="H1926" s="51"/>
      <c r="I1926" s="51"/>
      <c r="J1926" s="66"/>
      <c r="K1926" s="66"/>
      <c r="L1926" s="66"/>
      <c r="M1926" s="50"/>
      <c r="N1926" s="67"/>
    </row>
    <row r="1927" ht="15.0" customHeight="1">
      <c r="A1927" s="51"/>
      <c r="B1927" s="50"/>
      <c r="C1927" s="50"/>
      <c r="D1927" s="50"/>
      <c r="E1927" s="50"/>
      <c r="F1927" s="50"/>
      <c r="G1927" s="52"/>
      <c r="H1927" s="51"/>
      <c r="I1927" s="51"/>
      <c r="J1927" s="66"/>
      <c r="K1927" s="66"/>
      <c r="L1927" s="66"/>
      <c r="M1927" s="50"/>
      <c r="N1927" s="67"/>
    </row>
    <row r="1928" ht="15.0" customHeight="1">
      <c r="A1928" s="51"/>
      <c r="B1928" s="50"/>
      <c r="C1928" s="50"/>
      <c r="D1928" s="50"/>
      <c r="E1928" s="50"/>
      <c r="F1928" s="50"/>
      <c r="G1928" s="52"/>
      <c r="H1928" s="51"/>
      <c r="I1928" s="51"/>
      <c r="J1928" s="66"/>
      <c r="K1928" s="66"/>
      <c r="L1928" s="66"/>
      <c r="M1928" s="50"/>
      <c r="N1928" s="67"/>
    </row>
    <row r="1929" ht="15.0" customHeight="1">
      <c r="A1929" s="51"/>
      <c r="B1929" s="50"/>
      <c r="C1929" s="50"/>
      <c r="D1929" s="50"/>
      <c r="E1929" s="50"/>
      <c r="F1929" s="50"/>
      <c r="G1929" s="52"/>
      <c r="H1929" s="51"/>
      <c r="I1929" s="51"/>
      <c r="J1929" s="66"/>
      <c r="K1929" s="66"/>
      <c r="L1929" s="66"/>
      <c r="M1929" s="50"/>
      <c r="N1929" s="67"/>
    </row>
    <row r="1930" ht="15.0" customHeight="1">
      <c r="A1930" s="51"/>
      <c r="B1930" s="50"/>
      <c r="C1930" s="50"/>
      <c r="D1930" s="50"/>
      <c r="E1930" s="50"/>
      <c r="F1930" s="50"/>
      <c r="G1930" s="52"/>
      <c r="H1930" s="51"/>
      <c r="I1930" s="51"/>
      <c r="J1930" s="66"/>
      <c r="K1930" s="66"/>
      <c r="L1930" s="66"/>
      <c r="M1930" s="50"/>
      <c r="N1930" s="67"/>
    </row>
    <row r="1931" ht="15.0" customHeight="1">
      <c r="A1931" s="51"/>
      <c r="B1931" s="50"/>
      <c r="C1931" s="50"/>
      <c r="D1931" s="50"/>
      <c r="E1931" s="50"/>
      <c r="F1931" s="50"/>
      <c r="G1931" s="52"/>
      <c r="H1931" s="51"/>
      <c r="I1931" s="51"/>
      <c r="J1931" s="66"/>
      <c r="K1931" s="66"/>
      <c r="L1931" s="66"/>
      <c r="M1931" s="50"/>
      <c r="N1931" s="67"/>
    </row>
    <row r="1932" ht="15.0" customHeight="1">
      <c r="A1932" s="51"/>
      <c r="B1932" s="50"/>
      <c r="C1932" s="50"/>
      <c r="D1932" s="50"/>
      <c r="E1932" s="50"/>
      <c r="F1932" s="50"/>
      <c r="G1932" s="52"/>
      <c r="H1932" s="51"/>
      <c r="I1932" s="51"/>
      <c r="J1932" s="66"/>
      <c r="K1932" s="66"/>
      <c r="L1932" s="66"/>
      <c r="M1932" s="50"/>
      <c r="N1932" s="67"/>
    </row>
    <row r="1933" ht="15.0" customHeight="1">
      <c r="A1933" s="51"/>
      <c r="B1933" s="50"/>
      <c r="C1933" s="50"/>
      <c r="D1933" s="50"/>
      <c r="E1933" s="50"/>
      <c r="F1933" s="50"/>
      <c r="G1933" s="52"/>
      <c r="H1933" s="51"/>
      <c r="I1933" s="51"/>
      <c r="J1933" s="66"/>
      <c r="K1933" s="66"/>
      <c r="L1933" s="66"/>
      <c r="M1933" s="50"/>
      <c r="N1933" s="67"/>
    </row>
    <row r="1934" ht="15.0" customHeight="1">
      <c r="A1934" s="51"/>
      <c r="B1934" s="50"/>
      <c r="C1934" s="50"/>
      <c r="D1934" s="50"/>
      <c r="E1934" s="50"/>
      <c r="F1934" s="50"/>
      <c r="G1934" s="52"/>
      <c r="H1934" s="51"/>
      <c r="I1934" s="51"/>
      <c r="J1934" s="66"/>
      <c r="K1934" s="66"/>
      <c r="L1934" s="66"/>
      <c r="M1934" s="50"/>
      <c r="N1934" s="67"/>
    </row>
    <row r="1935" ht="15.0" customHeight="1">
      <c r="A1935" s="51"/>
      <c r="B1935" s="50"/>
      <c r="C1935" s="50"/>
      <c r="D1935" s="50"/>
      <c r="E1935" s="50"/>
      <c r="F1935" s="50"/>
      <c r="G1935" s="52"/>
      <c r="H1935" s="51"/>
      <c r="I1935" s="51"/>
      <c r="J1935" s="66"/>
      <c r="K1935" s="66"/>
      <c r="L1935" s="66"/>
      <c r="M1935" s="50"/>
      <c r="N1935" s="67"/>
    </row>
    <row r="1936" ht="15.0" customHeight="1">
      <c r="A1936" s="51"/>
      <c r="B1936" s="50"/>
      <c r="C1936" s="50"/>
      <c r="D1936" s="50"/>
      <c r="E1936" s="50"/>
      <c r="F1936" s="50"/>
      <c r="G1936" s="52"/>
      <c r="H1936" s="51"/>
      <c r="I1936" s="51"/>
      <c r="J1936" s="66"/>
      <c r="K1936" s="66"/>
      <c r="L1936" s="66"/>
      <c r="M1936" s="50"/>
      <c r="N1936" s="67"/>
    </row>
    <row r="1937" ht="15.0" customHeight="1">
      <c r="A1937" s="51"/>
      <c r="B1937" s="50"/>
      <c r="C1937" s="50"/>
      <c r="D1937" s="50"/>
      <c r="E1937" s="50"/>
      <c r="F1937" s="50"/>
      <c r="G1937" s="52"/>
      <c r="H1937" s="51"/>
      <c r="I1937" s="51"/>
      <c r="J1937" s="66"/>
      <c r="K1937" s="66"/>
      <c r="L1937" s="66"/>
      <c r="M1937" s="50"/>
      <c r="N1937" s="67"/>
    </row>
    <row r="1938" ht="15.0" customHeight="1">
      <c r="A1938" s="51"/>
      <c r="B1938" s="50"/>
      <c r="C1938" s="50"/>
      <c r="D1938" s="50"/>
      <c r="E1938" s="50"/>
      <c r="F1938" s="50"/>
      <c r="G1938" s="52"/>
      <c r="H1938" s="51"/>
      <c r="I1938" s="51"/>
      <c r="J1938" s="66"/>
      <c r="K1938" s="66"/>
      <c r="L1938" s="66"/>
      <c r="M1938" s="50"/>
      <c r="N1938" s="67"/>
    </row>
    <row r="1939" ht="15.0" customHeight="1">
      <c r="A1939" s="51"/>
      <c r="B1939" s="50"/>
      <c r="C1939" s="50"/>
      <c r="D1939" s="50"/>
      <c r="E1939" s="50"/>
      <c r="F1939" s="50"/>
      <c r="G1939" s="52"/>
      <c r="H1939" s="51"/>
      <c r="I1939" s="51"/>
      <c r="J1939" s="66"/>
      <c r="K1939" s="66"/>
      <c r="L1939" s="66"/>
      <c r="M1939" s="50"/>
      <c r="N1939" s="67"/>
    </row>
    <row r="1940" ht="15.0" customHeight="1">
      <c r="A1940" s="51"/>
      <c r="B1940" s="50"/>
      <c r="C1940" s="50"/>
      <c r="D1940" s="50"/>
      <c r="E1940" s="50"/>
      <c r="F1940" s="50"/>
      <c r="G1940" s="52"/>
      <c r="H1940" s="51"/>
      <c r="I1940" s="51"/>
      <c r="J1940" s="66"/>
      <c r="K1940" s="66"/>
      <c r="L1940" s="66"/>
      <c r="M1940" s="50"/>
      <c r="N1940" s="67"/>
    </row>
    <row r="1941" ht="15.0" customHeight="1">
      <c r="A1941" s="51"/>
      <c r="B1941" s="50"/>
      <c r="C1941" s="50"/>
      <c r="D1941" s="50"/>
      <c r="E1941" s="50"/>
      <c r="F1941" s="50"/>
      <c r="G1941" s="52"/>
      <c r="H1941" s="51"/>
      <c r="I1941" s="51"/>
      <c r="J1941" s="66"/>
      <c r="K1941" s="66"/>
      <c r="L1941" s="66"/>
      <c r="M1941" s="50"/>
      <c r="N1941" s="67"/>
    </row>
    <row r="1942" ht="15.0" customHeight="1">
      <c r="A1942" s="51"/>
      <c r="B1942" s="50"/>
      <c r="C1942" s="50"/>
      <c r="D1942" s="50"/>
      <c r="E1942" s="50"/>
      <c r="F1942" s="50"/>
      <c r="G1942" s="52"/>
      <c r="H1942" s="51"/>
      <c r="I1942" s="51"/>
      <c r="J1942" s="66"/>
      <c r="K1942" s="66"/>
      <c r="L1942" s="66"/>
      <c r="M1942" s="50"/>
      <c r="N1942" s="67"/>
    </row>
    <row r="1943" ht="15.0" customHeight="1">
      <c r="A1943" s="51"/>
      <c r="B1943" s="50"/>
      <c r="C1943" s="50"/>
      <c r="D1943" s="50"/>
      <c r="E1943" s="50"/>
      <c r="F1943" s="50"/>
      <c r="G1943" s="52"/>
      <c r="H1943" s="51"/>
      <c r="I1943" s="51"/>
      <c r="J1943" s="66"/>
      <c r="K1943" s="66"/>
      <c r="L1943" s="66"/>
      <c r="M1943" s="50"/>
      <c r="N1943" s="67"/>
    </row>
    <row r="1944" ht="15.0" customHeight="1">
      <c r="A1944" s="51"/>
      <c r="B1944" s="50"/>
      <c r="C1944" s="50"/>
      <c r="D1944" s="50"/>
      <c r="E1944" s="50"/>
      <c r="F1944" s="50"/>
      <c r="G1944" s="52"/>
      <c r="H1944" s="51"/>
      <c r="I1944" s="51"/>
      <c r="J1944" s="66"/>
      <c r="K1944" s="66"/>
      <c r="L1944" s="66"/>
      <c r="M1944" s="50"/>
      <c r="N1944" s="67"/>
    </row>
    <row r="1945" ht="15.0" customHeight="1">
      <c r="A1945" s="51"/>
      <c r="B1945" s="50"/>
      <c r="C1945" s="50"/>
      <c r="D1945" s="50"/>
      <c r="E1945" s="50"/>
      <c r="F1945" s="50"/>
      <c r="G1945" s="52"/>
      <c r="H1945" s="51"/>
      <c r="I1945" s="51"/>
      <c r="J1945" s="66"/>
      <c r="K1945" s="66"/>
      <c r="L1945" s="66"/>
      <c r="M1945" s="50"/>
      <c r="N1945" s="67"/>
    </row>
    <row r="1946" ht="15.0" customHeight="1">
      <c r="A1946" s="51"/>
      <c r="B1946" s="50"/>
      <c r="C1946" s="50"/>
      <c r="D1946" s="50"/>
      <c r="E1946" s="50"/>
      <c r="F1946" s="50"/>
      <c r="G1946" s="52"/>
      <c r="H1946" s="51"/>
      <c r="I1946" s="51"/>
      <c r="J1946" s="66"/>
      <c r="K1946" s="66"/>
      <c r="L1946" s="66"/>
      <c r="M1946" s="50"/>
      <c r="N1946" s="67"/>
    </row>
    <row r="1947" ht="15.0" customHeight="1">
      <c r="A1947" s="51"/>
      <c r="B1947" s="50"/>
      <c r="C1947" s="50"/>
      <c r="D1947" s="50"/>
      <c r="E1947" s="50"/>
      <c r="F1947" s="50"/>
      <c r="G1947" s="52"/>
      <c r="H1947" s="51"/>
      <c r="I1947" s="51"/>
      <c r="J1947" s="66"/>
      <c r="K1947" s="66"/>
      <c r="L1947" s="66"/>
      <c r="M1947" s="50"/>
      <c r="N1947" s="67"/>
    </row>
    <row r="1948" ht="15.0" customHeight="1">
      <c r="A1948" s="51"/>
      <c r="B1948" s="50"/>
      <c r="C1948" s="50"/>
      <c r="D1948" s="50"/>
      <c r="E1948" s="50"/>
      <c r="F1948" s="50"/>
      <c r="G1948" s="52"/>
      <c r="H1948" s="51"/>
      <c r="I1948" s="51"/>
      <c r="J1948" s="66"/>
      <c r="K1948" s="66"/>
      <c r="L1948" s="66"/>
      <c r="M1948" s="50"/>
      <c r="N1948" s="67"/>
    </row>
    <row r="1949" ht="15.0" customHeight="1">
      <c r="A1949" s="51"/>
      <c r="B1949" s="50"/>
      <c r="C1949" s="50"/>
      <c r="D1949" s="50"/>
      <c r="E1949" s="50"/>
      <c r="F1949" s="50"/>
      <c r="G1949" s="52"/>
      <c r="H1949" s="51"/>
      <c r="I1949" s="51"/>
      <c r="J1949" s="66"/>
      <c r="K1949" s="66"/>
      <c r="L1949" s="66"/>
      <c r="M1949" s="50"/>
      <c r="N1949" s="67"/>
    </row>
    <row r="1950" ht="15.0" customHeight="1">
      <c r="A1950" s="51"/>
      <c r="B1950" s="50"/>
      <c r="C1950" s="50"/>
      <c r="D1950" s="50"/>
      <c r="E1950" s="50"/>
      <c r="F1950" s="50"/>
      <c r="G1950" s="52"/>
      <c r="H1950" s="51"/>
      <c r="I1950" s="51"/>
      <c r="J1950" s="66"/>
      <c r="K1950" s="66"/>
      <c r="L1950" s="66"/>
      <c r="M1950" s="50"/>
      <c r="N1950" s="67"/>
    </row>
    <row r="1951" ht="15.0" customHeight="1">
      <c r="A1951" s="51"/>
      <c r="B1951" s="50"/>
      <c r="C1951" s="50"/>
      <c r="D1951" s="50"/>
      <c r="E1951" s="50"/>
      <c r="F1951" s="50"/>
      <c r="G1951" s="52"/>
      <c r="H1951" s="51"/>
      <c r="I1951" s="51"/>
      <c r="J1951" s="66"/>
      <c r="K1951" s="66"/>
      <c r="L1951" s="66"/>
      <c r="M1951" s="50"/>
      <c r="N1951" s="67"/>
    </row>
    <row r="1952" ht="15.0" customHeight="1">
      <c r="A1952" s="51"/>
      <c r="B1952" s="50"/>
      <c r="C1952" s="50"/>
      <c r="D1952" s="50"/>
      <c r="E1952" s="50"/>
      <c r="F1952" s="50"/>
      <c r="G1952" s="52"/>
      <c r="H1952" s="51"/>
      <c r="I1952" s="51"/>
      <c r="J1952" s="66"/>
      <c r="K1952" s="66"/>
      <c r="L1952" s="66"/>
      <c r="M1952" s="50"/>
      <c r="N1952" s="67"/>
    </row>
    <row r="1953" ht="15.0" customHeight="1">
      <c r="A1953" s="51"/>
      <c r="B1953" s="50"/>
      <c r="C1953" s="50"/>
      <c r="D1953" s="50"/>
      <c r="E1953" s="50"/>
      <c r="F1953" s="50"/>
      <c r="G1953" s="52"/>
      <c r="H1953" s="51"/>
      <c r="I1953" s="51"/>
      <c r="J1953" s="66"/>
      <c r="K1953" s="66"/>
      <c r="L1953" s="66"/>
      <c r="M1953" s="50"/>
      <c r="N1953" s="67"/>
    </row>
    <row r="1954" ht="15.0" customHeight="1">
      <c r="A1954" s="51"/>
      <c r="B1954" s="50"/>
      <c r="C1954" s="50"/>
      <c r="D1954" s="50"/>
      <c r="E1954" s="50"/>
      <c r="F1954" s="50"/>
      <c r="G1954" s="52"/>
      <c r="H1954" s="51"/>
      <c r="I1954" s="51"/>
      <c r="J1954" s="66"/>
      <c r="K1954" s="66"/>
      <c r="L1954" s="66"/>
      <c r="M1954" s="50"/>
      <c r="N1954" s="67"/>
    </row>
    <row r="1955" ht="15.0" customHeight="1">
      <c r="A1955" s="51"/>
      <c r="B1955" s="50"/>
      <c r="C1955" s="50"/>
      <c r="D1955" s="50"/>
      <c r="E1955" s="50"/>
      <c r="F1955" s="50"/>
      <c r="G1955" s="52"/>
      <c r="H1955" s="51"/>
      <c r="I1955" s="51"/>
      <c r="J1955" s="66"/>
      <c r="K1955" s="66"/>
      <c r="L1955" s="66"/>
      <c r="M1955" s="50"/>
      <c r="N1955" s="67"/>
    </row>
    <row r="1956" ht="15.0" customHeight="1">
      <c r="A1956" s="51"/>
      <c r="B1956" s="50"/>
      <c r="C1956" s="50"/>
      <c r="D1956" s="50"/>
      <c r="E1956" s="50"/>
      <c r="F1956" s="50"/>
      <c r="G1956" s="52"/>
      <c r="H1956" s="51"/>
      <c r="I1956" s="51"/>
      <c r="J1956" s="66"/>
      <c r="K1956" s="66"/>
      <c r="L1956" s="66"/>
      <c r="M1956" s="50"/>
      <c r="N1956" s="67"/>
    </row>
    <row r="1957" ht="15.0" customHeight="1">
      <c r="A1957" s="51"/>
      <c r="B1957" s="50"/>
      <c r="C1957" s="50"/>
      <c r="D1957" s="50"/>
      <c r="E1957" s="50"/>
      <c r="F1957" s="50"/>
      <c r="G1957" s="52"/>
      <c r="H1957" s="51"/>
      <c r="I1957" s="51"/>
      <c r="J1957" s="66"/>
      <c r="K1957" s="66"/>
      <c r="L1957" s="66"/>
      <c r="M1957" s="50"/>
      <c r="N1957" s="67"/>
    </row>
    <row r="1958" ht="15.0" customHeight="1">
      <c r="A1958" s="51"/>
      <c r="B1958" s="50"/>
      <c r="C1958" s="50"/>
      <c r="D1958" s="50"/>
      <c r="E1958" s="50"/>
      <c r="F1958" s="50"/>
      <c r="G1958" s="52"/>
      <c r="H1958" s="51"/>
      <c r="I1958" s="51"/>
      <c r="J1958" s="66"/>
      <c r="K1958" s="66"/>
      <c r="L1958" s="66"/>
      <c r="M1958" s="50"/>
      <c r="N1958" s="67"/>
    </row>
    <row r="1959" ht="15.0" customHeight="1">
      <c r="A1959" s="51"/>
      <c r="B1959" s="50"/>
      <c r="C1959" s="50"/>
      <c r="D1959" s="50"/>
      <c r="E1959" s="50"/>
      <c r="F1959" s="50"/>
      <c r="G1959" s="52"/>
      <c r="H1959" s="51"/>
      <c r="I1959" s="51"/>
      <c r="J1959" s="66"/>
      <c r="K1959" s="66"/>
      <c r="L1959" s="66"/>
      <c r="M1959" s="50"/>
      <c r="N1959" s="67"/>
    </row>
    <row r="1960" ht="15.0" customHeight="1">
      <c r="A1960" s="51"/>
      <c r="B1960" s="50"/>
      <c r="C1960" s="50"/>
      <c r="D1960" s="50"/>
      <c r="E1960" s="50"/>
      <c r="F1960" s="50"/>
      <c r="G1960" s="52"/>
      <c r="H1960" s="51"/>
      <c r="I1960" s="51"/>
      <c r="J1960" s="66"/>
      <c r="K1960" s="66"/>
      <c r="L1960" s="66"/>
      <c r="M1960" s="50"/>
      <c r="N1960" s="67"/>
    </row>
    <row r="1961" ht="15.0" customHeight="1">
      <c r="A1961" s="51"/>
      <c r="B1961" s="50"/>
      <c r="C1961" s="50"/>
      <c r="D1961" s="50"/>
      <c r="E1961" s="50"/>
      <c r="F1961" s="50"/>
      <c r="G1961" s="52"/>
      <c r="H1961" s="51"/>
      <c r="I1961" s="51"/>
      <c r="J1961" s="66"/>
      <c r="K1961" s="66"/>
      <c r="L1961" s="66"/>
      <c r="M1961" s="50"/>
      <c r="N1961" s="67"/>
    </row>
    <row r="1962" ht="15.0" customHeight="1">
      <c r="A1962" s="51"/>
      <c r="B1962" s="50"/>
      <c r="C1962" s="50"/>
      <c r="D1962" s="50"/>
      <c r="E1962" s="50"/>
      <c r="F1962" s="50"/>
      <c r="G1962" s="52"/>
      <c r="H1962" s="51"/>
      <c r="I1962" s="51"/>
      <c r="J1962" s="66"/>
      <c r="K1962" s="66"/>
      <c r="L1962" s="66"/>
      <c r="M1962" s="50"/>
      <c r="N1962" s="67"/>
    </row>
    <row r="1963" ht="15.0" customHeight="1">
      <c r="A1963" s="51"/>
      <c r="B1963" s="50"/>
      <c r="C1963" s="50"/>
      <c r="D1963" s="50"/>
      <c r="E1963" s="50"/>
      <c r="F1963" s="50"/>
      <c r="G1963" s="52"/>
      <c r="H1963" s="51"/>
      <c r="I1963" s="51"/>
      <c r="J1963" s="66"/>
      <c r="K1963" s="66"/>
      <c r="L1963" s="66"/>
      <c r="M1963" s="50"/>
      <c r="N1963" s="67"/>
    </row>
    <row r="1964" ht="15.0" customHeight="1">
      <c r="A1964" s="51"/>
      <c r="B1964" s="50"/>
      <c r="C1964" s="50"/>
      <c r="D1964" s="50"/>
      <c r="E1964" s="50"/>
      <c r="F1964" s="50"/>
      <c r="G1964" s="52"/>
      <c r="H1964" s="51"/>
      <c r="I1964" s="51"/>
      <c r="J1964" s="66"/>
      <c r="K1964" s="66"/>
      <c r="L1964" s="66"/>
      <c r="M1964" s="50"/>
      <c r="N1964" s="67"/>
    </row>
    <row r="1965" ht="15.0" customHeight="1">
      <c r="A1965" s="51"/>
      <c r="B1965" s="50"/>
      <c r="C1965" s="50"/>
      <c r="D1965" s="50"/>
      <c r="E1965" s="50"/>
      <c r="F1965" s="50"/>
      <c r="G1965" s="52"/>
      <c r="H1965" s="51"/>
      <c r="I1965" s="51"/>
      <c r="J1965" s="66"/>
      <c r="K1965" s="66"/>
      <c r="L1965" s="66"/>
      <c r="M1965" s="50"/>
      <c r="N1965" s="67"/>
    </row>
    <row r="1966" ht="15.0" customHeight="1">
      <c r="A1966" s="51"/>
      <c r="B1966" s="50"/>
      <c r="C1966" s="50"/>
      <c r="D1966" s="50"/>
      <c r="E1966" s="50"/>
      <c r="F1966" s="50"/>
      <c r="G1966" s="52"/>
      <c r="H1966" s="51"/>
      <c r="I1966" s="51"/>
      <c r="J1966" s="66"/>
      <c r="K1966" s="66"/>
      <c r="L1966" s="66"/>
      <c r="M1966" s="50"/>
      <c r="N1966" s="67"/>
    </row>
    <row r="1967" ht="15.0" customHeight="1">
      <c r="A1967" s="51"/>
      <c r="B1967" s="50"/>
      <c r="C1967" s="50"/>
      <c r="D1967" s="50"/>
      <c r="E1967" s="50"/>
      <c r="F1967" s="50"/>
      <c r="G1967" s="52"/>
      <c r="H1967" s="51"/>
      <c r="I1967" s="51"/>
      <c r="J1967" s="66"/>
      <c r="K1967" s="66"/>
      <c r="L1967" s="66"/>
      <c r="M1967" s="50"/>
      <c r="N1967" s="67"/>
    </row>
    <row r="1968" ht="15.0" customHeight="1">
      <c r="A1968" s="51"/>
      <c r="B1968" s="50"/>
      <c r="C1968" s="50"/>
      <c r="D1968" s="50"/>
      <c r="E1968" s="50"/>
      <c r="F1968" s="50"/>
      <c r="G1968" s="52"/>
      <c r="H1968" s="51"/>
      <c r="I1968" s="51"/>
      <c r="J1968" s="66"/>
      <c r="K1968" s="66"/>
      <c r="L1968" s="66"/>
      <c r="M1968" s="50"/>
      <c r="N1968" s="67"/>
    </row>
    <row r="1969" ht="15.0" customHeight="1">
      <c r="A1969" s="51"/>
      <c r="B1969" s="50"/>
      <c r="C1969" s="50"/>
      <c r="D1969" s="50"/>
      <c r="E1969" s="50"/>
      <c r="F1969" s="50"/>
      <c r="G1969" s="52"/>
      <c r="H1969" s="51"/>
      <c r="I1969" s="51"/>
      <c r="J1969" s="66"/>
      <c r="K1969" s="66"/>
      <c r="L1969" s="66"/>
      <c r="M1969" s="50"/>
      <c r="N1969" s="67"/>
    </row>
    <row r="1970" ht="15.0" customHeight="1">
      <c r="A1970" s="51"/>
      <c r="B1970" s="50"/>
      <c r="C1970" s="50"/>
      <c r="D1970" s="50"/>
      <c r="E1970" s="50"/>
      <c r="F1970" s="50"/>
      <c r="G1970" s="52"/>
      <c r="H1970" s="51"/>
      <c r="I1970" s="51"/>
      <c r="J1970" s="66"/>
      <c r="K1970" s="66"/>
      <c r="L1970" s="66"/>
      <c r="M1970" s="50"/>
      <c r="N1970" s="67"/>
    </row>
    <row r="1971" ht="15.0" customHeight="1">
      <c r="A1971" s="51"/>
      <c r="B1971" s="50"/>
      <c r="C1971" s="50"/>
      <c r="D1971" s="50"/>
      <c r="E1971" s="50"/>
      <c r="F1971" s="50"/>
      <c r="G1971" s="52"/>
      <c r="H1971" s="51"/>
      <c r="I1971" s="51"/>
      <c r="J1971" s="66"/>
      <c r="K1971" s="66"/>
      <c r="L1971" s="66"/>
      <c r="M1971" s="50"/>
      <c r="N1971" s="67"/>
    </row>
    <row r="1972" ht="15.0" customHeight="1">
      <c r="A1972" s="51"/>
      <c r="B1972" s="50"/>
      <c r="C1972" s="50"/>
      <c r="D1972" s="50"/>
      <c r="E1972" s="50"/>
      <c r="F1972" s="50"/>
      <c r="G1972" s="52"/>
      <c r="H1972" s="51"/>
      <c r="I1972" s="51"/>
      <c r="J1972" s="66"/>
      <c r="K1972" s="66"/>
      <c r="L1972" s="66"/>
      <c r="M1972" s="50"/>
      <c r="N1972" s="67"/>
    </row>
    <row r="1973" ht="15.0" customHeight="1">
      <c r="A1973" s="51"/>
      <c r="B1973" s="50"/>
      <c r="C1973" s="50"/>
      <c r="D1973" s="50"/>
      <c r="E1973" s="50"/>
      <c r="F1973" s="50"/>
      <c r="G1973" s="52"/>
      <c r="H1973" s="51"/>
      <c r="I1973" s="51"/>
      <c r="J1973" s="66"/>
      <c r="K1973" s="66"/>
      <c r="L1973" s="66"/>
      <c r="M1973" s="50"/>
      <c r="N1973" s="67"/>
    </row>
    <row r="1974" ht="15.0" customHeight="1">
      <c r="A1974" s="51"/>
      <c r="B1974" s="50"/>
      <c r="C1974" s="50"/>
      <c r="D1974" s="50"/>
      <c r="E1974" s="50"/>
      <c r="F1974" s="50"/>
      <c r="G1974" s="52"/>
      <c r="H1974" s="51"/>
      <c r="I1974" s="51"/>
      <c r="J1974" s="66"/>
      <c r="K1974" s="66"/>
      <c r="L1974" s="66"/>
      <c r="M1974" s="50"/>
      <c r="N1974" s="67"/>
    </row>
    <row r="1975" ht="15.0" customHeight="1">
      <c r="A1975" s="51"/>
      <c r="B1975" s="50"/>
      <c r="C1975" s="50"/>
      <c r="D1975" s="50"/>
      <c r="E1975" s="50"/>
      <c r="F1975" s="50"/>
      <c r="G1975" s="52"/>
      <c r="H1975" s="51"/>
      <c r="I1975" s="51"/>
      <c r="J1975" s="66"/>
      <c r="K1975" s="66"/>
      <c r="L1975" s="66"/>
      <c r="M1975" s="50"/>
      <c r="N1975" s="67"/>
    </row>
    <row r="1976" ht="15.0" customHeight="1">
      <c r="A1976" s="51"/>
      <c r="B1976" s="50"/>
      <c r="C1976" s="50"/>
      <c r="D1976" s="50"/>
      <c r="E1976" s="50"/>
      <c r="F1976" s="50"/>
      <c r="G1976" s="52"/>
      <c r="H1976" s="51"/>
      <c r="I1976" s="51"/>
      <c r="J1976" s="66"/>
      <c r="K1976" s="66"/>
      <c r="L1976" s="66"/>
      <c r="M1976" s="50"/>
      <c r="N1976" s="67"/>
    </row>
    <row r="1977" ht="15.0" customHeight="1">
      <c r="A1977" s="51"/>
      <c r="B1977" s="50"/>
      <c r="C1977" s="50"/>
      <c r="D1977" s="50"/>
      <c r="E1977" s="50"/>
      <c r="F1977" s="50"/>
      <c r="G1977" s="52"/>
      <c r="H1977" s="51"/>
      <c r="I1977" s="51"/>
      <c r="J1977" s="66"/>
      <c r="K1977" s="66"/>
      <c r="L1977" s="66"/>
      <c r="M1977" s="50"/>
      <c r="N1977" s="67"/>
    </row>
    <row r="1978" ht="15.0" customHeight="1">
      <c r="A1978" s="51"/>
      <c r="B1978" s="50"/>
      <c r="C1978" s="50"/>
      <c r="D1978" s="50"/>
      <c r="E1978" s="50"/>
      <c r="F1978" s="50"/>
      <c r="G1978" s="52"/>
      <c r="H1978" s="51"/>
      <c r="I1978" s="51"/>
      <c r="J1978" s="66"/>
      <c r="K1978" s="66"/>
      <c r="L1978" s="66"/>
      <c r="M1978" s="50"/>
      <c r="N1978" s="67"/>
    </row>
    <row r="1979" ht="15.0" customHeight="1">
      <c r="A1979" s="51"/>
      <c r="B1979" s="50"/>
      <c r="C1979" s="50"/>
      <c r="D1979" s="50"/>
      <c r="E1979" s="50"/>
      <c r="F1979" s="50"/>
      <c r="G1979" s="52"/>
      <c r="H1979" s="51"/>
      <c r="I1979" s="51"/>
      <c r="J1979" s="66"/>
      <c r="K1979" s="66"/>
      <c r="L1979" s="66"/>
      <c r="M1979" s="50"/>
      <c r="N1979" s="67"/>
    </row>
    <row r="1980" ht="15.0" customHeight="1">
      <c r="A1980" s="51"/>
      <c r="B1980" s="50"/>
      <c r="C1980" s="50"/>
      <c r="D1980" s="50"/>
      <c r="E1980" s="50"/>
      <c r="F1980" s="50"/>
      <c r="G1980" s="52"/>
      <c r="H1980" s="51"/>
      <c r="I1980" s="51"/>
      <c r="J1980" s="66"/>
      <c r="K1980" s="66"/>
      <c r="L1980" s="66"/>
      <c r="M1980" s="50"/>
      <c r="N1980" s="67"/>
    </row>
    <row r="1981" ht="15.0" customHeight="1">
      <c r="A1981" s="51"/>
      <c r="B1981" s="50"/>
      <c r="C1981" s="50"/>
      <c r="D1981" s="50"/>
      <c r="E1981" s="50"/>
      <c r="F1981" s="50"/>
      <c r="G1981" s="52"/>
      <c r="H1981" s="51"/>
      <c r="I1981" s="51"/>
      <c r="J1981" s="66"/>
      <c r="K1981" s="66"/>
      <c r="L1981" s="66"/>
      <c r="M1981" s="50"/>
      <c r="N1981" s="67"/>
    </row>
    <row r="1982" ht="15.0" customHeight="1">
      <c r="A1982" s="51"/>
      <c r="B1982" s="50"/>
      <c r="C1982" s="50"/>
      <c r="D1982" s="50"/>
      <c r="E1982" s="50"/>
      <c r="F1982" s="50"/>
      <c r="G1982" s="52"/>
      <c r="H1982" s="51"/>
      <c r="I1982" s="51"/>
      <c r="J1982" s="66"/>
      <c r="K1982" s="66"/>
      <c r="L1982" s="66"/>
      <c r="M1982" s="50"/>
      <c r="N1982" s="67"/>
    </row>
    <row r="1983" ht="15.0" customHeight="1">
      <c r="A1983" s="51"/>
      <c r="B1983" s="50"/>
      <c r="C1983" s="50"/>
      <c r="D1983" s="50"/>
      <c r="E1983" s="50"/>
      <c r="F1983" s="50"/>
      <c r="G1983" s="52"/>
      <c r="H1983" s="51"/>
      <c r="I1983" s="51"/>
      <c r="J1983" s="66"/>
      <c r="K1983" s="66"/>
      <c r="L1983" s="66"/>
      <c r="M1983" s="50"/>
      <c r="N1983" s="67"/>
    </row>
    <row r="1984" ht="15.0" customHeight="1">
      <c r="A1984" s="51"/>
      <c r="B1984" s="50"/>
      <c r="C1984" s="50"/>
      <c r="D1984" s="50"/>
      <c r="E1984" s="50"/>
      <c r="F1984" s="50"/>
      <c r="G1984" s="52"/>
      <c r="H1984" s="51"/>
      <c r="I1984" s="51"/>
      <c r="J1984" s="66"/>
      <c r="K1984" s="66"/>
      <c r="L1984" s="66"/>
      <c r="M1984" s="50"/>
      <c r="N1984" s="67"/>
    </row>
    <row r="1985" ht="15.0" customHeight="1">
      <c r="A1985" s="51"/>
      <c r="B1985" s="50"/>
      <c r="C1985" s="50"/>
      <c r="D1985" s="50"/>
      <c r="E1985" s="50"/>
      <c r="F1985" s="50"/>
      <c r="G1985" s="52"/>
      <c r="H1985" s="51"/>
      <c r="I1985" s="51"/>
      <c r="J1985" s="66"/>
      <c r="K1985" s="66"/>
      <c r="L1985" s="66"/>
      <c r="M1985" s="50"/>
      <c r="N1985" s="67"/>
    </row>
    <row r="1986" ht="15.0" customHeight="1">
      <c r="A1986" s="51"/>
      <c r="B1986" s="50"/>
      <c r="C1986" s="50"/>
      <c r="D1986" s="50"/>
      <c r="E1986" s="50"/>
      <c r="F1986" s="50"/>
      <c r="G1986" s="52"/>
      <c r="H1986" s="51"/>
      <c r="I1986" s="51"/>
      <c r="J1986" s="66"/>
      <c r="K1986" s="66"/>
      <c r="L1986" s="66"/>
      <c r="M1986" s="50"/>
      <c r="N1986" s="67"/>
    </row>
    <row r="1987" ht="15.0" customHeight="1">
      <c r="A1987" s="51"/>
      <c r="B1987" s="50"/>
      <c r="C1987" s="50"/>
      <c r="D1987" s="50"/>
      <c r="E1987" s="50"/>
      <c r="F1987" s="50"/>
      <c r="G1987" s="52"/>
      <c r="H1987" s="51"/>
      <c r="I1987" s="51"/>
      <c r="J1987" s="66"/>
      <c r="K1987" s="66"/>
      <c r="L1987" s="66"/>
      <c r="M1987" s="50"/>
      <c r="N1987" s="67"/>
    </row>
    <row r="1988" ht="15.0" customHeight="1">
      <c r="A1988" s="51"/>
      <c r="B1988" s="50"/>
      <c r="C1988" s="50"/>
      <c r="D1988" s="50"/>
      <c r="E1988" s="50"/>
      <c r="F1988" s="50"/>
      <c r="G1988" s="52"/>
      <c r="H1988" s="51"/>
      <c r="I1988" s="51"/>
      <c r="J1988" s="66"/>
      <c r="K1988" s="66"/>
      <c r="L1988" s="66"/>
      <c r="M1988" s="50"/>
      <c r="N1988" s="67"/>
    </row>
    <row r="1989" ht="15.0" customHeight="1">
      <c r="A1989" s="51"/>
      <c r="B1989" s="50"/>
      <c r="C1989" s="50"/>
      <c r="D1989" s="50"/>
      <c r="E1989" s="50"/>
      <c r="F1989" s="50"/>
      <c r="G1989" s="52"/>
      <c r="H1989" s="51"/>
      <c r="I1989" s="51"/>
      <c r="J1989" s="66"/>
      <c r="K1989" s="66"/>
      <c r="L1989" s="66"/>
      <c r="M1989" s="50"/>
      <c r="N1989" s="67"/>
    </row>
    <row r="1990" ht="15.0" customHeight="1">
      <c r="A1990" s="51"/>
      <c r="B1990" s="50"/>
      <c r="C1990" s="50"/>
      <c r="D1990" s="50"/>
      <c r="E1990" s="50"/>
      <c r="F1990" s="50"/>
      <c r="G1990" s="52"/>
      <c r="H1990" s="51"/>
      <c r="I1990" s="51"/>
      <c r="J1990" s="66"/>
      <c r="K1990" s="66"/>
      <c r="L1990" s="66"/>
      <c r="M1990" s="50"/>
      <c r="N1990" s="67"/>
    </row>
    <row r="1991" ht="15.0" customHeight="1">
      <c r="A1991" s="51"/>
      <c r="B1991" s="50"/>
      <c r="C1991" s="50"/>
      <c r="D1991" s="50"/>
      <c r="E1991" s="50"/>
      <c r="F1991" s="50"/>
      <c r="G1991" s="52"/>
      <c r="H1991" s="51"/>
      <c r="I1991" s="51"/>
      <c r="J1991" s="66"/>
      <c r="K1991" s="66"/>
      <c r="L1991" s="66"/>
      <c r="M1991" s="50"/>
      <c r="N1991" s="67"/>
    </row>
    <row r="1992" ht="15.0" customHeight="1">
      <c r="A1992" s="51"/>
      <c r="B1992" s="50"/>
      <c r="C1992" s="50"/>
      <c r="D1992" s="50"/>
      <c r="E1992" s="50"/>
      <c r="F1992" s="50"/>
      <c r="G1992" s="52"/>
      <c r="H1992" s="51"/>
      <c r="I1992" s="51"/>
      <c r="J1992" s="66"/>
      <c r="K1992" s="66"/>
      <c r="L1992" s="66"/>
      <c r="M1992" s="50"/>
      <c r="N1992" s="67"/>
    </row>
    <row r="1993" ht="15.0" customHeight="1">
      <c r="A1993" s="51"/>
      <c r="B1993" s="50"/>
      <c r="C1993" s="50"/>
      <c r="D1993" s="50"/>
      <c r="E1993" s="50"/>
      <c r="F1993" s="50"/>
      <c r="G1993" s="52"/>
      <c r="H1993" s="51"/>
      <c r="I1993" s="51"/>
      <c r="J1993" s="66"/>
      <c r="K1993" s="66"/>
      <c r="L1993" s="66"/>
      <c r="M1993" s="50"/>
      <c r="N1993" s="67"/>
    </row>
    <row r="1994" ht="15.0" customHeight="1">
      <c r="A1994" s="51"/>
      <c r="B1994" s="50"/>
      <c r="C1994" s="50"/>
      <c r="D1994" s="50"/>
      <c r="E1994" s="50"/>
      <c r="F1994" s="50"/>
      <c r="G1994" s="52"/>
      <c r="H1994" s="51"/>
      <c r="I1994" s="51"/>
      <c r="J1994" s="66"/>
      <c r="K1994" s="66"/>
      <c r="L1994" s="66"/>
      <c r="M1994" s="50"/>
      <c r="N1994" s="67"/>
    </row>
    <row r="1995" ht="15.0" customHeight="1">
      <c r="A1995" s="51"/>
      <c r="B1995" s="50"/>
      <c r="C1995" s="50"/>
      <c r="D1995" s="50"/>
      <c r="E1995" s="50"/>
      <c r="F1995" s="50"/>
      <c r="G1995" s="52"/>
      <c r="H1995" s="51"/>
      <c r="I1995" s="51"/>
      <c r="J1995" s="66"/>
      <c r="K1995" s="66"/>
      <c r="L1995" s="66"/>
      <c r="M1995" s="50"/>
      <c r="N1995" s="67"/>
    </row>
    <row r="1996" ht="15.0" customHeight="1">
      <c r="A1996" s="51"/>
      <c r="B1996" s="50"/>
      <c r="C1996" s="50"/>
      <c r="D1996" s="50"/>
      <c r="E1996" s="50"/>
      <c r="F1996" s="50"/>
      <c r="G1996" s="52"/>
      <c r="H1996" s="51"/>
      <c r="I1996" s="51"/>
      <c r="J1996" s="66"/>
      <c r="K1996" s="66"/>
      <c r="L1996" s="66"/>
      <c r="M1996" s="50"/>
      <c r="N1996" s="67"/>
    </row>
    <row r="1997" ht="15.0" customHeight="1">
      <c r="A1997" s="51"/>
      <c r="B1997" s="50"/>
      <c r="C1997" s="50"/>
      <c r="D1997" s="50"/>
      <c r="E1997" s="50"/>
      <c r="F1997" s="50"/>
      <c r="G1997" s="52"/>
      <c r="H1997" s="51"/>
      <c r="I1997" s="51"/>
      <c r="J1997" s="66"/>
      <c r="K1997" s="66"/>
      <c r="L1997" s="66"/>
      <c r="M1997" s="50"/>
      <c r="N1997" s="67"/>
    </row>
    <row r="1998" ht="15.0" customHeight="1">
      <c r="A1998" s="51"/>
      <c r="B1998" s="50"/>
      <c r="C1998" s="50"/>
      <c r="D1998" s="50"/>
      <c r="E1998" s="50"/>
      <c r="F1998" s="50"/>
      <c r="G1998" s="52"/>
      <c r="H1998" s="51"/>
      <c r="I1998" s="51"/>
      <c r="J1998" s="66"/>
      <c r="K1998" s="66"/>
      <c r="L1998" s="66"/>
      <c r="M1998" s="50"/>
      <c r="N1998" s="67"/>
    </row>
    <row r="1999" ht="15.0" customHeight="1">
      <c r="A1999" s="51"/>
      <c r="B1999" s="50"/>
      <c r="C1999" s="50"/>
      <c r="D1999" s="50"/>
      <c r="E1999" s="50"/>
      <c r="F1999" s="50"/>
      <c r="G1999" s="52"/>
      <c r="H1999" s="51"/>
      <c r="I1999" s="51"/>
      <c r="J1999" s="66"/>
      <c r="K1999" s="66"/>
      <c r="L1999" s="66"/>
      <c r="M1999" s="50"/>
      <c r="N1999" s="67"/>
    </row>
    <row r="2000" ht="15.0" customHeight="1">
      <c r="A2000" s="51"/>
      <c r="B2000" s="50"/>
      <c r="C2000" s="50"/>
      <c r="D2000" s="50"/>
      <c r="E2000" s="50"/>
      <c r="F2000" s="50"/>
      <c r="G2000" s="52"/>
      <c r="H2000" s="51"/>
      <c r="I2000" s="51"/>
      <c r="J2000" s="66"/>
      <c r="K2000" s="66"/>
      <c r="L2000" s="66"/>
      <c r="M2000" s="50"/>
      <c r="N2000" s="67"/>
    </row>
    <row r="2001" ht="15.0" customHeight="1">
      <c r="A2001" s="51"/>
      <c r="B2001" s="50"/>
      <c r="C2001" s="50"/>
      <c r="D2001" s="50"/>
      <c r="E2001" s="50"/>
      <c r="F2001" s="50"/>
      <c r="G2001" s="52"/>
      <c r="H2001" s="51"/>
      <c r="I2001" s="51"/>
      <c r="J2001" s="66"/>
      <c r="K2001" s="66"/>
      <c r="L2001" s="66"/>
      <c r="M2001" s="50"/>
      <c r="N2001" s="67"/>
    </row>
    <row r="2002" ht="15.0" customHeight="1">
      <c r="A2002" s="51"/>
      <c r="B2002" s="50"/>
      <c r="C2002" s="50"/>
      <c r="D2002" s="50"/>
      <c r="E2002" s="50"/>
      <c r="F2002" s="50"/>
      <c r="G2002" s="52"/>
      <c r="H2002" s="51"/>
      <c r="I2002" s="51"/>
      <c r="J2002" s="66"/>
      <c r="K2002" s="66"/>
      <c r="L2002" s="66"/>
      <c r="M2002" s="50"/>
      <c r="N2002" s="67"/>
    </row>
    <row r="2003" ht="15.0" customHeight="1">
      <c r="A2003" s="51"/>
      <c r="B2003" s="50"/>
      <c r="C2003" s="50"/>
      <c r="D2003" s="50"/>
      <c r="E2003" s="50"/>
      <c r="F2003" s="50"/>
      <c r="G2003" s="52"/>
      <c r="H2003" s="51"/>
      <c r="I2003" s="51"/>
      <c r="J2003" s="66"/>
      <c r="K2003" s="66"/>
      <c r="L2003" s="66"/>
      <c r="M2003" s="50"/>
      <c r="N2003" s="67"/>
    </row>
  </sheetData>
  <autoFilter ref="$A$6:$M$1003">
    <filterColumn colId="1">
      <filters>
        <filter val="TERMOFUSOR"/>
      </filters>
    </filterColumn>
    <sortState ref="A6:M1003">
      <sortCondition ref="J6:J1003"/>
    </sortState>
  </autoFilter>
  <mergeCells count="2">
    <mergeCell ref="B1:M2"/>
    <mergeCell ref="B3:M4"/>
  </mergeCells>
  <conditionalFormatting sqref="G7:G2003">
    <cfRule type="expression" dxfId="3" priority="1">
      <formula>$H7="S"</formula>
    </cfRule>
  </conditionalFormatting>
  <conditionalFormatting sqref="L7:L2003">
    <cfRule type="expression" dxfId="4" priority="2">
      <formula>$L7="MANUTENÇÃO"</formula>
    </cfRule>
  </conditionalFormatting>
  <conditionalFormatting sqref="L7:L2003">
    <cfRule type="expression" dxfId="5" priority="3">
      <formula>$L7="PENDENTE-PROCURAR"</formula>
    </cfRule>
  </conditionalFormatting>
  <conditionalFormatting sqref="L7:L2003">
    <cfRule type="expression" dxfId="6" priority="4">
      <formula>$L7="EM OBRA"</formula>
    </cfRule>
  </conditionalFormatting>
  <conditionalFormatting sqref="L7:L2003">
    <cfRule type="expression" dxfId="7" priority="5">
      <formula>$L7="FURTADO"</formula>
    </cfRule>
  </conditionalFormatting>
  <conditionalFormatting sqref="L7:L2003">
    <cfRule type="expression" dxfId="8" priority="6">
      <formula>$L7="BAIXADO"</formula>
    </cfRule>
  </conditionalFormatting>
  <dataValidations>
    <dataValidation type="list" allowBlank="1" sqref="B7:B2003">
      <formula1>Listas!$A$2:$A$27</formula1>
    </dataValidation>
    <dataValidation type="list" allowBlank="1" sqref="H7:H2003">
      <formula1>Listas!$H$2:$H$3</formula1>
    </dataValidation>
  </dataValidations>
  <printOptions horizontalCentered="1"/>
  <pageMargins bottom="0.4" footer="0.0" header="0.0" left="0.3" right="0.3" top="0.4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2" width="12.0"/>
    <col customWidth="1" min="3" max="3" width="26.0"/>
    <col customWidth="1" min="4" max="5" width="20.0"/>
    <col customWidth="1" min="6" max="6" width="22.86"/>
    <col customWidth="1" min="7" max="7" width="16.57"/>
    <col customWidth="1" min="8" max="8" width="30.0"/>
    <col customWidth="1" min="9" max="26" width="8.71"/>
  </cols>
  <sheetData>
    <row r="1" ht="18.75" customHeight="1">
      <c r="A1" s="1"/>
      <c r="B1" s="2" t="s">
        <v>11</v>
      </c>
      <c r="C1" s="3"/>
      <c r="D1" s="3"/>
      <c r="E1" s="3"/>
      <c r="F1" s="3"/>
      <c r="G1" s="3"/>
      <c r="H1" s="4"/>
    </row>
    <row r="2" ht="18.75" customHeight="1">
      <c r="A2" s="1"/>
      <c r="B2" s="5"/>
      <c r="C2" s="6"/>
      <c r="D2" s="6"/>
      <c r="E2" s="6"/>
      <c r="F2" s="6"/>
      <c r="G2" s="6"/>
      <c r="H2" s="7"/>
    </row>
    <row r="3" ht="18.75" customHeight="1">
      <c r="A3" s="1"/>
      <c r="B3" s="8" t="s">
        <v>27</v>
      </c>
      <c r="C3" s="3"/>
      <c r="D3" s="3"/>
      <c r="E3" s="3"/>
      <c r="F3" s="3"/>
      <c r="G3" s="3"/>
      <c r="H3" s="4"/>
    </row>
    <row r="4" ht="18.75" customHeight="1">
      <c r="A4" s="1"/>
      <c r="B4" s="5"/>
      <c r="C4" s="6"/>
      <c r="D4" s="6"/>
      <c r="E4" s="6"/>
      <c r="F4" s="6"/>
      <c r="G4" s="6"/>
      <c r="H4" s="7"/>
    </row>
    <row r="5" ht="14.25" customHeight="1"/>
    <row r="6" ht="30.0" customHeight="1">
      <c r="A6" s="10" t="s">
        <v>33</v>
      </c>
      <c r="B6" s="10" t="s">
        <v>5</v>
      </c>
      <c r="C6" s="10" t="s">
        <v>37</v>
      </c>
      <c r="D6" s="10" t="s">
        <v>39</v>
      </c>
      <c r="E6" s="10" t="s">
        <v>42</v>
      </c>
      <c r="F6" s="10" t="s">
        <v>44</v>
      </c>
      <c r="G6" s="10" t="s">
        <v>19</v>
      </c>
      <c r="H6" s="10" t="s">
        <v>22</v>
      </c>
    </row>
    <row r="7" ht="15.0" customHeight="1">
      <c r="A7" s="19">
        <v>46235.0</v>
      </c>
      <c r="B7" s="15" t="s">
        <v>25</v>
      </c>
      <c r="C7" s="26" t="str">
        <f t="array" ref="C7">IFERROR(INDEX('Patrimônio'!$C$7:$C$1003,MATCH($B7,'Patrimônio'!$A$7:$A$1003,0)),"")</f>
        <v>Parafusadeira</v>
      </c>
      <c r="D7" s="17" t="s">
        <v>74</v>
      </c>
      <c r="E7" s="17" t="s">
        <v>75</v>
      </c>
      <c r="F7" s="15" t="s">
        <v>80</v>
      </c>
      <c r="G7" s="15" t="s">
        <v>83</v>
      </c>
      <c r="H7" s="28" t="s">
        <v>88</v>
      </c>
    </row>
    <row r="8" ht="15.0" customHeight="1">
      <c r="A8" s="19">
        <v>46235.0</v>
      </c>
      <c r="B8" s="15" t="s">
        <v>96</v>
      </c>
      <c r="C8" s="26" t="str">
        <f t="array" ref="C8">IFERROR(INDEX('Patrimônio'!$C$7:$C$1003,MATCH($B8,'Patrimônio'!$A$7:$A$1003,0)),"")</f>
        <v>Parafusadeira</v>
      </c>
      <c r="D8" s="17" t="s">
        <v>74</v>
      </c>
      <c r="E8" s="17" t="s">
        <v>127</v>
      </c>
      <c r="F8" s="15" t="s">
        <v>80</v>
      </c>
      <c r="G8" s="15" t="s">
        <v>83</v>
      </c>
      <c r="H8" s="17" t="s">
        <v>88</v>
      </c>
    </row>
    <row r="9" ht="15.0" customHeight="1">
      <c r="A9" s="19">
        <v>46235.0</v>
      </c>
      <c r="B9" s="15" t="s">
        <v>133</v>
      </c>
      <c r="C9" s="26" t="str">
        <f t="array" ref="C9">IFERROR(INDEX('Patrimônio'!$C$7:$C$1003,MATCH($B9,'Patrimônio'!$A$7:$A$1003,0)),"")</f>
        <v>Parafusadeira</v>
      </c>
      <c r="D9" s="17"/>
      <c r="E9" s="17" t="s">
        <v>127</v>
      </c>
      <c r="F9" s="15" t="s">
        <v>135</v>
      </c>
      <c r="G9" s="15" t="s">
        <v>83</v>
      </c>
      <c r="H9" s="17"/>
    </row>
    <row r="10" ht="15.0" customHeight="1">
      <c r="A10" s="19">
        <v>46235.0</v>
      </c>
      <c r="B10" s="15" t="s">
        <v>136</v>
      </c>
      <c r="C10" s="26" t="str">
        <f t="array" ref="C10">IFERROR(INDEX('Patrimônio'!$C$7:$C$1003,MATCH($B10,'Patrimônio'!$A$7:$A$1003,0)),"")</f>
        <v>Parafusadeira</v>
      </c>
      <c r="D10" s="17" t="s">
        <v>74</v>
      </c>
      <c r="E10" s="17" t="s">
        <v>127</v>
      </c>
      <c r="F10" s="15" t="s">
        <v>80</v>
      </c>
      <c r="G10" s="15" t="s">
        <v>83</v>
      </c>
      <c r="H10" s="17" t="s">
        <v>88</v>
      </c>
    </row>
    <row r="11" ht="15.0" customHeight="1">
      <c r="A11" s="19">
        <v>46235.0</v>
      </c>
      <c r="B11" s="15" t="s">
        <v>139</v>
      </c>
      <c r="C11" s="26" t="str">
        <f t="array" ref="C11">IFERROR(INDEX('Patrimônio'!$C$7:$C$1003,MATCH($B11,'Patrimônio'!$A$7:$A$1003,0)),"")</f>
        <v>Parafusadeira</v>
      </c>
      <c r="D11" s="17" t="s">
        <v>74</v>
      </c>
      <c r="E11" s="17" t="s">
        <v>127</v>
      </c>
      <c r="F11" s="15" t="s">
        <v>80</v>
      </c>
      <c r="G11" s="15" t="s">
        <v>83</v>
      </c>
      <c r="H11" s="17" t="s">
        <v>88</v>
      </c>
    </row>
    <row r="12" ht="15.0" customHeight="1">
      <c r="A12" s="19">
        <v>46235.0</v>
      </c>
      <c r="B12" s="15" t="s">
        <v>141</v>
      </c>
      <c r="C12" s="26" t="str">
        <f t="array" ref="C12">IFERROR(INDEX('Patrimônio'!$C$7:$C$1003,MATCH($B12,'Patrimônio'!$A$7:$A$1003,0)),"")</f>
        <v>Parafusadeira</v>
      </c>
      <c r="D12" s="17" t="s">
        <v>74</v>
      </c>
      <c r="E12" s="17" t="s">
        <v>127</v>
      </c>
      <c r="F12" s="15" t="s">
        <v>80</v>
      </c>
      <c r="G12" s="15" t="s">
        <v>83</v>
      </c>
      <c r="H12" s="17" t="s">
        <v>88</v>
      </c>
    </row>
    <row r="13" ht="15.0" customHeight="1">
      <c r="A13" s="19">
        <v>46235.0</v>
      </c>
      <c r="B13" s="15" t="s">
        <v>145</v>
      </c>
      <c r="C13" s="26" t="str">
        <f t="array" ref="C13">IFERROR(INDEX('Patrimônio'!$C$7:$C$1003,MATCH($B13,'Patrimônio'!$A$7:$A$1003,0)),"")</f>
        <v>Parafusadeira</v>
      </c>
      <c r="D13" s="17" t="s">
        <v>74</v>
      </c>
      <c r="E13" s="17" t="s">
        <v>120</v>
      </c>
      <c r="F13" s="15" t="s">
        <v>80</v>
      </c>
      <c r="G13" s="15" t="s">
        <v>83</v>
      </c>
      <c r="H13" s="17" t="s">
        <v>88</v>
      </c>
    </row>
    <row r="14" ht="15.0" customHeight="1">
      <c r="A14" s="19">
        <v>46235.0</v>
      </c>
      <c r="B14" s="15" t="s">
        <v>147</v>
      </c>
      <c r="C14" s="26" t="str">
        <f t="array" ref="C14">IFERROR(INDEX('Patrimônio'!$C$7:$C$1003,MATCH($B14,'Patrimônio'!$A$7:$A$1003,0)),"")</f>
        <v>Parafusadeira</v>
      </c>
      <c r="D14" s="17" t="s">
        <v>74</v>
      </c>
      <c r="E14" s="17" t="s">
        <v>148</v>
      </c>
      <c r="F14" s="15" t="s">
        <v>80</v>
      </c>
      <c r="G14" s="15" t="s">
        <v>83</v>
      </c>
      <c r="H14" s="17" t="s">
        <v>88</v>
      </c>
    </row>
    <row r="15" ht="15.0" customHeight="1">
      <c r="A15" s="19">
        <v>46235.0</v>
      </c>
      <c r="B15" s="15" t="s">
        <v>149</v>
      </c>
      <c r="C15" s="26" t="str">
        <f t="array" ref="C15">IFERROR(INDEX('Patrimônio'!$C$7:$C$1003,MATCH($B15,'Patrimônio'!$A$7:$A$1003,0)),"")</f>
        <v>Parafusadeira</v>
      </c>
      <c r="D15" s="17" t="s">
        <v>74</v>
      </c>
      <c r="E15" s="17" t="s">
        <v>151</v>
      </c>
      <c r="F15" s="15" t="s">
        <v>80</v>
      </c>
      <c r="G15" s="15" t="s">
        <v>83</v>
      </c>
      <c r="H15" s="17" t="s">
        <v>88</v>
      </c>
    </row>
    <row r="16" ht="15.0" customHeight="1">
      <c r="A16" s="19">
        <v>46235.0</v>
      </c>
      <c r="B16" s="15" t="s">
        <v>152</v>
      </c>
      <c r="C16" s="26" t="str">
        <f t="array" ref="C16">IFERROR(INDEX('Patrimônio'!$C$7:$C$1003,MATCH($B16,'Patrimônio'!$A$7:$A$1003,0)),"")</f>
        <v>Parafusadeira</v>
      </c>
      <c r="D16" s="17" t="s">
        <v>74</v>
      </c>
      <c r="E16" s="17" t="s">
        <v>154</v>
      </c>
      <c r="F16" s="15" t="s">
        <v>80</v>
      </c>
      <c r="G16" s="15" t="s">
        <v>83</v>
      </c>
      <c r="H16" s="17" t="s">
        <v>88</v>
      </c>
    </row>
    <row r="17" ht="15.0" customHeight="1">
      <c r="A17" s="19">
        <v>46235.0</v>
      </c>
      <c r="B17" s="15" t="s">
        <v>155</v>
      </c>
      <c r="C17" s="26" t="str">
        <f t="array" ref="C17">IFERROR(INDEX('Patrimônio'!$C$7:$C$1003,MATCH($B17,'Patrimônio'!$A$7:$A$1003,0)),"")</f>
        <v>Parafusadeira</v>
      </c>
      <c r="D17" s="17" t="s">
        <v>74</v>
      </c>
      <c r="E17" s="17" t="s">
        <v>151</v>
      </c>
      <c r="F17" s="15" t="s">
        <v>80</v>
      </c>
      <c r="G17" s="15" t="s">
        <v>83</v>
      </c>
      <c r="H17" s="17" t="s">
        <v>88</v>
      </c>
    </row>
    <row r="18" ht="15.0" customHeight="1">
      <c r="A18" s="19">
        <v>46235.0</v>
      </c>
      <c r="B18" s="15" t="s">
        <v>156</v>
      </c>
      <c r="C18" s="26" t="str">
        <f t="array" ref="C18">IFERROR(INDEX('Patrimônio'!$C$7:$C$1003,MATCH($B18,'Patrimônio'!$A$7:$A$1003,0)),"")</f>
        <v>Parafusadeira</v>
      </c>
      <c r="D18" s="17" t="s">
        <v>74</v>
      </c>
      <c r="E18" s="17" t="s">
        <v>159</v>
      </c>
      <c r="F18" s="15" t="s">
        <v>80</v>
      </c>
      <c r="G18" s="15" t="s">
        <v>83</v>
      </c>
      <c r="H18" s="17" t="s">
        <v>88</v>
      </c>
    </row>
    <row r="19" ht="15.0" customHeight="1">
      <c r="A19" s="19">
        <v>46235.0</v>
      </c>
      <c r="B19" s="15" t="s">
        <v>160</v>
      </c>
      <c r="C19" s="26" t="str">
        <f t="array" ref="C19">IFERROR(INDEX('Patrimônio'!$C$7:$C$1003,MATCH($B19,'Patrimônio'!$A$7:$A$1003,0)),"")</f>
        <v>Parafusadeira</v>
      </c>
      <c r="D19" s="17" t="s">
        <v>74</v>
      </c>
      <c r="E19" s="17" t="s">
        <v>161</v>
      </c>
      <c r="F19" s="15" t="s">
        <v>80</v>
      </c>
      <c r="G19" s="15" t="s">
        <v>83</v>
      </c>
      <c r="H19" s="17" t="s">
        <v>88</v>
      </c>
    </row>
    <row r="20" ht="15.0" customHeight="1">
      <c r="A20" s="19">
        <v>46235.0</v>
      </c>
      <c r="B20" s="15" t="s">
        <v>156</v>
      </c>
      <c r="C20" s="26" t="str">
        <f t="array" ref="C20">IFERROR(INDEX('Patrimônio'!$C$7:$C$1003,MATCH($B20,'Patrimônio'!$A$7:$A$1003,0)),"")</f>
        <v>Parafusadeira</v>
      </c>
      <c r="D20" s="17" t="s">
        <v>74</v>
      </c>
      <c r="E20" s="17" t="s">
        <v>163</v>
      </c>
      <c r="F20" s="15" t="s">
        <v>80</v>
      </c>
      <c r="G20" s="15" t="s">
        <v>83</v>
      </c>
      <c r="H20" s="17" t="s">
        <v>88</v>
      </c>
    </row>
    <row r="21" ht="15.0" customHeight="1">
      <c r="A21" s="19">
        <v>46235.0</v>
      </c>
      <c r="B21" s="15" t="s">
        <v>164</v>
      </c>
      <c r="C21" s="26" t="str">
        <f t="array" ref="C21">IFERROR(INDEX('Patrimônio'!$C$7:$C$1003,MATCH($B21,'Patrimônio'!$A$7:$A$1003,0)),"")</f>
        <v>Parafusadeira</v>
      </c>
      <c r="D21" s="17" t="s">
        <v>74</v>
      </c>
      <c r="E21" s="17" t="s">
        <v>166</v>
      </c>
      <c r="F21" s="15" t="s">
        <v>80</v>
      </c>
      <c r="G21" s="15" t="s">
        <v>83</v>
      </c>
      <c r="H21" s="17" t="s">
        <v>88</v>
      </c>
    </row>
    <row r="22" ht="15.0" customHeight="1">
      <c r="A22" s="19">
        <v>46235.0</v>
      </c>
      <c r="B22" s="15" t="s">
        <v>63</v>
      </c>
      <c r="C22" s="26" t="str">
        <f t="array" ref="C22">IFERROR(INDEX('Patrimônio'!$C$7:$C$1003,MATCH($B22,'Patrimônio'!$A$7:$A$1003,0)),"")</f>
        <v>Parafusadeira</v>
      </c>
      <c r="D22" s="17" t="s">
        <v>74</v>
      </c>
      <c r="E22" s="17" t="s">
        <v>120</v>
      </c>
      <c r="F22" s="15" t="s">
        <v>80</v>
      </c>
      <c r="G22" s="15" t="s">
        <v>83</v>
      </c>
      <c r="H22" s="17" t="s">
        <v>88</v>
      </c>
    </row>
    <row r="23" ht="15.0" customHeight="1">
      <c r="A23" s="19">
        <v>46235.0</v>
      </c>
      <c r="B23" s="15" t="s">
        <v>168</v>
      </c>
      <c r="C23" s="26" t="str">
        <f t="array" ref="C23">IFERROR(INDEX('Patrimônio'!$C$7:$C$1003,MATCH($B23,'Patrimônio'!$A$7:$A$1003,0)),"")</f>
        <v>Parafusadeira</v>
      </c>
      <c r="D23" s="17" t="s">
        <v>74</v>
      </c>
      <c r="E23" s="17" t="s">
        <v>140</v>
      </c>
      <c r="F23" s="15" t="s">
        <v>80</v>
      </c>
      <c r="G23" s="15" t="s">
        <v>83</v>
      </c>
      <c r="H23" s="17" t="s">
        <v>88</v>
      </c>
    </row>
    <row r="24" ht="15.0" customHeight="1">
      <c r="A24" s="19">
        <v>46235.0</v>
      </c>
      <c r="B24" s="15" t="s">
        <v>171</v>
      </c>
      <c r="C24" s="26" t="str">
        <f t="array" ref="C24">IFERROR(INDEX('Patrimônio'!$C$7:$C$1003,MATCH($B24,'Patrimônio'!$A$7:$A$1003,0)),"")</f>
        <v>Parafusadeira</v>
      </c>
      <c r="D24" s="17" t="s">
        <v>74</v>
      </c>
      <c r="E24" s="17" t="s">
        <v>142</v>
      </c>
      <c r="F24" s="15" t="s">
        <v>80</v>
      </c>
      <c r="G24" s="15" t="s">
        <v>83</v>
      </c>
      <c r="H24" s="17" t="s">
        <v>88</v>
      </c>
    </row>
    <row r="25" ht="15.0" customHeight="1">
      <c r="A25" s="19">
        <v>46235.0</v>
      </c>
      <c r="B25" s="15" t="s">
        <v>173</v>
      </c>
      <c r="C25" s="26" t="str">
        <f t="array" ref="C25">IFERROR(INDEX('Patrimônio'!$C$7:$C$1003,MATCH($B25,'Patrimônio'!$A$7:$A$1003,0)),"")</f>
        <v>Parafusadeira</v>
      </c>
      <c r="D25" s="17" t="s">
        <v>74</v>
      </c>
      <c r="E25" s="17" t="s">
        <v>166</v>
      </c>
      <c r="F25" s="15" t="s">
        <v>80</v>
      </c>
      <c r="G25" s="15" t="s">
        <v>83</v>
      </c>
      <c r="H25" s="17" t="s">
        <v>88</v>
      </c>
    </row>
    <row r="26" ht="15.0" customHeight="1">
      <c r="A26" s="19">
        <v>46235.0</v>
      </c>
      <c r="B26" s="15" t="s">
        <v>174</v>
      </c>
      <c r="C26" s="26" t="str">
        <f t="array" ref="C26">IFERROR(INDEX('Patrimônio'!$C$7:$C$1003,MATCH($B26,'Patrimônio'!$A$7:$A$1003,0)),"")</f>
        <v>Rompedor</v>
      </c>
      <c r="D26" s="17" t="s">
        <v>74</v>
      </c>
      <c r="E26" s="17" t="s">
        <v>140</v>
      </c>
      <c r="F26" s="15" t="s">
        <v>80</v>
      </c>
      <c r="G26" s="15" t="s">
        <v>83</v>
      </c>
      <c r="H26" s="17" t="s">
        <v>88</v>
      </c>
    </row>
    <row r="27" ht="15.0" customHeight="1">
      <c r="A27" s="19">
        <v>46235.0</v>
      </c>
      <c r="B27" s="15" t="s">
        <v>176</v>
      </c>
      <c r="C27" s="26" t="str">
        <f t="array" ref="C27">IFERROR(INDEX('Patrimônio'!$C$7:$C$1003,MATCH($B27,'Patrimônio'!$A$7:$A$1003,0)),"")</f>
        <v>Rompedor</v>
      </c>
      <c r="D27" s="17"/>
      <c r="E27" s="17"/>
      <c r="F27" s="15" t="s">
        <v>165</v>
      </c>
      <c r="G27" s="15" t="s">
        <v>83</v>
      </c>
      <c r="H27" s="17" t="s">
        <v>177</v>
      </c>
    </row>
    <row r="28" ht="15.0" customHeight="1">
      <c r="A28" s="19">
        <v>46235.0</v>
      </c>
      <c r="B28" s="15" t="s">
        <v>179</v>
      </c>
      <c r="C28" s="26" t="str">
        <f t="array" ref="C28">IFERROR(INDEX('Patrimônio'!$C$7:$C$1003,MATCH($B28,'Patrimônio'!$A$7:$A$1003,0)),"")</f>
        <v>Rompedor</v>
      </c>
      <c r="D28" s="17" t="s">
        <v>74</v>
      </c>
      <c r="E28" s="17" t="s">
        <v>181</v>
      </c>
      <c r="F28" s="15" t="s">
        <v>80</v>
      </c>
      <c r="G28" s="15" t="s">
        <v>83</v>
      </c>
      <c r="H28" s="17" t="s">
        <v>88</v>
      </c>
    </row>
    <row r="29" ht="15.0" customHeight="1">
      <c r="A29" s="19">
        <v>46235.0</v>
      </c>
      <c r="B29" s="15" t="s">
        <v>182</v>
      </c>
      <c r="C29" s="26" t="str">
        <f t="array" ref="C29">IFERROR(INDEX('Patrimônio'!$C$7:$C$1003,MATCH($B29,'Patrimônio'!$A$7:$A$1003,0)),"")</f>
        <v>Rompedor</v>
      </c>
      <c r="D29" s="17" t="s">
        <v>74</v>
      </c>
      <c r="E29" s="17" t="s">
        <v>148</v>
      </c>
      <c r="F29" s="15" t="s">
        <v>80</v>
      </c>
      <c r="G29" s="15" t="s">
        <v>83</v>
      </c>
      <c r="H29" s="17" t="s">
        <v>88</v>
      </c>
    </row>
    <row r="30" ht="15.0" customHeight="1">
      <c r="A30" s="19">
        <v>46235.0</v>
      </c>
      <c r="B30" s="15" t="s">
        <v>138</v>
      </c>
      <c r="C30" s="26" t="str">
        <f t="array" ref="C30">IFERROR(INDEX('Patrimônio'!$C$7:$C$1003,MATCH($B30,'Patrimônio'!$A$7:$A$1003,0)),"")</f>
        <v>Rompedor</v>
      </c>
      <c r="D30" s="17" t="s">
        <v>74</v>
      </c>
      <c r="E30" s="17" t="s">
        <v>140</v>
      </c>
      <c r="F30" s="15" t="s">
        <v>80</v>
      </c>
      <c r="G30" s="15" t="s">
        <v>83</v>
      </c>
      <c r="H30" s="17" t="s">
        <v>88</v>
      </c>
    </row>
    <row r="31" ht="15.0" customHeight="1">
      <c r="A31" s="19">
        <v>46235.0</v>
      </c>
      <c r="B31" s="15" t="s">
        <v>185</v>
      </c>
      <c r="C31" s="26" t="str">
        <f t="array" ref="C31">IFERROR(INDEX('Patrimônio'!$C$7:$C$1003,MATCH($B31,'Patrimônio'!$A$7:$A$1003,0)),"")</f>
        <v>Rompedor</v>
      </c>
      <c r="D31" s="17" t="s">
        <v>74</v>
      </c>
      <c r="E31" s="17" t="s">
        <v>127</v>
      </c>
      <c r="F31" s="15" t="s">
        <v>80</v>
      </c>
      <c r="G31" s="15" t="s">
        <v>83</v>
      </c>
      <c r="H31" s="17" t="s">
        <v>88</v>
      </c>
    </row>
    <row r="32" ht="15.0" customHeight="1">
      <c r="A32" s="19">
        <v>46235.0</v>
      </c>
      <c r="B32" s="15" t="s">
        <v>186</v>
      </c>
      <c r="C32" s="26" t="str">
        <f t="array" ref="C32">IFERROR(INDEX('Patrimônio'!$C$7:$C$1003,MATCH($B32,'Patrimônio'!$A$7:$A$1003,0)),"")</f>
        <v>Rompedor</v>
      </c>
      <c r="D32" s="17" t="s">
        <v>74</v>
      </c>
      <c r="E32" s="17" t="s">
        <v>154</v>
      </c>
      <c r="F32" s="15" t="s">
        <v>80</v>
      </c>
      <c r="G32" s="15" t="s">
        <v>83</v>
      </c>
      <c r="H32" s="17" t="s">
        <v>88</v>
      </c>
    </row>
    <row r="33" ht="15.0" customHeight="1">
      <c r="A33" s="19">
        <v>46235.0</v>
      </c>
      <c r="B33" s="15" t="s">
        <v>188</v>
      </c>
      <c r="C33" s="26" t="str">
        <f t="array" ref="C33">IFERROR(INDEX('Patrimônio'!$C$7:$C$1003,MATCH($B33,'Patrimônio'!$A$7:$A$1003,0)),"")</f>
        <v>Rompedor</v>
      </c>
      <c r="D33" s="17" t="s">
        <v>74</v>
      </c>
      <c r="E33" s="17" t="s">
        <v>183</v>
      </c>
      <c r="F33" s="15" t="s">
        <v>80</v>
      </c>
      <c r="G33" s="15" t="s">
        <v>83</v>
      </c>
      <c r="H33" s="17" t="s">
        <v>88</v>
      </c>
    </row>
    <row r="34" ht="15.0" customHeight="1">
      <c r="A34" s="19">
        <v>46235.0</v>
      </c>
      <c r="B34" s="15" t="s">
        <v>191</v>
      </c>
      <c r="C34" s="26" t="str">
        <f t="array" ref="C34">IFERROR(INDEX('Patrimônio'!$C$7:$C$1003,MATCH($B34,'Patrimônio'!$A$7:$A$1003,0)),"")</f>
        <v>Rompedor</v>
      </c>
      <c r="D34" s="17" t="s">
        <v>74</v>
      </c>
      <c r="E34" s="17" t="s">
        <v>150</v>
      </c>
      <c r="F34" s="15" t="s">
        <v>80</v>
      </c>
      <c r="G34" s="15" t="s">
        <v>83</v>
      </c>
      <c r="H34" s="17" t="s">
        <v>88</v>
      </c>
    </row>
    <row r="35" ht="15.0" customHeight="1">
      <c r="A35" s="19">
        <v>46235.0</v>
      </c>
      <c r="B35" s="15" t="s">
        <v>193</v>
      </c>
      <c r="C35" s="26" t="str">
        <f t="array" ref="C35">IFERROR(INDEX('Patrimônio'!$C$7:$C$1003,MATCH($B35,'Patrimônio'!$A$7:$A$1003,0)),"")</f>
        <v>Rompedor</v>
      </c>
      <c r="D35" s="17" t="s">
        <v>74</v>
      </c>
      <c r="E35" s="17" t="s">
        <v>166</v>
      </c>
      <c r="F35" s="15" t="s">
        <v>80</v>
      </c>
      <c r="G35" s="15" t="s">
        <v>83</v>
      </c>
      <c r="H35" s="17" t="s">
        <v>88</v>
      </c>
    </row>
    <row r="36" ht="15.0" customHeight="1">
      <c r="A36" s="19">
        <v>46235.0</v>
      </c>
      <c r="B36" s="15" t="s">
        <v>199</v>
      </c>
      <c r="C36" s="26" t="str">
        <f t="array" ref="C36">IFERROR(INDEX('Patrimônio'!$C$7:$C$1003,MATCH($B36,'Patrimônio'!$A$7:$A$1003,0)),"")</f>
        <v>Rompedor</v>
      </c>
      <c r="D36" s="17" t="s">
        <v>74</v>
      </c>
      <c r="E36" s="17" t="s">
        <v>142</v>
      </c>
      <c r="F36" s="15" t="s">
        <v>80</v>
      </c>
      <c r="G36" s="15" t="s">
        <v>83</v>
      </c>
      <c r="H36" s="17" t="s">
        <v>88</v>
      </c>
    </row>
    <row r="37" ht="15.0" customHeight="1">
      <c r="A37" s="19">
        <v>46235.0</v>
      </c>
      <c r="B37" s="15" t="s">
        <v>175</v>
      </c>
      <c r="C37" s="26" t="str">
        <f t="array" ref="C37">IFERROR(INDEX('Patrimônio'!$C$7:$C$1003,MATCH($B37,'Patrimônio'!$A$7:$A$1003,0)),"")</f>
        <v>Rompedor</v>
      </c>
      <c r="D37" s="17" t="s">
        <v>74</v>
      </c>
      <c r="E37" s="17" t="s">
        <v>154</v>
      </c>
      <c r="F37" s="15" t="s">
        <v>80</v>
      </c>
      <c r="G37" s="15" t="s">
        <v>83</v>
      </c>
      <c r="H37" s="17" t="s">
        <v>88</v>
      </c>
    </row>
    <row r="38" ht="15.0" customHeight="1">
      <c r="A38" s="19">
        <v>46235.0</v>
      </c>
      <c r="B38" s="15" t="s">
        <v>207</v>
      </c>
      <c r="C38" s="26" t="str">
        <f t="array" ref="C38">IFERROR(INDEX('Patrimônio'!$C$7:$C$1003,MATCH($B38,'Patrimônio'!$A$7:$A$1003,0)),"")</f>
        <v>Esmerilhadeira</v>
      </c>
      <c r="D38" s="17" t="s">
        <v>74</v>
      </c>
      <c r="E38" s="17" t="s">
        <v>75</v>
      </c>
      <c r="F38" s="15" t="s">
        <v>80</v>
      </c>
      <c r="G38" s="15" t="s">
        <v>83</v>
      </c>
      <c r="H38" s="17" t="s">
        <v>88</v>
      </c>
    </row>
    <row r="39" ht="15.0" customHeight="1">
      <c r="A39" s="19">
        <v>46235.0</v>
      </c>
      <c r="B39" s="15" t="s">
        <v>211</v>
      </c>
      <c r="C39" s="26" t="str">
        <f t="array" ref="C39">IFERROR(INDEX('Patrimônio'!$C$7:$C$1003,MATCH($B39,'Patrimônio'!$A$7:$A$1003,0)),"")</f>
        <v>Esmerilhadeira</v>
      </c>
      <c r="D39" s="17" t="s">
        <v>74</v>
      </c>
      <c r="E39" s="17" t="s">
        <v>154</v>
      </c>
      <c r="F39" s="15" t="s">
        <v>80</v>
      </c>
      <c r="G39" s="15" t="s">
        <v>83</v>
      </c>
      <c r="H39" s="17" t="s">
        <v>88</v>
      </c>
    </row>
    <row r="40" ht="15.0" customHeight="1">
      <c r="A40" s="19">
        <v>46235.0</v>
      </c>
      <c r="B40" s="15" t="s">
        <v>214</v>
      </c>
      <c r="C40" s="26" t="str">
        <f t="array" ref="C40">IFERROR(INDEX('Patrimônio'!$C$7:$C$1003,MATCH($B40,'Patrimônio'!$A$7:$A$1003,0)),"")</f>
        <v>Esmerilhadeira</v>
      </c>
      <c r="D40" s="17" t="s">
        <v>74</v>
      </c>
      <c r="E40" s="17" t="s">
        <v>150</v>
      </c>
      <c r="F40" s="15" t="s">
        <v>80</v>
      </c>
      <c r="G40" s="15" t="s">
        <v>83</v>
      </c>
      <c r="H40" s="17" t="s">
        <v>88</v>
      </c>
    </row>
    <row r="41" ht="15.0" customHeight="1">
      <c r="A41" s="19">
        <v>46235.0</v>
      </c>
      <c r="B41" s="15" t="s">
        <v>216</v>
      </c>
      <c r="C41" s="26" t="str">
        <f t="array" ref="C41">IFERROR(INDEX('Patrimônio'!$C$7:$C$1003,MATCH($B41,'Patrimônio'!$A$7:$A$1003,0)),"")</f>
        <v>Esmerilhadeira</v>
      </c>
      <c r="D41" s="17" t="s">
        <v>74</v>
      </c>
      <c r="E41" s="17" t="s">
        <v>161</v>
      </c>
      <c r="F41" s="15" t="s">
        <v>80</v>
      </c>
      <c r="G41" s="15" t="s">
        <v>83</v>
      </c>
      <c r="H41" s="17" t="s">
        <v>88</v>
      </c>
    </row>
    <row r="42" ht="15.0" customHeight="1">
      <c r="A42" s="19">
        <v>46235.0</v>
      </c>
      <c r="B42" s="15" t="s">
        <v>220</v>
      </c>
      <c r="C42" s="26" t="str">
        <f t="array" ref="C42">IFERROR(INDEX('Patrimônio'!$C$7:$C$1003,MATCH($B42,'Patrimônio'!$A$7:$A$1003,0)),"")</f>
        <v>Esmerilhadeira</v>
      </c>
      <c r="D42" s="17" t="s">
        <v>74</v>
      </c>
      <c r="E42" s="17" t="s">
        <v>120</v>
      </c>
      <c r="F42" s="15" t="s">
        <v>80</v>
      </c>
      <c r="G42" s="15" t="s">
        <v>83</v>
      </c>
      <c r="H42" s="17" t="s">
        <v>88</v>
      </c>
    </row>
    <row r="43" ht="15.0" customHeight="1">
      <c r="A43" s="19">
        <v>46235.0</v>
      </c>
      <c r="B43" s="15" t="s">
        <v>223</v>
      </c>
      <c r="C43" s="26" t="str">
        <f t="array" ref="C43">IFERROR(INDEX('Patrimônio'!$C$7:$C$1003,MATCH($B43,'Patrimônio'!$A$7:$A$1003,0)),"")</f>
        <v>Serra Mármore</v>
      </c>
      <c r="D43" s="17" t="s">
        <v>74</v>
      </c>
      <c r="E43" s="17" t="s">
        <v>75</v>
      </c>
      <c r="F43" s="15" t="s">
        <v>80</v>
      </c>
      <c r="G43" s="15" t="s">
        <v>83</v>
      </c>
      <c r="H43" s="17" t="s">
        <v>88</v>
      </c>
    </row>
    <row r="44" ht="15.0" customHeight="1">
      <c r="A44" s="19">
        <v>46235.0</v>
      </c>
      <c r="B44" s="15" t="s">
        <v>225</v>
      </c>
      <c r="C44" s="26" t="str">
        <f t="array" ref="C44">IFERROR(INDEX('Patrimônio'!$C$7:$C$1003,MATCH($B44,'Patrimônio'!$A$7:$A$1003,0)),"")</f>
        <v>Serra Mármore</v>
      </c>
      <c r="D44" s="17"/>
      <c r="E44" s="17"/>
      <c r="F44" s="15" t="s">
        <v>165</v>
      </c>
      <c r="G44" s="15" t="s">
        <v>83</v>
      </c>
      <c r="H44" s="17" t="s">
        <v>177</v>
      </c>
    </row>
    <row r="45" ht="15.0" customHeight="1">
      <c r="A45" s="19">
        <v>46235.0</v>
      </c>
      <c r="B45" s="15" t="s">
        <v>227</v>
      </c>
      <c r="C45" s="26" t="str">
        <f t="array" ref="C45">IFERROR(INDEX('Patrimônio'!$C$7:$C$1003,MATCH($B45,'Patrimônio'!$A$7:$A$1003,0)),"")</f>
        <v>Serra Mármore</v>
      </c>
      <c r="D45" s="17" t="s">
        <v>74</v>
      </c>
      <c r="E45" s="17" t="s">
        <v>127</v>
      </c>
      <c r="F45" s="15" t="s">
        <v>80</v>
      </c>
      <c r="G45" s="15" t="s">
        <v>83</v>
      </c>
      <c r="H45" s="17" t="s">
        <v>88</v>
      </c>
    </row>
    <row r="46" ht="15.0" customHeight="1">
      <c r="A46" s="19">
        <v>46235.0</v>
      </c>
      <c r="B46" s="15" t="s">
        <v>228</v>
      </c>
      <c r="C46" s="26" t="str">
        <f t="array" ref="C46">IFERROR(INDEX('Patrimônio'!$C$7:$C$1003,MATCH($B46,'Patrimônio'!$A$7:$A$1003,0)),"")</f>
        <v>Serra Mármore</v>
      </c>
      <c r="D46" s="17" t="s">
        <v>74</v>
      </c>
      <c r="E46" s="17" t="s">
        <v>183</v>
      </c>
      <c r="F46" s="15" t="s">
        <v>80</v>
      </c>
      <c r="G46" s="15" t="s">
        <v>83</v>
      </c>
      <c r="H46" s="17" t="s">
        <v>88</v>
      </c>
    </row>
    <row r="47" ht="15.0" customHeight="1">
      <c r="A47" s="19">
        <v>46235.0</v>
      </c>
      <c r="B47" s="15" t="s">
        <v>231</v>
      </c>
      <c r="C47" s="26" t="str">
        <f t="array" ref="C47">IFERROR(INDEX('Patrimônio'!$C$7:$C$1003,MATCH($B47,'Patrimônio'!$A$7:$A$1003,0)),"")</f>
        <v>Serra Mármore</v>
      </c>
      <c r="D47" s="17" t="s">
        <v>74</v>
      </c>
      <c r="E47" s="17" t="s">
        <v>140</v>
      </c>
      <c r="F47" s="15" t="s">
        <v>80</v>
      </c>
      <c r="G47" s="15" t="s">
        <v>83</v>
      </c>
      <c r="H47" s="17" t="s">
        <v>88</v>
      </c>
    </row>
    <row r="48" ht="15.0" customHeight="1">
      <c r="A48" s="19">
        <v>46235.0</v>
      </c>
      <c r="B48" s="15" t="s">
        <v>232</v>
      </c>
      <c r="C48" s="26" t="str">
        <f t="array" ref="C48">IFERROR(INDEX('Patrimônio'!$C$7:$C$1003,MATCH($B48,'Patrimônio'!$A$7:$A$1003,0)),"")</f>
        <v>Serra Mármore</v>
      </c>
      <c r="D48" s="17" t="s">
        <v>74</v>
      </c>
      <c r="E48" s="17" t="s">
        <v>142</v>
      </c>
      <c r="F48" s="15" t="s">
        <v>80</v>
      </c>
      <c r="G48" s="15" t="s">
        <v>83</v>
      </c>
      <c r="H48" s="17" t="s">
        <v>88</v>
      </c>
    </row>
    <row r="49" ht="15.0" customHeight="1">
      <c r="A49" s="19">
        <v>46235.0</v>
      </c>
      <c r="B49" s="15" t="s">
        <v>234</v>
      </c>
      <c r="C49" s="26" t="str">
        <f t="array" ref="C49">IFERROR(INDEX('Patrimônio'!$C$7:$C$1003,MATCH($B49,'Patrimônio'!$A$7:$A$1003,0)),"")</f>
        <v>Serra Mármore</v>
      </c>
      <c r="D49" s="17" t="s">
        <v>74</v>
      </c>
      <c r="E49" s="17" t="s">
        <v>154</v>
      </c>
      <c r="F49" s="15" t="s">
        <v>80</v>
      </c>
      <c r="G49" s="15" t="s">
        <v>83</v>
      </c>
      <c r="H49" s="17" t="s">
        <v>88</v>
      </c>
    </row>
    <row r="50" ht="15.0" customHeight="1">
      <c r="A50" s="19">
        <v>46235.0</v>
      </c>
      <c r="B50" s="15" t="s">
        <v>235</v>
      </c>
      <c r="C50" s="26" t="str">
        <f t="array" ref="C50">IFERROR(INDEX('Patrimônio'!$C$7:$C$1003,MATCH($B50,'Patrimônio'!$A$7:$A$1003,0)),"")</f>
        <v>Martelete 5Kg</v>
      </c>
      <c r="D50" s="17" t="s">
        <v>74</v>
      </c>
      <c r="E50" s="17" t="s">
        <v>154</v>
      </c>
      <c r="F50" s="15" t="s">
        <v>80</v>
      </c>
      <c r="G50" s="15" t="s">
        <v>83</v>
      </c>
      <c r="H50" s="17" t="s">
        <v>88</v>
      </c>
    </row>
    <row r="51" ht="15.0" customHeight="1">
      <c r="A51" s="19">
        <v>46235.0</v>
      </c>
      <c r="B51" s="15" t="s">
        <v>236</v>
      </c>
      <c r="C51" s="26" t="str">
        <f t="array" ref="C51">IFERROR(INDEX('Patrimônio'!$C$7:$C$1003,MATCH($B51,'Patrimônio'!$A$7:$A$1003,0)),"")</f>
        <v>Martelete 5Kg</v>
      </c>
      <c r="D51" s="17" t="s">
        <v>74</v>
      </c>
      <c r="E51" s="17" t="s">
        <v>154</v>
      </c>
      <c r="F51" s="15" t="s">
        <v>80</v>
      </c>
      <c r="G51" s="15" t="s">
        <v>83</v>
      </c>
      <c r="H51" s="17" t="s">
        <v>88</v>
      </c>
    </row>
    <row r="52" ht="15.0" customHeight="1">
      <c r="A52" s="19">
        <v>46235.0</v>
      </c>
      <c r="B52" s="15" t="s">
        <v>237</v>
      </c>
      <c r="C52" s="26" t="str">
        <f t="array" ref="C52">IFERROR(INDEX('Patrimônio'!$C$7:$C$1003,MATCH($B52,'Patrimônio'!$A$7:$A$1003,0)),"")</f>
        <v>Martelete 5Kg</v>
      </c>
      <c r="D52" s="17" t="s">
        <v>74</v>
      </c>
      <c r="E52" s="17" t="s">
        <v>238</v>
      </c>
      <c r="F52" s="15" t="s">
        <v>80</v>
      </c>
      <c r="G52" s="15" t="s">
        <v>83</v>
      </c>
      <c r="H52" s="17" t="s">
        <v>88</v>
      </c>
    </row>
    <row r="53" ht="15.0" customHeight="1">
      <c r="A53" s="19">
        <v>46235.0</v>
      </c>
      <c r="B53" s="15" t="s">
        <v>239</v>
      </c>
      <c r="C53" s="26" t="str">
        <f t="array" ref="C53">IFERROR(INDEX('Patrimônio'!$C$7:$C$1003,MATCH($B53,'Patrimônio'!$A$7:$A$1003,0)),"")</f>
        <v>Martelete 5Kg</v>
      </c>
      <c r="D53" s="17" t="s">
        <v>74</v>
      </c>
      <c r="E53" s="17" t="s">
        <v>183</v>
      </c>
      <c r="F53" s="15" t="s">
        <v>80</v>
      </c>
      <c r="G53" s="15" t="s">
        <v>83</v>
      </c>
      <c r="H53" s="17" t="s">
        <v>88</v>
      </c>
    </row>
    <row r="54" ht="15.0" customHeight="1">
      <c r="A54" s="19">
        <v>46235.0</v>
      </c>
      <c r="B54" s="15" t="s">
        <v>242</v>
      </c>
      <c r="C54" s="26" t="str">
        <f t="array" ref="C54">IFERROR(INDEX('Patrimônio'!$C$7:$C$1003,MATCH($B54,'Patrimônio'!$A$7:$A$1003,0)),"")</f>
        <v>Martelete 10Kg</v>
      </c>
      <c r="D54" s="17" t="s">
        <v>74</v>
      </c>
      <c r="E54" s="17" t="s">
        <v>148</v>
      </c>
      <c r="F54" s="15" t="s">
        <v>80</v>
      </c>
      <c r="G54" s="15" t="s">
        <v>83</v>
      </c>
      <c r="H54" s="17" t="s">
        <v>88</v>
      </c>
    </row>
    <row r="55" ht="15.0" customHeight="1">
      <c r="A55" s="19">
        <v>46235.0</v>
      </c>
      <c r="B55" s="15" t="s">
        <v>245</v>
      </c>
      <c r="C55" s="26" t="str">
        <f t="array" ref="C55">IFERROR(INDEX('Patrimônio'!$C$7:$C$1003,MATCH($B55,'Patrimônio'!$A$7:$A$1003,0)),"")</f>
        <v>Laser</v>
      </c>
      <c r="D55" s="17" t="s">
        <v>74</v>
      </c>
      <c r="E55" s="17" t="s">
        <v>127</v>
      </c>
      <c r="F55" s="15" t="s">
        <v>80</v>
      </c>
      <c r="G55" s="15" t="s">
        <v>83</v>
      </c>
      <c r="H55" s="17" t="s">
        <v>88</v>
      </c>
    </row>
    <row r="56" ht="15.0" customHeight="1">
      <c r="A56" s="19">
        <v>46235.0</v>
      </c>
      <c r="B56" s="15" t="s">
        <v>250</v>
      </c>
      <c r="C56" s="26" t="str">
        <f t="array" ref="C56">IFERROR(INDEX('Patrimônio'!$C$7:$C$1003,MATCH($B56,'Patrimônio'!$A$7:$A$1003,0)),"")</f>
        <v>Laser</v>
      </c>
      <c r="D56" s="17" t="s">
        <v>74</v>
      </c>
      <c r="E56" s="17" t="s">
        <v>151</v>
      </c>
      <c r="F56" s="15" t="s">
        <v>80</v>
      </c>
      <c r="G56" s="15" t="s">
        <v>83</v>
      </c>
      <c r="H56" s="17" t="s">
        <v>88</v>
      </c>
    </row>
    <row r="57" ht="15.0" customHeight="1">
      <c r="A57" s="19">
        <v>46235.0</v>
      </c>
      <c r="B57" s="15" t="s">
        <v>251</v>
      </c>
      <c r="C57" s="26" t="str">
        <f t="array" ref="C57">IFERROR(INDEX('Patrimônio'!$C$7:$C$1003,MATCH($B57,'Patrimônio'!$A$7:$A$1003,0)),"")</f>
        <v>Laser</v>
      </c>
      <c r="D57" s="17" t="s">
        <v>74</v>
      </c>
      <c r="E57" s="17" t="s">
        <v>140</v>
      </c>
      <c r="F57" s="15" t="s">
        <v>80</v>
      </c>
      <c r="G57" s="15" t="s">
        <v>83</v>
      </c>
      <c r="H57" s="17" t="s">
        <v>88</v>
      </c>
    </row>
    <row r="58" ht="15.0" customHeight="1">
      <c r="A58" s="19">
        <v>46235.0</v>
      </c>
      <c r="B58" s="15" t="s">
        <v>252</v>
      </c>
      <c r="C58" s="26" t="str">
        <f t="array" ref="C58">IFERROR(INDEX('Patrimônio'!$C$7:$C$1003,MATCH($B58,'Patrimônio'!$A$7:$A$1003,0)),"")</f>
        <v>Laser</v>
      </c>
      <c r="D58" s="17" t="s">
        <v>74</v>
      </c>
      <c r="E58" s="17" t="s">
        <v>166</v>
      </c>
      <c r="F58" s="15" t="s">
        <v>80</v>
      </c>
      <c r="G58" s="15" t="s">
        <v>83</v>
      </c>
      <c r="H58" s="17" t="s">
        <v>88</v>
      </c>
    </row>
    <row r="59" ht="15.0" customHeight="1">
      <c r="A59" s="19">
        <v>46235.0</v>
      </c>
      <c r="B59" s="15" t="s">
        <v>253</v>
      </c>
      <c r="C59" s="26" t="str">
        <f t="array" ref="C59">IFERROR(INDEX('Patrimônio'!$C$7:$C$1003,MATCH($B59,'Patrimônio'!$A$7:$A$1003,0)),"")</f>
        <v>Laser</v>
      </c>
      <c r="D59" s="17" t="s">
        <v>74</v>
      </c>
      <c r="E59" s="17" t="s">
        <v>142</v>
      </c>
      <c r="F59" s="15" t="s">
        <v>80</v>
      </c>
      <c r="G59" s="15" t="s">
        <v>83</v>
      </c>
      <c r="H59" s="17" t="s">
        <v>88</v>
      </c>
    </row>
    <row r="60" ht="15.0" customHeight="1">
      <c r="A60" s="19">
        <v>46235.0</v>
      </c>
      <c r="B60" s="15" t="s">
        <v>257</v>
      </c>
      <c r="C60" s="26" t="str">
        <f t="array" ref="C60">IFERROR(INDEX('Patrimônio'!$C$7:$C$1003,MATCH($B60,'Patrimônio'!$A$7:$A$1003,0)),"")</f>
        <v>Laser</v>
      </c>
      <c r="D60" s="17" t="s">
        <v>74</v>
      </c>
      <c r="E60" s="17" t="s">
        <v>183</v>
      </c>
      <c r="F60" s="15" t="s">
        <v>80</v>
      </c>
      <c r="G60" s="15" t="s">
        <v>83</v>
      </c>
      <c r="H60" s="17" t="s">
        <v>88</v>
      </c>
    </row>
    <row r="61" ht="15.0" customHeight="1">
      <c r="A61" s="19">
        <v>46235.0</v>
      </c>
      <c r="B61" s="15" t="s">
        <v>258</v>
      </c>
      <c r="C61" s="26" t="str">
        <f t="array" ref="C61">IFERROR(INDEX('Patrimônio'!$C$7:$C$1003,MATCH($B61,'Patrimônio'!$A$7:$A$1003,0)),"")</f>
        <v>Laser</v>
      </c>
      <c r="D61" s="17" t="s">
        <v>74</v>
      </c>
      <c r="E61" s="17" t="s">
        <v>161</v>
      </c>
      <c r="F61" s="15" t="s">
        <v>80</v>
      </c>
      <c r="G61" s="15" t="s">
        <v>83</v>
      </c>
      <c r="H61" s="17" t="s">
        <v>88</v>
      </c>
    </row>
    <row r="62" ht="15.0" customHeight="1">
      <c r="A62" s="19">
        <v>46235.0</v>
      </c>
      <c r="B62" s="15" t="s">
        <v>259</v>
      </c>
      <c r="C62" s="26" t="str">
        <f t="array" ref="C62">IFERROR(INDEX('Patrimônio'!$C$7:$C$1003,MATCH($B62,'Patrimônio'!$A$7:$A$1003,0)),"")</f>
        <v>Laser</v>
      </c>
      <c r="D62" s="17" t="s">
        <v>74</v>
      </c>
      <c r="E62" s="17" t="s">
        <v>154</v>
      </c>
      <c r="F62" s="15" t="s">
        <v>80</v>
      </c>
      <c r="G62" s="15" t="s">
        <v>83</v>
      </c>
      <c r="H62" s="17" t="s">
        <v>88</v>
      </c>
    </row>
    <row r="63" ht="15.0" customHeight="1">
      <c r="A63" s="19">
        <v>46235.0</v>
      </c>
      <c r="B63" s="15" t="s">
        <v>260</v>
      </c>
      <c r="C63" s="26" t="str">
        <f t="array" ref="C63">IFERROR(INDEX('Patrimônio'!$C$7:$C$1003,MATCH($B63,'Patrimônio'!$A$7:$A$1003,0)),"")</f>
        <v>Perfuratriz</v>
      </c>
      <c r="D63" s="17" t="s">
        <v>74</v>
      </c>
      <c r="E63" s="17" t="s">
        <v>181</v>
      </c>
      <c r="F63" s="15" t="s">
        <v>80</v>
      </c>
      <c r="G63" s="15" t="s">
        <v>83</v>
      </c>
      <c r="H63" s="17" t="s">
        <v>88</v>
      </c>
    </row>
    <row r="64" ht="15.0" customHeight="1">
      <c r="A64" s="19">
        <v>46235.0</v>
      </c>
      <c r="B64" s="15" t="s">
        <v>143</v>
      </c>
      <c r="C64" s="26" t="str">
        <f t="array" ref="C64">IFERROR(INDEX('Patrimônio'!$C$7:$C$1003,MATCH($B64,'Patrimônio'!$A$7:$A$1003,0)),"")</f>
        <v>Perfuratriz</v>
      </c>
      <c r="D64" s="17" t="s">
        <v>74</v>
      </c>
      <c r="E64" s="17" t="s">
        <v>140</v>
      </c>
      <c r="F64" s="15" t="s">
        <v>80</v>
      </c>
      <c r="G64" s="15" t="s">
        <v>83</v>
      </c>
      <c r="H64" s="17" t="s">
        <v>88</v>
      </c>
    </row>
    <row r="65" ht="15.0" customHeight="1">
      <c r="A65" s="19">
        <v>46235.0</v>
      </c>
      <c r="B65" s="15" t="s">
        <v>184</v>
      </c>
      <c r="C65" s="26" t="str">
        <f t="array" ref="C65">IFERROR(INDEX('Patrimônio'!$C$7:$C$1003,MATCH($B65,'Patrimônio'!$A$7:$A$1003,0)),"")</f>
        <v>Perfuratriz</v>
      </c>
      <c r="D65" s="17" t="s">
        <v>74</v>
      </c>
      <c r="E65" s="17" t="s">
        <v>150</v>
      </c>
      <c r="F65" s="15" t="s">
        <v>80</v>
      </c>
      <c r="G65" s="15" t="s">
        <v>83</v>
      </c>
      <c r="H65" s="17" t="s">
        <v>88</v>
      </c>
    </row>
    <row r="66" ht="15.0" customHeight="1">
      <c r="A66" s="19">
        <v>46235.0</v>
      </c>
      <c r="B66" s="15" t="s">
        <v>262</v>
      </c>
      <c r="C66" s="26" t="str">
        <f t="array" ref="C66">IFERROR(INDEX('Patrimônio'!$C$7:$C$1003,MATCH($B66,'Patrimônio'!$A$7:$A$1003,0)),"")</f>
        <v>Perfuratriz</v>
      </c>
      <c r="D66" s="17" t="s">
        <v>74</v>
      </c>
      <c r="E66" s="17" t="s">
        <v>142</v>
      </c>
      <c r="F66" s="15" t="s">
        <v>80</v>
      </c>
      <c r="G66" s="15" t="s">
        <v>83</v>
      </c>
      <c r="H66" s="17" t="s">
        <v>88</v>
      </c>
    </row>
    <row r="67" ht="15.0" customHeight="1">
      <c r="A67" s="19">
        <v>46235.0</v>
      </c>
      <c r="B67" s="15" t="s">
        <v>263</v>
      </c>
      <c r="C67" s="26" t="str">
        <f t="array" ref="C67">IFERROR(INDEX('Patrimônio'!$C$7:$C$1003,MATCH($B67,'Patrimônio'!$A$7:$A$1003,0)),"")</f>
        <v>Perfuratriz</v>
      </c>
      <c r="D67" s="17" t="s">
        <v>74</v>
      </c>
      <c r="E67" s="17" t="s">
        <v>148</v>
      </c>
      <c r="F67" s="15" t="s">
        <v>80</v>
      </c>
      <c r="G67" s="15" t="s">
        <v>83</v>
      </c>
      <c r="H67" s="17" t="s">
        <v>88</v>
      </c>
    </row>
    <row r="68" ht="15.0" customHeight="1">
      <c r="A68" s="19">
        <v>46235.0</v>
      </c>
      <c r="B68" s="15" t="s">
        <v>264</v>
      </c>
      <c r="C68" s="26" t="str">
        <f t="array" ref="C68">IFERROR(INDEX('Patrimônio'!$C$7:$C$1003,MATCH($B68,'Patrimônio'!$A$7:$A$1003,0)),"")</f>
        <v>Perfuratriz</v>
      </c>
      <c r="D68" s="17" t="s">
        <v>74</v>
      </c>
      <c r="E68" s="17" t="s">
        <v>154</v>
      </c>
      <c r="F68" s="15" t="s">
        <v>80</v>
      </c>
      <c r="G68" s="15" t="s">
        <v>83</v>
      </c>
      <c r="H68" s="17" t="s">
        <v>88</v>
      </c>
    </row>
    <row r="69" ht="15.0" customHeight="1">
      <c r="A69" s="19">
        <v>46235.0</v>
      </c>
      <c r="B69" s="15" t="s">
        <v>265</v>
      </c>
      <c r="C69" s="26" t="str">
        <f t="array" ref="C69">IFERROR(INDEX('Patrimônio'!$C$7:$C$1003,MATCH($B69,'Patrimônio'!$A$7:$A$1003,0)),"")</f>
        <v>Perfuratriz</v>
      </c>
      <c r="D69" s="17" t="s">
        <v>74</v>
      </c>
      <c r="E69" s="17" t="s">
        <v>183</v>
      </c>
      <c r="F69" s="15" t="s">
        <v>80</v>
      </c>
      <c r="G69" s="15" t="s">
        <v>83</v>
      </c>
      <c r="H69" s="17" t="s">
        <v>88</v>
      </c>
    </row>
    <row r="70" ht="15.0" customHeight="1">
      <c r="A70" s="19">
        <v>46235.0</v>
      </c>
      <c r="B70" s="15" t="s">
        <v>172</v>
      </c>
      <c r="C70" s="26" t="str">
        <f t="array" ref="C70">IFERROR(INDEX('Patrimônio'!$C$7:$C$1003,MATCH($B70,'Patrimônio'!$A$7:$A$1003,0)),"")</f>
        <v>Perfuratriz</v>
      </c>
      <c r="D70" s="17" t="s">
        <v>74</v>
      </c>
      <c r="E70" s="17" t="s">
        <v>150</v>
      </c>
      <c r="F70" s="15" t="s">
        <v>80</v>
      </c>
      <c r="G70" s="15" t="s">
        <v>83</v>
      </c>
      <c r="H70" s="17" t="s">
        <v>88</v>
      </c>
    </row>
    <row r="71" ht="15.0" customHeight="1">
      <c r="A71" s="19">
        <v>46235.0</v>
      </c>
      <c r="B71" s="15" t="s">
        <v>268</v>
      </c>
      <c r="C71" s="26" t="str">
        <f t="array" ref="C71">IFERROR(INDEX('Patrimônio'!$C$7:$C$1003,MATCH($B71,'Patrimônio'!$A$7:$A$1003,0)),"")</f>
        <v>Perfuratriz</v>
      </c>
      <c r="D71" s="17" t="s">
        <v>74</v>
      </c>
      <c r="E71" s="17" t="s">
        <v>140</v>
      </c>
      <c r="F71" s="15" t="s">
        <v>80</v>
      </c>
      <c r="G71" s="15" t="s">
        <v>83</v>
      </c>
      <c r="H71" s="17" t="s">
        <v>88</v>
      </c>
    </row>
    <row r="72" ht="15.0" customHeight="1">
      <c r="A72" s="19">
        <v>46235.0</v>
      </c>
      <c r="B72" s="15" t="s">
        <v>146</v>
      </c>
      <c r="C72" s="26" t="str">
        <f t="array" ref="C72">IFERROR(INDEX('Patrimônio'!$C$7:$C$1003,MATCH($B72,'Patrimônio'!$A$7:$A$1003,0)),"")</f>
        <v>Perfuratriz</v>
      </c>
      <c r="D72" s="17" t="s">
        <v>74</v>
      </c>
      <c r="E72" s="17" t="s">
        <v>150</v>
      </c>
      <c r="F72" s="15" t="s">
        <v>80</v>
      </c>
      <c r="G72" s="15" t="s">
        <v>83</v>
      </c>
      <c r="H72" s="17" t="s">
        <v>88</v>
      </c>
    </row>
    <row r="73" ht="15.0" customHeight="1">
      <c r="A73" s="19">
        <v>46235.0</v>
      </c>
      <c r="B73" s="15" t="s">
        <v>269</v>
      </c>
      <c r="C73" s="26" t="str">
        <f t="array" ref="C73">IFERROR(INDEX('Patrimônio'!$C$7:$C$1003,MATCH($B73,'Patrimônio'!$A$7:$A$1003,0)),"")</f>
        <v>Morsa</v>
      </c>
      <c r="D73" s="17" t="s">
        <v>74</v>
      </c>
      <c r="E73" s="17" t="s">
        <v>154</v>
      </c>
      <c r="F73" s="15" t="s">
        <v>80</v>
      </c>
      <c r="G73" s="15" t="s">
        <v>83</v>
      </c>
      <c r="H73" s="17" t="s">
        <v>88</v>
      </c>
    </row>
    <row r="74" ht="15.0" customHeight="1">
      <c r="A74" s="19">
        <v>46235.0</v>
      </c>
      <c r="B74" s="15" t="s">
        <v>273</v>
      </c>
      <c r="C74" s="26" t="str">
        <f t="array" ref="C74">IFERROR(INDEX('Patrimônio'!$C$7:$C$1003,MATCH($B74,'Patrimônio'!$A$7:$A$1003,0)),"")</f>
        <v>Morsa</v>
      </c>
      <c r="D74" s="17" t="s">
        <v>74</v>
      </c>
      <c r="E74" s="17" t="s">
        <v>238</v>
      </c>
      <c r="F74" s="15" t="s">
        <v>80</v>
      </c>
      <c r="G74" s="15" t="s">
        <v>83</v>
      </c>
      <c r="H74" s="17" t="s">
        <v>88</v>
      </c>
    </row>
    <row r="75" ht="15.0" customHeight="1">
      <c r="A75" s="19">
        <v>46235.0</v>
      </c>
      <c r="B75" s="15" t="s">
        <v>274</v>
      </c>
      <c r="C75" s="26" t="str">
        <f t="array" ref="C75">IFERROR(INDEX('Patrimônio'!$C$7:$C$1003,MATCH($B75,'Patrimônio'!$A$7:$A$1003,0)),"")</f>
        <v>Termofusor</v>
      </c>
      <c r="D75" s="17" t="s">
        <v>74</v>
      </c>
      <c r="E75" s="17" t="s">
        <v>127</v>
      </c>
      <c r="F75" s="15" t="s">
        <v>80</v>
      </c>
      <c r="G75" s="15" t="s">
        <v>83</v>
      </c>
      <c r="H75" s="17" t="s">
        <v>88</v>
      </c>
    </row>
    <row r="76" ht="15.0" customHeight="1">
      <c r="A76" s="19">
        <v>46235.0</v>
      </c>
      <c r="B76" s="15" t="s">
        <v>276</v>
      </c>
      <c r="C76" s="26" t="str">
        <f t="array" ref="C76">IFERROR(INDEX('Patrimônio'!$C$7:$C$1003,MATCH($B76,'Patrimônio'!$A$7:$A$1003,0)),"")</f>
        <v>Termofusor</v>
      </c>
      <c r="D76" s="17" t="s">
        <v>74</v>
      </c>
      <c r="E76" s="17" t="s">
        <v>154</v>
      </c>
      <c r="F76" s="15" t="s">
        <v>80</v>
      </c>
      <c r="G76" s="15" t="s">
        <v>83</v>
      </c>
      <c r="H76" s="17" t="s">
        <v>88</v>
      </c>
    </row>
    <row r="77" ht="15.0" customHeight="1">
      <c r="A77" s="19">
        <v>46235.0</v>
      </c>
      <c r="B77" s="15" t="s">
        <v>278</v>
      </c>
      <c r="C77" s="26" t="str">
        <f t="array" ref="C77">IFERROR(INDEX('Patrimônio'!$C$7:$C$1003,MATCH($B77,'Patrimônio'!$A$7:$A$1003,0)),"")</f>
        <v>Termofusor</v>
      </c>
      <c r="D77" s="17" t="s">
        <v>74</v>
      </c>
      <c r="E77" s="17" t="s">
        <v>151</v>
      </c>
      <c r="F77" s="15" t="s">
        <v>80</v>
      </c>
      <c r="G77" s="15" t="s">
        <v>83</v>
      </c>
      <c r="H77" s="17" t="s">
        <v>88</v>
      </c>
    </row>
    <row r="78" ht="15.0" customHeight="1">
      <c r="A78" s="19">
        <v>46235.0</v>
      </c>
      <c r="B78" s="15" t="s">
        <v>153</v>
      </c>
      <c r="C78" s="26" t="str">
        <f t="array" ref="C78">IFERROR(INDEX('Patrimônio'!$C$7:$C$1003,MATCH($B78,'Patrimônio'!$A$7:$A$1003,0)),"")</f>
        <v>Termofusor</v>
      </c>
      <c r="D78" s="17" t="s">
        <v>74</v>
      </c>
      <c r="E78" s="17" t="s">
        <v>142</v>
      </c>
      <c r="F78" s="15" t="s">
        <v>80</v>
      </c>
      <c r="G78" s="15" t="s">
        <v>83</v>
      </c>
      <c r="H78" s="17" t="s">
        <v>88</v>
      </c>
    </row>
    <row r="79" ht="15.0" customHeight="1">
      <c r="A79" s="19">
        <v>46235.0</v>
      </c>
      <c r="B79" s="15" t="s">
        <v>280</v>
      </c>
      <c r="C79" s="26" t="str">
        <f t="array" ref="C79">IFERROR(INDEX('Patrimônio'!$C$7:$C$1003,MATCH($B79,'Patrimônio'!$A$7:$A$1003,0)),"")</f>
        <v>Termofusor</v>
      </c>
      <c r="D79" s="17" t="s">
        <v>74</v>
      </c>
      <c r="E79" s="17" t="s">
        <v>166</v>
      </c>
      <c r="F79" s="15" t="s">
        <v>80</v>
      </c>
      <c r="G79" s="15" t="s">
        <v>83</v>
      </c>
      <c r="H79" s="17" t="s">
        <v>88</v>
      </c>
    </row>
    <row r="80" ht="15.0" customHeight="1">
      <c r="A80" s="19">
        <v>46235.0</v>
      </c>
      <c r="B80" s="15" t="s">
        <v>157</v>
      </c>
      <c r="C80" s="26" t="str">
        <f t="array" ref="C80">IFERROR(INDEX('Patrimônio'!$C$7:$C$1003,MATCH($B80,'Patrimônio'!$A$7:$A$1003,0)),"")</f>
        <v>Termofusor</v>
      </c>
      <c r="D80" s="17" t="s">
        <v>74</v>
      </c>
      <c r="E80" s="17" t="s">
        <v>142</v>
      </c>
      <c r="F80" s="15" t="s">
        <v>80</v>
      </c>
      <c r="G80" s="15" t="s">
        <v>83</v>
      </c>
      <c r="H80" s="17" t="s">
        <v>88</v>
      </c>
    </row>
    <row r="81" ht="15.0" customHeight="1">
      <c r="A81" s="19">
        <v>46235.0</v>
      </c>
      <c r="B81" s="15" t="s">
        <v>281</v>
      </c>
      <c r="C81" s="26" t="str">
        <f t="array" ref="C81">IFERROR(INDEX('Patrimônio'!$C$7:$C$1003,MATCH($B81,'Patrimônio'!$A$7:$A$1003,0)),"")</f>
        <v>Soprador</v>
      </c>
      <c r="D81" s="17" t="s">
        <v>74</v>
      </c>
      <c r="E81" s="17" t="s">
        <v>148</v>
      </c>
      <c r="F81" s="15" t="s">
        <v>80</v>
      </c>
      <c r="G81" s="15" t="s">
        <v>83</v>
      </c>
      <c r="H81" s="17" t="s">
        <v>88</v>
      </c>
    </row>
    <row r="82" ht="15.0" customHeight="1">
      <c r="A82" s="19">
        <v>46235.0</v>
      </c>
      <c r="B82" s="15" t="s">
        <v>282</v>
      </c>
      <c r="C82" s="26" t="str">
        <f t="array" ref="C82">IFERROR(INDEX('Patrimônio'!$C$7:$C$1003,MATCH($B82,'Patrimônio'!$A$7:$A$1003,0)),"")</f>
        <v>Vazador</v>
      </c>
      <c r="D82" s="17" t="s">
        <v>74</v>
      </c>
      <c r="E82" s="17" t="s">
        <v>218</v>
      </c>
      <c r="F82" s="15" t="s">
        <v>80</v>
      </c>
      <c r="G82" s="15" t="s">
        <v>83</v>
      </c>
      <c r="H82" s="17" t="s">
        <v>88</v>
      </c>
    </row>
    <row r="83" ht="15.0" customHeight="1">
      <c r="A83" s="19">
        <v>46235.0</v>
      </c>
      <c r="B83" s="15" t="s">
        <v>283</v>
      </c>
      <c r="C83" s="26" t="str">
        <f t="array" ref="C83">IFERROR(INDEX('Patrimônio'!$C$7:$C$1003,MATCH($B83,'Patrimônio'!$A$7:$A$1003,0)),"")</f>
        <v>Vazador</v>
      </c>
      <c r="D83" s="17" t="s">
        <v>74</v>
      </c>
      <c r="E83" s="17" t="s">
        <v>151</v>
      </c>
      <c r="F83" s="15" t="s">
        <v>80</v>
      </c>
      <c r="G83" s="15" t="s">
        <v>83</v>
      </c>
      <c r="H83" s="17" t="s">
        <v>88</v>
      </c>
    </row>
    <row r="84" ht="15.0" customHeight="1">
      <c r="A84" s="19">
        <v>46235.0</v>
      </c>
      <c r="B84" s="15" t="s">
        <v>284</v>
      </c>
      <c r="C84" s="26" t="str">
        <f t="array" ref="C84">IFERROR(INDEX('Patrimônio'!$C$7:$C$1003,MATCH($B84,'Patrimônio'!$A$7:$A$1003,0)),"")</f>
        <v>Pistola Finca Pino</v>
      </c>
      <c r="D84" s="17" t="s">
        <v>74</v>
      </c>
      <c r="E84" s="17" t="s">
        <v>286</v>
      </c>
      <c r="F84" s="15" t="s">
        <v>80</v>
      </c>
      <c r="G84" s="15" t="s">
        <v>83</v>
      </c>
      <c r="H84" s="17" t="s">
        <v>88</v>
      </c>
    </row>
    <row r="85" ht="15.0" customHeight="1">
      <c r="A85" s="19">
        <v>46235.0</v>
      </c>
      <c r="B85" s="15" t="s">
        <v>287</v>
      </c>
      <c r="C85" s="26" t="str">
        <f t="array" ref="C85">IFERROR(INDEX('Patrimônio'!$C$7:$C$1003,MATCH($B85,'Patrimônio'!$A$7:$A$1003,0)),"")</f>
        <v>Pistola Finca Pino</v>
      </c>
      <c r="D85" s="17"/>
      <c r="E85" s="17"/>
      <c r="F85" s="15" t="s">
        <v>165</v>
      </c>
      <c r="G85" s="15" t="s">
        <v>83</v>
      </c>
      <c r="H85" s="17" t="s">
        <v>177</v>
      </c>
    </row>
    <row r="86" ht="15.0" customHeight="1">
      <c r="A86" s="19">
        <v>46235.0</v>
      </c>
      <c r="B86" s="15" t="s">
        <v>288</v>
      </c>
      <c r="C86" s="26" t="str">
        <f t="array" ref="C86">IFERROR(INDEX('Patrimônio'!$C$7:$C$1003,MATCH($B86,'Patrimônio'!$A$7:$A$1003,0)),"")</f>
        <v>Pistola Finca Pino</v>
      </c>
      <c r="D86" s="17"/>
      <c r="E86" s="17"/>
      <c r="F86" s="15" t="s">
        <v>165</v>
      </c>
      <c r="G86" s="15" t="s">
        <v>83</v>
      </c>
      <c r="H86" s="17" t="s">
        <v>177</v>
      </c>
    </row>
    <row r="87" ht="15.0" customHeight="1">
      <c r="A87" s="19">
        <v>46235.0</v>
      </c>
      <c r="B87" s="15" t="s">
        <v>289</v>
      </c>
      <c r="C87" s="26" t="str">
        <f t="array" ref="C87">IFERROR(INDEX('Patrimônio'!$C$7:$C$1003,MATCH($B87,'Patrimônio'!$A$7:$A$1003,0)),"")</f>
        <v>Pistola Finca Pino</v>
      </c>
      <c r="D87" s="17"/>
      <c r="E87" s="17"/>
      <c r="F87" s="15" t="s">
        <v>165</v>
      </c>
      <c r="G87" s="15" t="s">
        <v>83</v>
      </c>
      <c r="H87" s="17" t="s">
        <v>177</v>
      </c>
    </row>
    <row r="88" ht="15.0" customHeight="1">
      <c r="A88" s="19">
        <v>46235.0</v>
      </c>
      <c r="B88" s="15" t="s">
        <v>290</v>
      </c>
      <c r="C88" s="26" t="str">
        <f t="array" ref="C88">IFERROR(INDEX('Patrimônio'!$C$7:$C$1003,MATCH($B88,'Patrimônio'!$A$7:$A$1003,0)),"")</f>
        <v>Pistola Finca Pino</v>
      </c>
      <c r="D88" s="17"/>
      <c r="E88" s="17"/>
      <c r="F88" s="15" t="s">
        <v>165</v>
      </c>
      <c r="G88" s="15" t="s">
        <v>83</v>
      </c>
      <c r="H88" s="17" t="s">
        <v>177</v>
      </c>
    </row>
    <row r="89" ht="15.0" customHeight="1">
      <c r="A89" s="19">
        <v>46235.0</v>
      </c>
      <c r="B89" s="15" t="s">
        <v>292</v>
      </c>
      <c r="C89" s="26" t="str">
        <f t="array" ref="C89">IFERROR(INDEX('Patrimônio'!$C$7:$C$1003,MATCH($B89,'Patrimônio'!$A$7:$A$1003,0)),"")</f>
        <v>Pistola Finca Pino</v>
      </c>
      <c r="D89" s="17"/>
      <c r="E89" s="17"/>
      <c r="F89" s="15" t="s">
        <v>165</v>
      </c>
      <c r="G89" s="15" t="s">
        <v>83</v>
      </c>
      <c r="H89" s="17" t="s">
        <v>177</v>
      </c>
    </row>
    <row r="90" ht="15.0" customHeight="1">
      <c r="A90" s="19">
        <v>46235.0</v>
      </c>
      <c r="B90" s="15" t="s">
        <v>295</v>
      </c>
      <c r="C90" s="26" t="str">
        <f t="array" ref="C90">IFERROR(INDEX('Patrimônio'!$C$7:$C$1003,MATCH($B90,'Patrimônio'!$A$7:$A$1003,0)),"")</f>
        <v>Pistola Finca Pino</v>
      </c>
      <c r="D90" s="17" t="s">
        <v>74</v>
      </c>
      <c r="E90" s="17" t="s">
        <v>151</v>
      </c>
      <c r="F90" s="15" t="s">
        <v>80</v>
      </c>
      <c r="G90" s="15" t="s">
        <v>83</v>
      </c>
      <c r="H90" s="17" t="s">
        <v>88</v>
      </c>
    </row>
    <row r="91" ht="15.0" customHeight="1">
      <c r="A91" s="19">
        <v>46235.0</v>
      </c>
      <c r="B91" s="15" t="s">
        <v>296</v>
      </c>
      <c r="C91" s="26" t="str">
        <f t="array" ref="C91">IFERROR(INDEX('Patrimônio'!$C$7:$C$1003,MATCH($B91,'Patrimônio'!$A$7:$A$1003,0)),"")</f>
        <v>Pistola Finca Pino</v>
      </c>
      <c r="D91" s="17" t="s">
        <v>74</v>
      </c>
      <c r="E91" s="17" t="s">
        <v>161</v>
      </c>
      <c r="F91" s="15" t="s">
        <v>80</v>
      </c>
      <c r="G91" s="15" t="s">
        <v>83</v>
      </c>
      <c r="H91" s="17" t="s">
        <v>88</v>
      </c>
    </row>
    <row r="92" ht="15.0" customHeight="1">
      <c r="A92" s="19">
        <v>46235.0</v>
      </c>
      <c r="B92" s="15" t="s">
        <v>297</v>
      </c>
      <c r="C92" s="26" t="str">
        <f t="array" ref="C92">IFERROR(INDEX('Patrimônio'!$C$7:$C$1003,MATCH($B92,'Patrimônio'!$A$7:$A$1003,0)),"")</f>
        <v>Pistola Finca Pino</v>
      </c>
      <c r="D92" s="17" t="s">
        <v>74</v>
      </c>
      <c r="E92" s="17" t="s">
        <v>238</v>
      </c>
      <c r="F92" s="15" t="s">
        <v>80</v>
      </c>
      <c r="G92" s="15" t="s">
        <v>83</v>
      </c>
      <c r="H92" s="17" t="s">
        <v>88</v>
      </c>
    </row>
    <row r="93" ht="15.0" customHeight="1">
      <c r="A93" s="19">
        <v>46235.0</v>
      </c>
      <c r="B93" s="15" t="s">
        <v>298</v>
      </c>
      <c r="C93" s="26" t="str">
        <f t="array" ref="C93">IFERROR(INDEX('Patrimônio'!$C$7:$C$1003,MATCH($B93,'Patrimônio'!$A$7:$A$1003,0)),"")</f>
        <v>Pistola Finca Pino</v>
      </c>
      <c r="D93" s="17" t="s">
        <v>74</v>
      </c>
      <c r="E93" s="17" t="s">
        <v>150</v>
      </c>
      <c r="F93" s="15" t="s">
        <v>80</v>
      </c>
      <c r="G93" s="15" t="s">
        <v>83</v>
      </c>
      <c r="H93" s="17" t="s">
        <v>88</v>
      </c>
    </row>
    <row r="94" ht="15.0" customHeight="1">
      <c r="A94" s="19">
        <v>46235.0</v>
      </c>
      <c r="B94" s="15" t="s">
        <v>300</v>
      </c>
      <c r="C94" s="26" t="str">
        <f t="array" ref="C94">IFERROR(INDEX('Patrimônio'!$C$7:$C$1003,MATCH($B94,'Patrimônio'!$A$7:$A$1003,0)),"")</f>
        <v>Pistola Finca Pino</v>
      </c>
      <c r="D94" s="17" t="s">
        <v>74</v>
      </c>
      <c r="E94" s="17" t="s">
        <v>154</v>
      </c>
      <c r="F94" s="15" t="s">
        <v>80</v>
      </c>
      <c r="G94" s="15" t="s">
        <v>83</v>
      </c>
      <c r="H94" s="17" t="s">
        <v>88</v>
      </c>
    </row>
    <row r="95" ht="15.0" customHeight="1">
      <c r="A95" s="19">
        <v>46235.0</v>
      </c>
      <c r="B95" s="15" t="s">
        <v>162</v>
      </c>
      <c r="C95" s="26" t="str">
        <f t="array" ref="C95">IFERROR(INDEX('Patrimônio'!$C$7:$C$1003,MATCH($B95,'Patrimônio'!$A$7:$A$1003,0)),"")</f>
        <v>Pistola Finca Pino</v>
      </c>
      <c r="D95" s="17" t="s">
        <v>74</v>
      </c>
      <c r="E95" s="17" t="s">
        <v>161</v>
      </c>
      <c r="F95" s="15" t="s">
        <v>80</v>
      </c>
      <c r="G95" s="15" t="s">
        <v>83</v>
      </c>
      <c r="H95" s="17" t="s">
        <v>88</v>
      </c>
    </row>
    <row r="96" ht="15.0" customHeight="1">
      <c r="A96" s="19">
        <v>46235.0</v>
      </c>
      <c r="B96" s="15" t="s">
        <v>302</v>
      </c>
      <c r="C96" s="26" t="str">
        <f t="array" ref="C96">IFERROR(INDEX('Patrimônio'!$C$7:$C$1003,MATCH($B96,'Patrimônio'!$A$7:$A$1003,0)),"")</f>
        <v>Pistola Finca Pino</v>
      </c>
      <c r="D96" s="17" t="s">
        <v>74</v>
      </c>
      <c r="E96" s="17" t="s">
        <v>120</v>
      </c>
      <c r="F96" s="15" t="s">
        <v>80</v>
      </c>
      <c r="G96" s="15" t="s">
        <v>83</v>
      </c>
      <c r="H96" s="17" t="s">
        <v>88</v>
      </c>
    </row>
    <row r="97" ht="15.0" customHeight="1">
      <c r="A97" s="19">
        <v>46235.0</v>
      </c>
      <c r="B97" s="15" t="s">
        <v>303</v>
      </c>
      <c r="C97" s="26" t="str">
        <f t="array" ref="C97">IFERROR(INDEX('Patrimônio'!$C$7:$C$1003,MATCH($B97,'Patrimônio'!$A$7:$A$1003,0)),"")</f>
        <v>Máquina Teste Água</v>
      </c>
      <c r="D97" s="17" t="s">
        <v>74</v>
      </c>
      <c r="E97" s="17" t="s">
        <v>183</v>
      </c>
      <c r="F97" s="15" t="s">
        <v>80</v>
      </c>
      <c r="G97" s="15" t="s">
        <v>83</v>
      </c>
      <c r="H97" s="17" t="s">
        <v>88</v>
      </c>
    </row>
    <row r="98" ht="15.0" customHeight="1">
      <c r="A98" s="19">
        <v>46235.0</v>
      </c>
      <c r="B98" s="15" t="s">
        <v>305</v>
      </c>
      <c r="C98" s="26" t="str">
        <f t="array" ref="C98">IFERROR(INDEX('Patrimônio'!$C$7:$C$1003,MATCH($B98,'Patrimônio'!$A$7:$A$1003,0)),"")</f>
        <v>Máquina Teste Água</v>
      </c>
      <c r="D98" s="17" t="s">
        <v>74</v>
      </c>
      <c r="E98" s="17" t="s">
        <v>161</v>
      </c>
      <c r="F98" s="15" t="s">
        <v>80</v>
      </c>
      <c r="G98" s="15" t="s">
        <v>83</v>
      </c>
      <c r="H98" s="17" t="s">
        <v>88</v>
      </c>
    </row>
    <row r="99" ht="15.0" customHeight="1">
      <c r="A99" s="19">
        <v>46235.0</v>
      </c>
      <c r="B99" s="15" t="s">
        <v>306</v>
      </c>
      <c r="C99" s="26" t="str">
        <f t="array" ref="C99">IFERROR(INDEX('Patrimônio'!$C$7:$C$1003,MATCH($B99,'Patrimônio'!$A$7:$A$1003,0)),"")</f>
        <v>Máquina Teste Água</v>
      </c>
      <c r="D99" s="17" t="s">
        <v>74</v>
      </c>
      <c r="E99" s="17" t="s">
        <v>218</v>
      </c>
      <c r="F99" s="15" t="s">
        <v>80</v>
      </c>
      <c r="G99" s="15" t="s">
        <v>83</v>
      </c>
      <c r="H99" s="17" t="s">
        <v>88</v>
      </c>
    </row>
    <row r="100" ht="15.0" customHeight="1">
      <c r="A100" s="19">
        <v>46235.0</v>
      </c>
      <c r="B100" s="15" t="s">
        <v>307</v>
      </c>
      <c r="C100" s="26" t="str">
        <f t="array" ref="C100">IFERROR(INDEX('Patrimônio'!$C$7:$C$1003,MATCH($B100,'Patrimônio'!$A$7:$A$1003,0)),"")</f>
        <v>Máquina Teste Água</v>
      </c>
      <c r="D100" s="17" t="s">
        <v>74</v>
      </c>
      <c r="E100" s="17" t="s">
        <v>166</v>
      </c>
      <c r="F100" s="15" t="s">
        <v>80</v>
      </c>
      <c r="G100" s="15" t="s">
        <v>83</v>
      </c>
      <c r="H100" s="17" t="s">
        <v>88</v>
      </c>
    </row>
    <row r="101" ht="15.0" customHeight="1">
      <c r="A101" s="19">
        <v>46235.0</v>
      </c>
      <c r="B101" s="15" t="s">
        <v>308</v>
      </c>
      <c r="C101" s="26" t="str">
        <f t="array" ref="C101">IFERROR(INDEX('Patrimônio'!$C$7:$C$1003,MATCH($B101,'Patrimônio'!$A$7:$A$1003,0)),"")</f>
        <v>Máquina Teste Elétrica</v>
      </c>
      <c r="D101" s="17" t="s">
        <v>74</v>
      </c>
      <c r="E101" s="17" t="s">
        <v>309</v>
      </c>
      <c r="F101" s="15" t="s">
        <v>80</v>
      </c>
      <c r="G101" s="15" t="s">
        <v>83</v>
      </c>
      <c r="H101" s="17" t="s">
        <v>88</v>
      </c>
    </row>
    <row r="102" ht="15.0" customHeight="1">
      <c r="A102" s="19">
        <v>46235.0</v>
      </c>
      <c r="B102" s="15" t="s">
        <v>310</v>
      </c>
      <c r="C102" s="26" t="str">
        <f t="array" ref="C102">IFERROR(INDEX('Patrimônio'!$C$7:$C$1003,MATCH($B102,'Patrimônio'!$A$7:$A$1003,0)),"")</f>
        <v>Máquina Teste Elétrica</v>
      </c>
      <c r="D102" s="17" t="s">
        <v>74</v>
      </c>
      <c r="E102" s="17" t="s">
        <v>309</v>
      </c>
      <c r="F102" s="15" t="s">
        <v>80</v>
      </c>
      <c r="G102" s="15" t="s">
        <v>83</v>
      </c>
      <c r="H102" s="17" t="s">
        <v>88</v>
      </c>
    </row>
    <row r="103" ht="15.0" customHeight="1">
      <c r="A103" s="19">
        <v>46235.0</v>
      </c>
      <c r="B103" s="15" t="s">
        <v>312</v>
      </c>
      <c r="C103" s="26" t="str">
        <f t="array" ref="C103">IFERROR(INDEX('Patrimônio'!$C$7:$C$1003,MATCH($B103,'Patrimônio'!$A$7:$A$1003,0)),"")</f>
        <v>Compressor</v>
      </c>
      <c r="D103" s="17" t="s">
        <v>74</v>
      </c>
      <c r="E103" s="17" t="s">
        <v>154</v>
      </c>
      <c r="F103" s="15" t="s">
        <v>80</v>
      </c>
      <c r="G103" s="15" t="s">
        <v>83</v>
      </c>
      <c r="H103" s="17" t="s">
        <v>88</v>
      </c>
    </row>
    <row r="104" ht="15.0" customHeight="1">
      <c r="A104" s="19">
        <v>46235.0</v>
      </c>
      <c r="B104" s="15" t="s">
        <v>313</v>
      </c>
      <c r="C104" s="26" t="str">
        <f t="array" ref="C104">IFERROR(INDEX('Patrimônio'!$C$7:$C$1003,MATCH($B104,'Patrimônio'!$A$7:$A$1003,0)),"")</f>
        <v>Compressor</v>
      </c>
      <c r="D104" s="17" t="s">
        <v>74</v>
      </c>
      <c r="E104" s="17" t="s">
        <v>161</v>
      </c>
      <c r="F104" s="15" t="s">
        <v>80</v>
      </c>
      <c r="G104" s="15" t="s">
        <v>83</v>
      </c>
      <c r="H104" s="17" t="s">
        <v>88</v>
      </c>
    </row>
    <row r="105" ht="15.0" customHeight="1">
      <c r="A105" s="19">
        <v>46235.0</v>
      </c>
      <c r="B105" s="15" t="s">
        <v>314</v>
      </c>
      <c r="C105" s="26" t="str">
        <f t="array" ref="C105">IFERROR(INDEX('Patrimônio'!$C$7:$C$1003,MATCH($B105,'Patrimônio'!$A$7:$A$1003,0)),"")</f>
        <v>Compressor</v>
      </c>
      <c r="D105" s="17" t="s">
        <v>74</v>
      </c>
      <c r="E105" s="17" t="s">
        <v>148</v>
      </c>
      <c r="F105" s="15" t="s">
        <v>80</v>
      </c>
      <c r="G105" s="15" t="s">
        <v>83</v>
      </c>
      <c r="H105" s="17" t="s">
        <v>88</v>
      </c>
    </row>
    <row r="106" ht="15.0" customHeight="1">
      <c r="A106" s="19">
        <v>46235.0</v>
      </c>
      <c r="B106" s="15" t="s">
        <v>315</v>
      </c>
      <c r="C106" s="26" t="str">
        <f t="array" ref="C106">IFERROR(INDEX('Patrimônio'!$C$7:$C$1003,MATCH($B106,'Patrimônio'!$A$7:$A$1003,0)),"")</f>
        <v>Prensa Pex</v>
      </c>
      <c r="D106" s="17" t="s">
        <v>74</v>
      </c>
      <c r="E106" s="17" t="s">
        <v>120</v>
      </c>
      <c r="F106" s="15" t="s">
        <v>80</v>
      </c>
      <c r="G106" s="15" t="s">
        <v>83</v>
      </c>
      <c r="H106" s="17" t="s">
        <v>88</v>
      </c>
    </row>
    <row r="107" ht="15.0" customHeight="1">
      <c r="A107" s="19">
        <v>46235.0</v>
      </c>
      <c r="B107" s="15" t="s">
        <v>167</v>
      </c>
      <c r="C107" s="26" t="str">
        <f t="array" ref="C107">IFERROR(INDEX('Patrimônio'!$C$7:$C$1003,MATCH($B107,'Patrimônio'!$A$7:$A$1003,0)),"")</f>
        <v>Prensa Pex</v>
      </c>
      <c r="D107" s="17" t="s">
        <v>74</v>
      </c>
      <c r="E107" s="17" t="s">
        <v>142</v>
      </c>
      <c r="F107" s="15" t="s">
        <v>80</v>
      </c>
      <c r="G107" s="15" t="s">
        <v>83</v>
      </c>
      <c r="H107" s="17" t="s">
        <v>88</v>
      </c>
    </row>
    <row r="108" ht="15.0" customHeight="1">
      <c r="A108" s="19">
        <v>46235.0</v>
      </c>
      <c r="B108" s="15" t="s">
        <v>317</v>
      </c>
      <c r="C108" s="26" t="str">
        <f t="array" ref="C108">IFERROR(INDEX('Patrimônio'!$C$7:$C$1003,MATCH($B108,'Patrimônio'!$A$7:$A$1003,0)),"")</f>
        <v>Prensa Pex</v>
      </c>
      <c r="D108" s="17" t="s">
        <v>74</v>
      </c>
      <c r="E108" s="17" t="s">
        <v>161</v>
      </c>
      <c r="F108" s="15" t="s">
        <v>80</v>
      </c>
      <c r="G108" s="15" t="s">
        <v>83</v>
      </c>
      <c r="H108" s="17" t="s">
        <v>88</v>
      </c>
    </row>
    <row r="109" ht="15.0" customHeight="1">
      <c r="A109" s="19">
        <v>46235.0</v>
      </c>
      <c r="B109" s="15" t="s">
        <v>318</v>
      </c>
      <c r="C109" s="26" t="str">
        <f t="array" ref="C109">IFERROR(INDEX('Patrimônio'!$C$7:$C$1003,MATCH($B109,'Patrimônio'!$A$7:$A$1003,0)),"")</f>
        <v>Prensa Pex</v>
      </c>
      <c r="D109" s="17" t="s">
        <v>74</v>
      </c>
      <c r="E109" s="17" t="s">
        <v>127</v>
      </c>
      <c r="F109" s="15" t="s">
        <v>80</v>
      </c>
      <c r="G109" s="15" t="s">
        <v>83</v>
      </c>
      <c r="H109" s="17" t="s">
        <v>88</v>
      </c>
    </row>
    <row r="110" ht="15.0" customHeight="1">
      <c r="A110" s="19">
        <v>46235.0</v>
      </c>
      <c r="B110" s="15" t="s">
        <v>320</v>
      </c>
      <c r="C110" s="26" t="str">
        <f t="array" ref="C110">IFERROR(INDEX('Patrimônio'!$C$7:$C$1003,MATCH($B110,'Patrimônio'!$A$7:$A$1003,0)),"")</f>
        <v>Prensa Pex</v>
      </c>
      <c r="D110" s="17" t="s">
        <v>74</v>
      </c>
      <c r="E110" s="17" t="s">
        <v>151</v>
      </c>
      <c r="F110" s="15" t="s">
        <v>80</v>
      </c>
      <c r="G110" s="15" t="s">
        <v>83</v>
      </c>
      <c r="H110" s="17" t="s">
        <v>88</v>
      </c>
    </row>
    <row r="111" ht="15.0" customHeight="1">
      <c r="A111" s="19">
        <v>46235.0</v>
      </c>
      <c r="B111" s="15" t="s">
        <v>322</v>
      </c>
      <c r="C111" s="26" t="str">
        <f t="array" ref="C111">IFERROR(INDEX('Patrimônio'!$C$7:$C$1003,MATCH($B111,'Patrimônio'!$A$7:$A$1003,0)),"")</f>
        <v>Prensa Pex</v>
      </c>
      <c r="D111" s="17" t="s">
        <v>74</v>
      </c>
      <c r="E111" s="17" t="s">
        <v>154</v>
      </c>
      <c r="F111" s="15" t="s">
        <v>80</v>
      </c>
      <c r="G111" s="15" t="s">
        <v>83</v>
      </c>
      <c r="H111" s="17" t="s">
        <v>88</v>
      </c>
    </row>
    <row r="112" ht="15.0" customHeight="1">
      <c r="A112" s="19">
        <v>46235.0</v>
      </c>
      <c r="B112" s="15" t="s">
        <v>329</v>
      </c>
      <c r="C112" s="26" t="str">
        <f t="array" ref="C112">IFERROR(INDEX('Patrimônio'!$C$7:$C$1003,MATCH($B112,'Patrimônio'!$A$7:$A$1003,0)),"")</f>
        <v>Prensa Terminal</v>
      </c>
      <c r="D112" s="17" t="s">
        <v>74</v>
      </c>
      <c r="E112" s="17" t="s">
        <v>181</v>
      </c>
      <c r="F112" s="15" t="s">
        <v>80</v>
      </c>
      <c r="G112" s="15" t="s">
        <v>83</v>
      </c>
      <c r="H112" s="17" t="s">
        <v>88</v>
      </c>
    </row>
    <row r="113" ht="15.0" customHeight="1">
      <c r="A113" s="19">
        <v>46235.0</v>
      </c>
      <c r="B113" s="15" t="s">
        <v>331</v>
      </c>
      <c r="C113" s="26" t="str">
        <f t="array" ref="C113">IFERROR(INDEX('Patrimônio'!$C$7:$C$1003,MATCH($B113,'Patrimônio'!$A$7:$A$1003,0)),"")</f>
        <v>Prensa Terminal</v>
      </c>
      <c r="D113" s="17" t="s">
        <v>74</v>
      </c>
      <c r="E113" s="17" t="s">
        <v>151</v>
      </c>
      <c r="F113" s="15" t="s">
        <v>80</v>
      </c>
      <c r="G113" s="15" t="s">
        <v>83</v>
      </c>
      <c r="H113" s="17" t="s">
        <v>88</v>
      </c>
    </row>
    <row r="114" ht="15.0" customHeight="1">
      <c r="A114" s="19">
        <v>46235.0</v>
      </c>
      <c r="B114" s="15" t="s">
        <v>333</v>
      </c>
      <c r="C114" s="26" t="str">
        <f t="array" ref="C114">IFERROR(INDEX('Patrimônio'!$C$7:$C$1003,MATCH($B114,'Patrimônio'!$A$7:$A$1003,0)),"")</f>
        <v>Prensa Terminal</v>
      </c>
      <c r="D114" s="17"/>
      <c r="E114" s="17"/>
      <c r="F114" s="15" t="s">
        <v>165</v>
      </c>
      <c r="G114" s="15" t="s">
        <v>83</v>
      </c>
      <c r="H114" s="17" t="s">
        <v>177</v>
      </c>
    </row>
    <row r="115" ht="15.0" customHeight="1">
      <c r="A115" s="19">
        <v>46235.0</v>
      </c>
      <c r="B115" s="15" t="s">
        <v>335</v>
      </c>
      <c r="C115" s="26" t="str">
        <f t="array" ref="C115">IFERROR(INDEX('Patrimônio'!$C$7:$C$1003,MATCH($B115,'Patrimônio'!$A$7:$A$1003,0)),"")</f>
        <v>Prensa Gás</v>
      </c>
      <c r="D115" s="17" t="s">
        <v>127</v>
      </c>
      <c r="E115" s="17" t="s">
        <v>154</v>
      </c>
      <c r="F115" s="15" t="s">
        <v>337</v>
      </c>
      <c r="G115" s="15" t="s">
        <v>83</v>
      </c>
      <c r="H115" s="17" t="s">
        <v>88</v>
      </c>
    </row>
    <row r="116" ht="15.0" customHeight="1">
      <c r="A116" s="19">
        <v>46235.0</v>
      </c>
      <c r="B116" s="15" t="s">
        <v>338</v>
      </c>
      <c r="C116" s="26" t="str">
        <f t="array" ref="C116">IFERROR(INDEX('Patrimônio'!$C$7:$C$1003,MATCH($B116,'Patrimônio'!$A$7:$A$1003,0)),"")</f>
        <v>Manômetro</v>
      </c>
      <c r="D116" s="17" t="s">
        <v>74</v>
      </c>
      <c r="E116" s="17" t="s">
        <v>148</v>
      </c>
      <c r="F116" s="15" t="s">
        <v>80</v>
      </c>
      <c r="G116" s="15" t="s">
        <v>83</v>
      </c>
      <c r="H116" s="17" t="s">
        <v>88</v>
      </c>
    </row>
    <row r="117" ht="15.0" customHeight="1">
      <c r="A117" s="19">
        <v>46235.0</v>
      </c>
      <c r="B117" s="15" t="s">
        <v>341</v>
      </c>
      <c r="C117" s="26" t="str">
        <f t="array" ref="C117">IFERROR(INDEX('Patrimônio'!$C$7:$C$1003,MATCH($B117,'Patrimônio'!$A$7:$A$1003,0)),"")</f>
        <v/>
      </c>
      <c r="D117" s="17" t="s">
        <v>74</v>
      </c>
      <c r="E117" s="17" t="s">
        <v>127</v>
      </c>
      <c r="F117" s="15" t="s">
        <v>80</v>
      </c>
      <c r="G117" s="15" t="s">
        <v>83</v>
      </c>
      <c r="H117" s="17" t="s">
        <v>88</v>
      </c>
    </row>
    <row r="118" ht="15.0" customHeight="1">
      <c r="A118" s="19">
        <v>46235.0</v>
      </c>
      <c r="B118" s="15" t="s">
        <v>344</v>
      </c>
      <c r="C118" s="26" t="str">
        <f t="array" ref="C118">IFERROR(INDEX('Patrimônio'!$C$7:$C$1003,MATCH($B118,'Patrimônio'!$A$7:$A$1003,0)),"")</f>
        <v>Perfuratriz Extratora</v>
      </c>
      <c r="D118" s="17" t="s">
        <v>74</v>
      </c>
      <c r="E118" s="17" t="s">
        <v>142</v>
      </c>
      <c r="F118" s="15" t="s">
        <v>80</v>
      </c>
      <c r="G118" s="15" t="s">
        <v>83</v>
      </c>
      <c r="H118" s="17" t="s">
        <v>88</v>
      </c>
    </row>
    <row r="119" ht="15.0" customHeight="1">
      <c r="A119" s="19">
        <v>46235.0</v>
      </c>
      <c r="B119" s="15" t="s">
        <v>347</v>
      </c>
      <c r="C119" s="26" t="str">
        <f t="array" ref="C119">IFERROR(INDEX('Patrimônio'!$C$7:$C$1003,MATCH($B119,'Patrimônio'!$A$7:$A$1003,0)),"")</f>
        <v>Soprador</v>
      </c>
      <c r="D119" s="17" t="s">
        <v>74</v>
      </c>
      <c r="E119" s="17" t="s">
        <v>127</v>
      </c>
      <c r="F119" s="15" t="s">
        <v>80</v>
      </c>
      <c r="G119" s="15" t="s">
        <v>83</v>
      </c>
      <c r="H119" s="17" t="s">
        <v>88</v>
      </c>
    </row>
    <row r="120" ht="15.0" customHeight="1">
      <c r="A120" s="19">
        <v>46235.0</v>
      </c>
      <c r="B120" s="15" t="s">
        <v>351</v>
      </c>
      <c r="C120" s="26" t="str">
        <f t="array" ref="C120">IFERROR(INDEX('Patrimônio'!$C$7:$C$1003,MATCH($B120,'Patrimônio'!$A$7:$A$1003,0)),"")</f>
        <v>Tesoura Corta Ferro</v>
      </c>
      <c r="D120" s="17" t="s">
        <v>74</v>
      </c>
      <c r="E120" s="17" t="s">
        <v>142</v>
      </c>
      <c r="F120" s="15" t="s">
        <v>80</v>
      </c>
      <c r="G120" s="15" t="s">
        <v>83</v>
      </c>
      <c r="H120" s="17" t="s">
        <v>88</v>
      </c>
    </row>
    <row r="121" ht="15.0" customHeight="1">
      <c r="A121" s="19">
        <v>46235.0</v>
      </c>
      <c r="B121" s="15" t="s">
        <v>355</v>
      </c>
      <c r="C121" s="26" t="str">
        <f t="array" ref="C121">IFERROR(INDEX('Patrimônio'!$C$7:$C$1003,MATCH($B121,'Patrimônio'!$A$7:$A$1003,0)),"")</f>
        <v>Prensa Terminal</v>
      </c>
      <c r="D121" s="17" t="s">
        <v>74</v>
      </c>
      <c r="E121" s="17" t="s">
        <v>183</v>
      </c>
      <c r="F121" s="15" t="s">
        <v>80</v>
      </c>
      <c r="G121" s="15" t="s">
        <v>83</v>
      </c>
      <c r="H121" s="17" t="s">
        <v>88</v>
      </c>
    </row>
    <row r="122" ht="15.0" customHeight="1">
      <c r="A122" s="19">
        <v>46235.0</v>
      </c>
      <c r="B122" s="15" t="s">
        <v>360</v>
      </c>
      <c r="C122" s="26" t="str">
        <f t="array" ref="C122">IFERROR(INDEX('Patrimônio'!$C$7:$C$1003,MATCH($B122,'Patrimônio'!$A$7:$A$1003,0)),"")</f>
        <v>Prensa Pex</v>
      </c>
      <c r="D122" s="17" t="s">
        <v>74</v>
      </c>
      <c r="E122" s="17" t="s">
        <v>148</v>
      </c>
      <c r="F122" s="15" t="s">
        <v>80</v>
      </c>
      <c r="G122" s="15" t="s">
        <v>83</v>
      </c>
      <c r="H122" s="17" t="s">
        <v>88</v>
      </c>
    </row>
    <row r="123" ht="15.0" customHeight="1">
      <c r="A123" s="19">
        <v>46235.0</v>
      </c>
      <c r="B123" s="15" t="s">
        <v>361</v>
      </c>
      <c r="C123" s="26" t="str">
        <f t="array" ref="C123">IFERROR(INDEX('Patrimônio'!$C$7:$C$1003,MATCH($B123,'Patrimônio'!$A$7:$A$1003,0)),"")</f>
        <v>Pulverizadora</v>
      </c>
      <c r="D123" s="17" t="s">
        <v>74</v>
      </c>
      <c r="E123" s="17" t="s">
        <v>161</v>
      </c>
      <c r="F123" s="15" t="s">
        <v>80</v>
      </c>
      <c r="G123" s="15" t="s">
        <v>83</v>
      </c>
      <c r="H123" s="17" t="s">
        <v>88</v>
      </c>
    </row>
    <row r="124" ht="15.0" customHeight="1">
      <c r="A124" s="19">
        <v>46235.0</v>
      </c>
      <c r="B124" s="15" t="s">
        <v>364</v>
      </c>
      <c r="C124" s="26" t="str">
        <f t="array" ref="C124">IFERROR(INDEX('Patrimônio'!$C$7:$C$1003,MATCH($B124,'Patrimônio'!$A$7:$A$1003,0)),"")</f>
        <v>Alargador Pex</v>
      </c>
      <c r="D124" s="17" t="s">
        <v>74</v>
      </c>
      <c r="E124" s="17" t="s">
        <v>161</v>
      </c>
      <c r="F124" s="15" t="s">
        <v>80</v>
      </c>
      <c r="G124" s="15" t="s">
        <v>83</v>
      </c>
      <c r="H124" s="17" t="s">
        <v>88</v>
      </c>
    </row>
    <row r="125" ht="15.0" customHeight="1">
      <c r="A125" s="19">
        <v>46235.0</v>
      </c>
      <c r="B125" s="15" t="s">
        <v>365</v>
      </c>
      <c r="C125" s="26" t="str">
        <f t="array" ref="C125">IFERROR(INDEX('Patrimônio'!$C$7:$C$1003,MATCH($B125,'Patrimônio'!$A$7:$A$1003,0)),"")</f>
        <v>Alargador Pex</v>
      </c>
      <c r="D125" s="17" t="s">
        <v>74</v>
      </c>
      <c r="E125" s="17" t="s">
        <v>142</v>
      </c>
      <c r="F125" s="15" t="s">
        <v>80</v>
      </c>
      <c r="G125" s="15" t="s">
        <v>83</v>
      </c>
      <c r="H125" s="17" t="s">
        <v>88</v>
      </c>
    </row>
    <row r="126" ht="15.0" customHeight="1">
      <c r="A126" s="19">
        <v>46235.0</v>
      </c>
      <c r="B126" s="15" t="s">
        <v>367</v>
      </c>
      <c r="C126" s="26" t="str">
        <f t="array" ref="C126">IFERROR(INDEX('Patrimônio'!$C$7:$C$1003,MATCH($B126,'Patrimônio'!$A$7:$A$1003,0)),"")</f>
        <v/>
      </c>
      <c r="D126" s="17" t="s">
        <v>74</v>
      </c>
      <c r="E126" s="17" t="s">
        <v>218</v>
      </c>
      <c r="F126" s="15" t="s">
        <v>80</v>
      </c>
      <c r="G126" s="15" t="s">
        <v>83</v>
      </c>
      <c r="H126" s="17" t="s">
        <v>88</v>
      </c>
    </row>
    <row r="127" ht="15.0" customHeight="1">
      <c r="A127" s="19">
        <v>46235.0</v>
      </c>
      <c r="B127" s="15" t="s">
        <v>370</v>
      </c>
      <c r="C127" s="26" t="str">
        <f t="array" ref="C127">IFERROR(INDEX('Patrimônio'!$C$7:$C$1003,MATCH($B127,'Patrimônio'!$A$7:$A$1003,0)),"")</f>
        <v>Morsa</v>
      </c>
      <c r="D127" s="17" t="s">
        <v>74</v>
      </c>
      <c r="E127" s="17" t="s">
        <v>218</v>
      </c>
      <c r="F127" s="15" t="s">
        <v>80</v>
      </c>
      <c r="G127" s="15" t="s">
        <v>83</v>
      </c>
      <c r="H127" s="17" t="s">
        <v>88</v>
      </c>
    </row>
    <row r="128" ht="15.0" customHeight="1">
      <c r="A128" s="19">
        <v>46235.0</v>
      </c>
      <c r="B128" s="15" t="s">
        <v>374</v>
      </c>
      <c r="C128" s="26" t="str">
        <f t="array" ref="C128">IFERROR(INDEX('Patrimônio'!$C$7:$C$1003,MATCH($B128,'Patrimônio'!$A$7:$A$1003,0)),"")</f>
        <v>Morsa</v>
      </c>
      <c r="D128" s="17" t="s">
        <v>74</v>
      </c>
      <c r="E128" s="17" t="s">
        <v>148</v>
      </c>
      <c r="F128" s="15" t="s">
        <v>80</v>
      </c>
      <c r="G128" s="15" t="s">
        <v>83</v>
      </c>
      <c r="H128" s="17" t="s">
        <v>88</v>
      </c>
    </row>
    <row r="129" ht="15.0" customHeight="1">
      <c r="A129" s="19">
        <v>46235.0</v>
      </c>
      <c r="B129" s="15" t="s">
        <v>375</v>
      </c>
      <c r="C129" s="26" t="str">
        <f t="array" ref="C129">IFERROR(INDEX('Patrimônio'!$C$7:$C$1003,MATCH($B129,'Patrimônio'!$A$7:$A$1003,0)),"")</f>
        <v>Grifo 48'</v>
      </c>
      <c r="D129" s="17" t="s">
        <v>74</v>
      </c>
      <c r="E129" s="17" t="s">
        <v>154</v>
      </c>
      <c r="F129" s="15" t="s">
        <v>80</v>
      </c>
      <c r="G129" s="15" t="s">
        <v>83</v>
      </c>
      <c r="H129" s="17" t="s">
        <v>88</v>
      </c>
    </row>
    <row r="130" ht="15.0" customHeight="1">
      <c r="A130" s="19">
        <v>46235.0</v>
      </c>
      <c r="B130" s="15" t="s">
        <v>378</v>
      </c>
      <c r="C130" s="26" t="str">
        <f t="array" ref="C130">IFERROR(INDEX('Patrimônio'!$C$7:$C$1003,MATCH($B130,'Patrimônio'!$A$7:$A$1003,0)),"")</f>
        <v>Grifo 36'</v>
      </c>
      <c r="D130" s="17" t="s">
        <v>74</v>
      </c>
      <c r="E130" s="17" t="s">
        <v>154</v>
      </c>
      <c r="F130" s="15" t="s">
        <v>80</v>
      </c>
      <c r="G130" s="15" t="s">
        <v>83</v>
      </c>
      <c r="H130" s="17" t="s">
        <v>88</v>
      </c>
    </row>
    <row r="131" ht="15.0" customHeight="1">
      <c r="A131" s="19">
        <v>46235.0</v>
      </c>
      <c r="B131" s="15" t="s">
        <v>381</v>
      </c>
      <c r="C131" s="26" t="str">
        <f t="array" ref="C131">IFERROR(INDEX('Patrimônio'!$C$7:$C$1003,MATCH($B131,'Patrimônio'!$A$7:$A$1003,0)),"")</f>
        <v>Jogo De Chave Catraca</v>
      </c>
      <c r="D131" s="17" t="s">
        <v>74</v>
      </c>
      <c r="E131" s="17" t="s">
        <v>140</v>
      </c>
      <c r="F131" s="15" t="s">
        <v>80</v>
      </c>
      <c r="G131" s="15" t="s">
        <v>83</v>
      </c>
      <c r="H131" s="17" t="s">
        <v>88</v>
      </c>
    </row>
    <row r="132" ht="15.0" customHeight="1">
      <c r="A132" s="19">
        <v>46235.0</v>
      </c>
      <c r="B132" s="15" t="s">
        <v>382</v>
      </c>
      <c r="C132" s="26" t="str">
        <f t="array" ref="C132">IFERROR(INDEX('Patrimônio'!$C$7:$C$1003,MATCH($B132,'Patrimônio'!$A$7:$A$1003,0)),"")</f>
        <v>Maquina De Solda</v>
      </c>
      <c r="D132" s="17" t="s">
        <v>74</v>
      </c>
      <c r="E132" s="17" t="s">
        <v>148</v>
      </c>
      <c r="F132" s="15" t="s">
        <v>80</v>
      </c>
      <c r="G132" s="15" t="s">
        <v>83</v>
      </c>
      <c r="H132" s="17" t="s">
        <v>88</v>
      </c>
    </row>
    <row r="133" ht="15.0" customHeight="1">
      <c r="A133" s="19">
        <v>46236.0</v>
      </c>
      <c r="B133" s="15" t="s">
        <v>237</v>
      </c>
      <c r="C133" s="26" t="str">
        <f t="array" ref="C133">IFERROR(INDEX('Patrimônio'!$C$7:$C$1003,MATCH($B133,'Patrimônio'!$A$7:$A$1003,0)),"")</f>
        <v>Martelete 5Kg</v>
      </c>
      <c r="D133" s="17" t="s">
        <v>238</v>
      </c>
      <c r="E133" s="17" t="s">
        <v>218</v>
      </c>
      <c r="F133" s="15" t="s">
        <v>80</v>
      </c>
      <c r="G133" s="15" t="s">
        <v>384</v>
      </c>
      <c r="H133" s="17"/>
    </row>
    <row r="134" ht="15.0" customHeight="1">
      <c r="A134" s="19">
        <v>46245.0</v>
      </c>
      <c r="B134" s="15" t="s">
        <v>344</v>
      </c>
      <c r="C134" s="26" t="str">
        <f t="array" ref="C134">IFERROR(INDEX('Patrimônio'!$C$7:$C$1003,MATCH($B134,'Patrimônio'!$A$7:$A$1003,0)),"")</f>
        <v>Perfuratriz Extratora</v>
      </c>
      <c r="D134" s="17" t="s">
        <v>142</v>
      </c>
      <c r="E134" s="17" t="s">
        <v>371</v>
      </c>
      <c r="F134" s="15" t="s">
        <v>80</v>
      </c>
      <c r="G134" s="15" t="s">
        <v>388</v>
      </c>
      <c r="H134" s="17" t="s">
        <v>389</v>
      </c>
    </row>
    <row r="135" ht="15.0" customHeight="1">
      <c r="A135" s="19">
        <v>46023.0</v>
      </c>
      <c r="B135" s="15" t="s">
        <v>25</v>
      </c>
      <c r="C135" s="26" t="str">
        <f t="array" ref="C135">IFERROR(INDEX('Patrimônio'!$C$7:$C$1003,MATCH($B135,'Patrimônio'!$A$7:$A$1003,0)),"")</f>
        <v>Parafusadeira</v>
      </c>
      <c r="D135" s="17" t="s">
        <v>75</v>
      </c>
      <c r="E135" s="17" t="s">
        <v>75</v>
      </c>
      <c r="F135" s="15" t="s">
        <v>165</v>
      </c>
      <c r="G135" s="15" t="s">
        <v>83</v>
      </c>
      <c r="H135" s="17" t="s">
        <v>177</v>
      </c>
    </row>
    <row r="136" ht="15.0" customHeight="1">
      <c r="A136" s="19">
        <v>46023.0</v>
      </c>
      <c r="B136" s="15" t="s">
        <v>96</v>
      </c>
      <c r="C136" s="26" t="str">
        <f t="array" ref="C136">IFERROR(INDEX('Patrimônio'!$C$7:$C$1003,MATCH($B136,'Patrimônio'!$A$7:$A$1003,0)),"")</f>
        <v>Parafusadeira</v>
      </c>
      <c r="D136" s="17" t="s">
        <v>127</v>
      </c>
      <c r="E136" s="17" t="s">
        <v>127</v>
      </c>
      <c r="F136" s="15" t="s">
        <v>165</v>
      </c>
      <c r="G136" s="15" t="s">
        <v>83</v>
      </c>
      <c r="H136" s="17" t="s">
        <v>177</v>
      </c>
    </row>
    <row r="137" ht="15.0" customHeight="1">
      <c r="A137" s="19">
        <v>46023.0</v>
      </c>
      <c r="B137" s="15" t="s">
        <v>136</v>
      </c>
      <c r="C137" s="26" t="str">
        <f t="array" ref="C137">IFERROR(INDEX('Patrimônio'!$C$7:$C$1003,MATCH($B137,'Patrimônio'!$A$7:$A$1003,0)),"")</f>
        <v>Parafusadeira</v>
      </c>
      <c r="D137" s="17" t="s">
        <v>127</v>
      </c>
      <c r="E137" s="17" t="s">
        <v>127</v>
      </c>
      <c r="F137" s="15" t="s">
        <v>165</v>
      </c>
      <c r="G137" s="15" t="s">
        <v>83</v>
      </c>
      <c r="H137" s="17" t="s">
        <v>177</v>
      </c>
    </row>
    <row r="138" ht="15.0" customHeight="1">
      <c r="A138" s="19">
        <v>46024.0</v>
      </c>
      <c r="B138" s="15" t="s">
        <v>139</v>
      </c>
      <c r="C138" s="26" t="str">
        <f t="array" ref="C138">IFERROR(INDEX('Patrimônio'!$C$7:$C$1003,MATCH($B138,'Patrimônio'!$A$7:$A$1003,0)),"")</f>
        <v>Parafusadeira</v>
      </c>
      <c r="D138" s="17"/>
      <c r="E138" s="17" t="s">
        <v>163</v>
      </c>
      <c r="F138" s="15" t="s">
        <v>165</v>
      </c>
      <c r="G138" s="15" t="s">
        <v>83</v>
      </c>
      <c r="H138" s="17" t="s">
        <v>177</v>
      </c>
    </row>
    <row r="139" ht="15.0" customHeight="1">
      <c r="A139" s="19">
        <v>46025.0</v>
      </c>
      <c r="B139" s="15" t="s">
        <v>141</v>
      </c>
      <c r="C139" s="26" t="str">
        <f t="array" ref="C139">IFERROR(INDEX('Patrimônio'!$C$7:$C$1003,MATCH($B139,'Patrimônio'!$A$7:$A$1003,0)),"")</f>
        <v>Parafusadeira</v>
      </c>
      <c r="D139" s="17"/>
      <c r="E139" s="17" t="s">
        <v>163</v>
      </c>
      <c r="F139" s="15" t="s">
        <v>165</v>
      </c>
      <c r="G139" s="15" t="s">
        <v>83</v>
      </c>
      <c r="H139" s="17" t="s">
        <v>177</v>
      </c>
    </row>
    <row r="140" ht="15.0" customHeight="1">
      <c r="A140" s="19">
        <v>46025.0</v>
      </c>
      <c r="B140" s="15" t="s">
        <v>179</v>
      </c>
      <c r="C140" s="26" t="str">
        <f t="array" ref="C140">IFERROR(INDEX('Patrimônio'!$C$7:$C$1003,MATCH($B140,'Patrimônio'!$A$7:$A$1003,0)),"")</f>
        <v>Rompedor</v>
      </c>
      <c r="D140" s="17"/>
      <c r="E140" s="17" t="s">
        <v>163</v>
      </c>
      <c r="F140" s="15" t="s">
        <v>165</v>
      </c>
      <c r="G140" s="15" t="s">
        <v>83</v>
      </c>
      <c r="H140" s="17" t="s">
        <v>177</v>
      </c>
    </row>
    <row r="141" ht="15.0" customHeight="1">
      <c r="A141" s="19">
        <v>46025.0</v>
      </c>
      <c r="B141" s="15" t="s">
        <v>207</v>
      </c>
      <c r="C141" s="26" t="str">
        <f t="array" ref="C141">IFERROR(INDEX('Patrimônio'!$C$7:$C$1003,MATCH($B141,'Patrimônio'!$A$7:$A$1003,0)),"")</f>
        <v>Esmerilhadeira</v>
      </c>
      <c r="D141" s="17"/>
      <c r="E141" s="17" t="s">
        <v>163</v>
      </c>
      <c r="F141" s="15" t="s">
        <v>165</v>
      </c>
      <c r="G141" s="15" t="s">
        <v>83</v>
      </c>
      <c r="H141" s="17" t="s">
        <v>177</v>
      </c>
    </row>
    <row r="142" ht="15.0" customHeight="1">
      <c r="A142" s="19">
        <v>46025.0</v>
      </c>
      <c r="B142" s="15" t="s">
        <v>223</v>
      </c>
      <c r="C142" s="26" t="str">
        <f t="array" ref="C142">IFERROR(INDEX('Patrimônio'!$C$7:$C$1003,MATCH($B142,'Patrimônio'!$A$7:$A$1003,0)),"")</f>
        <v>Serra Mármore</v>
      </c>
      <c r="D142" s="17"/>
      <c r="E142" s="17" t="s">
        <v>163</v>
      </c>
      <c r="F142" s="15" t="s">
        <v>165</v>
      </c>
      <c r="G142" s="15" t="s">
        <v>83</v>
      </c>
      <c r="H142" s="17" t="s">
        <v>177</v>
      </c>
    </row>
    <row r="143" ht="15.0" customHeight="1">
      <c r="A143" s="19">
        <v>46025.0</v>
      </c>
      <c r="B143" s="15" t="s">
        <v>260</v>
      </c>
      <c r="C143" s="26" t="str">
        <f t="array" ref="C143">IFERROR(INDEX('Patrimônio'!$C$7:$C$1003,MATCH($B143,'Patrimônio'!$A$7:$A$1003,0)),"")</f>
        <v>Perfuratriz</v>
      </c>
      <c r="D143" s="17"/>
      <c r="E143" s="17" t="s">
        <v>163</v>
      </c>
      <c r="F143" s="15" t="s">
        <v>165</v>
      </c>
      <c r="G143" s="15" t="s">
        <v>83</v>
      </c>
      <c r="H143" s="17" t="s">
        <v>177</v>
      </c>
    </row>
    <row r="144" ht="15.0" customHeight="1">
      <c r="A144" s="19">
        <v>46025.0</v>
      </c>
      <c r="B144" s="15" t="s">
        <v>284</v>
      </c>
      <c r="C144" s="26" t="str">
        <f t="array" ref="C144">IFERROR(INDEX('Patrimônio'!$C$7:$C$1003,MATCH($B144,'Patrimônio'!$A$7:$A$1003,0)),"")</f>
        <v>Pistola Finca Pino</v>
      </c>
      <c r="D144" s="17"/>
      <c r="E144" s="17" t="s">
        <v>163</v>
      </c>
      <c r="F144" s="15" t="s">
        <v>165</v>
      </c>
      <c r="G144" s="15" t="s">
        <v>83</v>
      </c>
      <c r="H144" s="17" t="s">
        <v>177</v>
      </c>
    </row>
    <row r="145" ht="15.0" customHeight="1">
      <c r="A145" s="19">
        <v>46025.0</v>
      </c>
      <c r="B145" s="15" t="s">
        <v>329</v>
      </c>
      <c r="C145" s="26" t="str">
        <f t="array" ref="C145">IFERROR(INDEX('Patrimônio'!$C$7:$C$1003,MATCH($B145,'Patrimônio'!$A$7:$A$1003,0)),"")</f>
        <v>Prensa Terminal</v>
      </c>
      <c r="D145" s="17"/>
      <c r="E145" s="17" t="s">
        <v>163</v>
      </c>
      <c r="F145" s="15" t="s">
        <v>165</v>
      </c>
      <c r="G145" s="15" t="s">
        <v>83</v>
      </c>
      <c r="H145" s="17" t="s">
        <v>177</v>
      </c>
    </row>
    <row r="146" ht="15.0" customHeight="1">
      <c r="A146" s="19">
        <v>46025.0</v>
      </c>
      <c r="B146" s="15" t="s">
        <v>185</v>
      </c>
      <c r="C146" s="26" t="str">
        <f t="array" ref="C146">IFERROR(INDEX('Patrimônio'!$C$7:$C$1003,MATCH($B146,'Patrimônio'!$A$7:$A$1003,0)),"")</f>
        <v>Rompedor</v>
      </c>
      <c r="D146" s="17"/>
      <c r="E146" s="17" t="s">
        <v>127</v>
      </c>
      <c r="F146" s="15" t="s">
        <v>165</v>
      </c>
      <c r="G146" s="15" t="s">
        <v>83</v>
      </c>
      <c r="H146" s="17" t="s">
        <v>177</v>
      </c>
    </row>
    <row r="147" ht="15.0" customHeight="1">
      <c r="A147" s="19">
        <v>46025.0</v>
      </c>
      <c r="B147" s="15" t="s">
        <v>227</v>
      </c>
      <c r="C147" s="26" t="str">
        <f t="array" ref="C147">IFERROR(INDEX('Patrimônio'!$C$7:$C$1003,MATCH($B147,'Patrimônio'!$A$7:$A$1003,0)),"")</f>
        <v>Serra Mármore</v>
      </c>
      <c r="D147" s="17" t="s">
        <v>127</v>
      </c>
      <c r="E147" s="17" t="s">
        <v>154</v>
      </c>
      <c r="F147" s="15" t="s">
        <v>165</v>
      </c>
      <c r="G147" s="15" t="s">
        <v>83</v>
      </c>
      <c r="H147" s="17" t="s">
        <v>177</v>
      </c>
    </row>
    <row r="148" ht="15.0" customHeight="1">
      <c r="A148" s="19">
        <v>46025.0</v>
      </c>
      <c r="B148" s="15" t="s">
        <v>245</v>
      </c>
      <c r="C148" s="26" t="str">
        <f t="array" ref="C148">IFERROR(INDEX('Patrimônio'!$C$7:$C$1003,MATCH($B148,'Patrimônio'!$A$7:$A$1003,0)),"")</f>
        <v>Laser</v>
      </c>
      <c r="D148" s="17"/>
      <c r="E148" s="17" t="s">
        <v>127</v>
      </c>
      <c r="F148" s="15" t="s">
        <v>165</v>
      </c>
      <c r="G148" s="15" t="s">
        <v>83</v>
      </c>
      <c r="H148" s="17" t="s">
        <v>177</v>
      </c>
    </row>
    <row r="149" ht="15.0" customHeight="1">
      <c r="A149" s="19">
        <v>46025.0</v>
      </c>
      <c r="B149" s="15" t="s">
        <v>274</v>
      </c>
      <c r="C149" s="26" t="str">
        <f t="array" ref="C149">IFERROR(INDEX('Patrimônio'!$C$7:$C$1003,MATCH($B149,'Patrimônio'!$A$7:$A$1003,0)),"")</f>
        <v>Termofusor</v>
      </c>
      <c r="D149" s="17"/>
      <c r="E149" s="17" t="s">
        <v>127</v>
      </c>
      <c r="F149" s="15" t="s">
        <v>165</v>
      </c>
      <c r="G149" s="15" t="s">
        <v>83</v>
      </c>
      <c r="H149" s="17" t="s">
        <v>177</v>
      </c>
    </row>
    <row r="150" ht="15.0" customHeight="1">
      <c r="A150" s="19">
        <v>46025.0</v>
      </c>
      <c r="B150" s="15" t="s">
        <v>347</v>
      </c>
      <c r="C150" s="26" t="str">
        <f t="array" ref="C150">IFERROR(INDEX('Patrimônio'!$C$7:$C$1003,MATCH($B150,'Patrimônio'!$A$7:$A$1003,0)),"")</f>
        <v>Soprador</v>
      </c>
      <c r="D150" s="17" t="s">
        <v>127</v>
      </c>
      <c r="E150" s="17" t="s">
        <v>127</v>
      </c>
      <c r="F150" s="15" t="s">
        <v>165</v>
      </c>
      <c r="G150" s="15" t="s">
        <v>83</v>
      </c>
      <c r="H150" s="17" t="s">
        <v>177</v>
      </c>
    </row>
    <row r="151" ht="15.0" customHeight="1">
      <c r="A151" s="19">
        <v>46235.0</v>
      </c>
      <c r="B151" s="15" t="s">
        <v>318</v>
      </c>
      <c r="C151" s="26" t="str">
        <f t="array" ref="C151">IFERROR(INDEX('Patrimônio'!$C$7:$C$1003,MATCH($B151,'Patrimônio'!$A$7:$A$1003,0)),"")</f>
        <v>Prensa Pex</v>
      </c>
      <c r="D151" s="17" t="s">
        <v>127</v>
      </c>
      <c r="E151" s="17" t="s">
        <v>154</v>
      </c>
      <c r="F151" s="15" t="s">
        <v>337</v>
      </c>
      <c r="G151" s="15" t="s">
        <v>412</v>
      </c>
      <c r="H151" s="17"/>
    </row>
    <row r="152" ht="15.0" customHeight="1">
      <c r="A152" s="19">
        <v>46235.0</v>
      </c>
      <c r="B152" s="15" t="s">
        <v>320</v>
      </c>
      <c r="C152" s="26" t="str">
        <f t="array" ref="C152">IFERROR(INDEX('Patrimônio'!$C$7:$C$1003,MATCH($B152,'Patrimônio'!$A$7:$A$1003,0)),"")</f>
        <v>Prensa Pex</v>
      </c>
      <c r="D152" s="17" t="s">
        <v>208</v>
      </c>
      <c r="E152" s="17" t="s">
        <v>148</v>
      </c>
      <c r="F152" s="15" t="s">
        <v>337</v>
      </c>
      <c r="G152" s="15" t="s">
        <v>416</v>
      </c>
      <c r="H152" s="17"/>
    </row>
    <row r="153" ht="15.0" customHeight="1">
      <c r="A153" s="19">
        <v>46236.0</v>
      </c>
      <c r="B153" s="15" t="s">
        <v>297</v>
      </c>
      <c r="C153" s="26" t="str">
        <f t="array" ref="C153">IFERROR(INDEX('Patrimônio'!$C$7:$C$1003,MATCH($B153,'Patrimônio'!$A$7:$A$1003,0)),"")</f>
        <v>Pistola Finca Pino</v>
      </c>
      <c r="D153" s="17"/>
      <c r="E153" s="17" t="s">
        <v>238</v>
      </c>
      <c r="F153" s="15" t="s">
        <v>165</v>
      </c>
      <c r="G153" s="15" t="s">
        <v>417</v>
      </c>
      <c r="H153" s="17" t="s">
        <v>177</v>
      </c>
    </row>
    <row r="154" ht="15.0" customHeight="1">
      <c r="A154" s="19">
        <v>46237.0</v>
      </c>
      <c r="B154" s="15" t="s">
        <v>266</v>
      </c>
      <c r="C154" s="26" t="str">
        <f t="array" ref="C154">IFERROR(INDEX('Patrimônio'!$C$7:$C$1003,MATCH($B154,'Patrimônio'!$A$7:$A$1003,0)),"")</f>
        <v>Parafusadeira</v>
      </c>
      <c r="D154" s="17"/>
      <c r="E154" s="17" t="s">
        <v>218</v>
      </c>
      <c r="F154" s="15" t="s">
        <v>135</v>
      </c>
      <c r="G154" s="15" t="s">
        <v>420</v>
      </c>
      <c r="H154" s="17" t="s">
        <v>421</v>
      </c>
    </row>
    <row r="155" ht="15.0" customHeight="1">
      <c r="A155" s="19">
        <v>46246.0</v>
      </c>
      <c r="B155" s="15" t="s">
        <v>146</v>
      </c>
      <c r="C155" s="26" t="str">
        <f t="array" ref="C155">IFERROR(INDEX('Patrimônio'!$C$7:$C$1003,MATCH($B155,'Patrimônio'!$A$7:$A$1003,0)),"")</f>
        <v>Perfuratriz</v>
      </c>
      <c r="D155" s="17" t="s">
        <v>150</v>
      </c>
      <c r="E155" s="17" t="s">
        <v>142</v>
      </c>
      <c r="F155" s="15" t="s">
        <v>337</v>
      </c>
      <c r="G155" s="15" t="s">
        <v>423</v>
      </c>
      <c r="H155" s="17"/>
    </row>
    <row r="156" ht="15.0" customHeight="1">
      <c r="A156" s="19">
        <v>46246.0</v>
      </c>
      <c r="B156" s="15" t="s">
        <v>156</v>
      </c>
      <c r="C156" s="26" t="str">
        <f t="array" ref="C156">IFERROR(INDEX('Patrimônio'!$C$7:$C$1003,MATCH($B156,'Patrimônio'!$A$7:$A$1003,0)),"")</f>
        <v>Parafusadeira</v>
      </c>
      <c r="D156" s="17" t="s">
        <v>159</v>
      </c>
      <c r="E156" s="17" t="s">
        <v>150</v>
      </c>
      <c r="F156" s="15" t="s">
        <v>337</v>
      </c>
      <c r="G156" s="15" t="s">
        <v>425</v>
      </c>
      <c r="H156" s="17"/>
    </row>
    <row r="157" ht="15.0" customHeight="1">
      <c r="A157" s="19">
        <v>46247.0</v>
      </c>
      <c r="B157" s="15" t="s">
        <v>63</v>
      </c>
      <c r="C157" s="26" t="str">
        <f t="array" ref="C157">IFERROR(INDEX('Patrimônio'!$C$7:$C$1003,MATCH($B157,'Patrimônio'!$A$7:$A$1003,0)),"")</f>
        <v>Parafusadeira</v>
      </c>
      <c r="D157" s="17" t="s">
        <v>427</v>
      </c>
      <c r="E157" s="17" t="s">
        <v>120</v>
      </c>
      <c r="F157" s="15" t="s">
        <v>429</v>
      </c>
      <c r="G157" s="15" t="s">
        <v>430</v>
      </c>
      <c r="H157" s="17"/>
    </row>
    <row r="158" ht="15.0" customHeight="1">
      <c r="A158" s="19">
        <v>46247.0</v>
      </c>
      <c r="B158" s="15" t="s">
        <v>237</v>
      </c>
      <c r="C158" s="26" t="str">
        <f t="array" ref="C158">IFERROR(INDEX('Patrimônio'!$C$7:$C$1003,MATCH($B158,'Patrimônio'!$A$7:$A$1003,0)),"")</f>
        <v>Martelete 5Kg</v>
      </c>
      <c r="D158" s="17" t="s">
        <v>74</v>
      </c>
      <c r="E158" s="17" t="s">
        <v>120</v>
      </c>
      <c r="F158" s="15" t="s">
        <v>337</v>
      </c>
      <c r="G158" s="15" t="s">
        <v>430</v>
      </c>
      <c r="H158" s="17"/>
    </row>
    <row r="159" ht="15.0" customHeight="1">
      <c r="A159" s="19">
        <v>46235.0</v>
      </c>
      <c r="B159" s="15" t="s">
        <v>155</v>
      </c>
      <c r="C159" s="26" t="str">
        <f t="array" ref="C159">IFERROR(INDEX('Patrimônio'!$C$7:$C$1003,MATCH($B159,'Patrimônio'!$A$7:$A$1003,0)),"")</f>
        <v>Parafusadeira</v>
      </c>
      <c r="D159" s="17" t="s">
        <v>208</v>
      </c>
      <c r="E159" s="17" t="s">
        <v>163</v>
      </c>
      <c r="F159" s="15" t="s">
        <v>165</v>
      </c>
      <c r="G159" s="15" t="s">
        <v>83</v>
      </c>
      <c r="H159" s="17" t="s">
        <v>177</v>
      </c>
    </row>
    <row r="160" ht="15.0" customHeight="1">
      <c r="A160" s="19">
        <v>46235.0</v>
      </c>
      <c r="B160" s="15" t="s">
        <v>160</v>
      </c>
      <c r="C160" s="26" t="str">
        <f t="array" ref="C160">IFERROR(INDEX('Patrimônio'!$C$7:$C$1003,MATCH($B160,'Patrimônio'!$A$7:$A$1003,0)),"")</f>
        <v>Parafusadeira</v>
      </c>
      <c r="D160" s="17" t="s">
        <v>433</v>
      </c>
      <c r="E160" s="17" t="s">
        <v>163</v>
      </c>
      <c r="F160" s="15" t="s">
        <v>165</v>
      </c>
      <c r="G160" s="15" t="s">
        <v>83</v>
      </c>
      <c r="H160" s="17" t="s">
        <v>177</v>
      </c>
    </row>
    <row r="161" ht="15.0" customHeight="1">
      <c r="A161" s="19">
        <v>46235.0</v>
      </c>
      <c r="B161" s="15" t="s">
        <v>156</v>
      </c>
      <c r="C161" s="26" t="str">
        <f t="array" ref="C161">IFERROR(INDEX('Patrimônio'!$C$7:$C$1003,MATCH($B161,'Patrimônio'!$A$7:$A$1003,0)),"")</f>
        <v>Parafusadeira</v>
      </c>
      <c r="D161" s="17" t="s">
        <v>163</v>
      </c>
      <c r="E161" s="17" t="s">
        <v>150</v>
      </c>
      <c r="F161" s="15" t="s">
        <v>337</v>
      </c>
      <c r="G161" s="15" t="s">
        <v>83</v>
      </c>
      <c r="H161" s="17"/>
    </row>
    <row r="162" ht="15.0" customHeight="1">
      <c r="A162" s="19">
        <v>46235.0</v>
      </c>
      <c r="B162" s="15" t="s">
        <v>156</v>
      </c>
      <c r="C162" s="26" t="str">
        <f t="array" ref="C162">IFERROR(INDEX('Patrimônio'!$C$7:$C$1003,MATCH($B162,'Patrimônio'!$A$7:$A$1003,0)),"")</f>
        <v>Parafusadeira</v>
      </c>
      <c r="D162" s="17" t="s">
        <v>150</v>
      </c>
      <c r="E162" s="17" t="s">
        <v>151</v>
      </c>
      <c r="F162" s="15" t="s">
        <v>337</v>
      </c>
      <c r="G162" s="15" t="s">
        <v>439</v>
      </c>
      <c r="H162" s="17"/>
    </row>
    <row r="163" ht="15.0" customHeight="1">
      <c r="A163" s="19">
        <v>46248.0</v>
      </c>
      <c r="B163" s="15" t="s">
        <v>138</v>
      </c>
      <c r="C163" s="26" t="str">
        <f t="array" ref="C163">IFERROR(INDEX('Patrimônio'!$C$7:$C$1003,MATCH($B163,'Patrimônio'!$A$7:$A$1003,0)),"")</f>
        <v>Rompedor</v>
      </c>
      <c r="D163" s="17" t="s">
        <v>427</v>
      </c>
      <c r="E163" s="17" t="s">
        <v>142</v>
      </c>
      <c r="F163" s="15" t="s">
        <v>429</v>
      </c>
      <c r="G163" s="15" t="s">
        <v>423</v>
      </c>
      <c r="H163" s="17"/>
    </row>
    <row r="164" ht="15.0" customHeight="1">
      <c r="A164" s="19">
        <v>46244.0</v>
      </c>
      <c r="B164" s="15" t="s">
        <v>374</v>
      </c>
      <c r="C164" s="26" t="str">
        <f t="array" ref="C164">IFERROR(INDEX('Patrimônio'!$C$7:$C$1003,MATCH($B164,'Patrimônio'!$A$7:$A$1003,0)),"")</f>
        <v>Morsa</v>
      </c>
      <c r="D164" s="17" t="s">
        <v>148</v>
      </c>
      <c r="E164" s="17" t="s">
        <v>151</v>
      </c>
      <c r="F164" s="15" t="s">
        <v>337</v>
      </c>
      <c r="G164" s="15" t="s">
        <v>439</v>
      </c>
      <c r="H164" s="17"/>
    </row>
    <row r="165" ht="15.0" customHeight="1">
      <c r="A165" s="19">
        <v>46251.0</v>
      </c>
      <c r="B165" s="15" t="s">
        <v>263</v>
      </c>
      <c r="C165" s="26" t="str">
        <f t="array" ref="C165">IFERROR(INDEX('Patrimônio'!$C$7:$C$1003,MATCH($B165,'Patrimônio'!$A$7:$A$1003,0)),"")</f>
        <v>Perfuratriz</v>
      </c>
      <c r="D165" s="17" t="s">
        <v>148</v>
      </c>
      <c r="E165" s="17" t="s">
        <v>166</v>
      </c>
      <c r="F165" s="15" t="s">
        <v>337</v>
      </c>
      <c r="G165" s="15" t="s">
        <v>442</v>
      </c>
      <c r="H165" s="17"/>
    </row>
    <row r="166" ht="15.0" customHeight="1">
      <c r="A166" s="19">
        <v>46251.0</v>
      </c>
      <c r="B166" s="15" t="s">
        <v>344</v>
      </c>
      <c r="C166" s="26" t="str">
        <f t="array" ref="C166">IFERROR(INDEX('Patrimônio'!$C$7:$C$1003,MATCH($B166,'Patrimônio'!$A$7:$A$1003,0)),"")</f>
        <v>Perfuratriz Extratora</v>
      </c>
      <c r="D166" s="17" t="s">
        <v>371</v>
      </c>
      <c r="E166" s="17" t="s">
        <v>151</v>
      </c>
      <c r="F166" s="15" t="s">
        <v>337</v>
      </c>
      <c r="G166" s="15" t="s">
        <v>439</v>
      </c>
      <c r="H166" s="17"/>
    </row>
    <row r="167" ht="15.0" customHeight="1">
      <c r="A167" s="19">
        <v>46235.0</v>
      </c>
      <c r="B167" s="15" t="s">
        <v>149</v>
      </c>
      <c r="C167" s="26" t="str">
        <f t="array" ref="C167">IFERROR(INDEX('Patrimônio'!$C$7:$C$1003,MATCH($B167,'Patrimônio'!$A$7:$A$1003,0)),"")</f>
        <v>Parafusadeira</v>
      </c>
      <c r="D167" s="17" t="s">
        <v>208</v>
      </c>
      <c r="E167" s="17" t="s">
        <v>163</v>
      </c>
      <c r="F167" s="15" t="s">
        <v>165</v>
      </c>
      <c r="G167" s="15" t="s">
        <v>83</v>
      </c>
      <c r="H167" s="17" t="s">
        <v>233</v>
      </c>
    </row>
    <row r="168" ht="15.0" customHeight="1">
      <c r="A168" s="19">
        <v>46235.0</v>
      </c>
      <c r="B168" s="15" t="s">
        <v>162</v>
      </c>
      <c r="C168" s="26" t="str">
        <f t="array" ref="C168">IFERROR(INDEX('Patrimônio'!$C$7:$C$1003,MATCH($B168,'Patrimônio'!$A$7:$A$1003,0)),"")</f>
        <v>Pistola Finca Pino</v>
      </c>
      <c r="D168" s="17" t="s">
        <v>433</v>
      </c>
      <c r="E168" s="17" t="s">
        <v>163</v>
      </c>
      <c r="F168" s="15" t="s">
        <v>165</v>
      </c>
      <c r="G168" s="15" t="s">
        <v>83</v>
      </c>
      <c r="H168" s="17" t="s">
        <v>444</v>
      </c>
    </row>
    <row r="169" ht="15.0" customHeight="1">
      <c r="A169" s="19">
        <v>46235.0</v>
      </c>
      <c r="B169" s="15" t="s">
        <v>296</v>
      </c>
      <c r="C169" s="26" t="str">
        <f t="array" ref="C169">IFERROR(INDEX('Patrimônio'!$C$7:$C$1003,MATCH($B169,'Patrimônio'!$A$7:$A$1003,0)),"")</f>
        <v>Pistola Finca Pino</v>
      </c>
      <c r="D169" s="17" t="s">
        <v>433</v>
      </c>
      <c r="E169" s="17" t="s">
        <v>163</v>
      </c>
      <c r="F169" s="15" t="s">
        <v>165</v>
      </c>
      <c r="G169" s="15" t="s">
        <v>83</v>
      </c>
      <c r="H169" s="17" t="s">
        <v>444</v>
      </c>
    </row>
    <row r="170" ht="15.0" customHeight="1">
      <c r="A170" s="19">
        <v>46235.0</v>
      </c>
      <c r="B170" s="15" t="s">
        <v>258</v>
      </c>
      <c r="C170" s="26" t="str">
        <f t="array" ref="C170">IFERROR(INDEX('Patrimônio'!$C$7:$C$1003,MATCH($B170,'Patrimônio'!$A$7:$A$1003,0)),"")</f>
        <v>Laser</v>
      </c>
      <c r="D170" s="17" t="s">
        <v>433</v>
      </c>
      <c r="E170" s="17" t="s">
        <v>163</v>
      </c>
      <c r="F170" s="15" t="s">
        <v>165</v>
      </c>
      <c r="G170" s="15" t="s">
        <v>83</v>
      </c>
      <c r="H170" s="17" t="s">
        <v>421</v>
      </c>
    </row>
    <row r="171" ht="15.0" customHeight="1">
      <c r="A171" s="19">
        <v>46235.0</v>
      </c>
      <c r="B171" s="15" t="s">
        <v>145</v>
      </c>
      <c r="C171" s="26" t="str">
        <f t="array" ref="C171">IFERROR(INDEX('Patrimônio'!$C$7:$C$1003,MATCH($B171,'Patrimônio'!$A$7:$A$1003,0)),"")</f>
        <v>Parafusadeira</v>
      </c>
      <c r="D171" s="17" t="s">
        <v>120</v>
      </c>
      <c r="E171" s="17" t="s">
        <v>163</v>
      </c>
      <c r="F171" s="15" t="s">
        <v>165</v>
      </c>
      <c r="G171" s="15" t="s">
        <v>83</v>
      </c>
      <c r="H171" s="17" t="s">
        <v>177</v>
      </c>
    </row>
    <row r="172" ht="15.0" customHeight="1">
      <c r="A172" s="19">
        <v>46248.0</v>
      </c>
      <c r="B172" s="15" t="s">
        <v>322</v>
      </c>
      <c r="C172" s="26" t="str">
        <f t="array" ref="C172">IFERROR(INDEX('Patrimônio'!$C$7:$C$1003,MATCH($B172,'Patrimônio'!$A$7:$A$1003,0)),"")</f>
        <v>Prensa Pex</v>
      </c>
      <c r="D172" s="17" t="s">
        <v>208</v>
      </c>
      <c r="E172" s="17" t="s">
        <v>142</v>
      </c>
      <c r="F172" s="15" t="s">
        <v>337</v>
      </c>
      <c r="G172" s="15" t="s">
        <v>423</v>
      </c>
      <c r="H172" s="17"/>
    </row>
    <row r="173" ht="15.0" customHeight="1">
      <c r="A173" s="19">
        <v>46252.0</v>
      </c>
      <c r="B173" s="15" t="s">
        <v>242</v>
      </c>
      <c r="C173" s="26" t="str">
        <f t="array" ref="C173">IFERROR(INDEX('Patrimônio'!$C$7:$C$1003,MATCH($B173,'Patrimônio'!$A$7:$A$1003,0)),"")</f>
        <v>Martelete 10Kg</v>
      </c>
      <c r="D173" s="17" t="s">
        <v>148</v>
      </c>
      <c r="E173" s="17" t="s">
        <v>151</v>
      </c>
      <c r="F173" s="15" t="s">
        <v>337</v>
      </c>
      <c r="G173" s="15" t="s">
        <v>83</v>
      </c>
      <c r="H173" s="17"/>
    </row>
    <row r="174" ht="15.0" customHeight="1">
      <c r="A174" s="19">
        <v>46252.0</v>
      </c>
      <c r="B174" s="15" t="s">
        <v>382</v>
      </c>
      <c r="C174" s="26" t="str">
        <f t="array" ref="C174">IFERROR(INDEX('Patrimônio'!$C$7:$C$1003,MATCH($B174,'Patrimônio'!$A$7:$A$1003,0)),"")</f>
        <v>Maquina De Solda</v>
      </c>
      <c r="D174" s="17" t="s">
        <v>148</v>
      </c>
      <c r="E174" s="17" t="s">
        <v>142</v>
      </c>
      <c r="F174" s="15" t="s">
        <v>337</v>
      </c>
      <c r="G174" s="15" t="s">
        <v>423</v>
      </c>
      <c r="H174" s="17"/>
    </row>
    <row r="175" ht="15.0" customHeight="1">
      <c r="A175" s="19">
        <v>46252.0</v>
      </c>
      <c r="B175" s="15" t="s">
        <v>281</v>
      </c>
      <c r="C175" s="26" t="str">
        <f t="array" ref="C175">IFERROR(INDEX('Patrimônio'!$C$7:$C$1003,MATCH($B175,'Patrimônio'!$A$7:$A$1003,0)),"")</f>
        <v>Soprador</v>
      </c>
      <c r="D175" s="17" t="s">
        <v>148</v>
      </c>
      <c r="E175" s="17" t="s">
        <v>151</v>
      </c>
      <c r="F175" s="15" t="s">
        <v>337</v>
      </c>
      <c r="G175" s="15" t="s">
        <v>83</v>
      </c>
      <c r="H175" s="17"/>
    </row>
    <row r="176" ht="15.0" customHeight="1">
      <c r="A176" s="19">
        <v>46252.0</v>
      </c>
      <c r="B176" s="15" t="s">
        <v>449</v>
      </c>
      <c r="C176" s="26" t="str">
        <f t="array" ref="C176">IFERROR(INDEX('Patrimônio'!$C$7:$C$1003,MATCH($B176,'Patrimônio'!$A$7:$A$1003,0)),"")</f>
        <v>Grifo 36'</v>
      </c>
      <c r="D176" s="17" t="s">
        <v>148</v>
      </c>
      <c r="E176" s="17" t="s">
        <v>142</v>
      </c>
      <c r="F176" s="15" t="s">
        <v>337</v>
      </c>
      <c r="G176" s="15" t="s">
        <v>423</v>
      </c>
      <c r="H176" s="17"/>
    </row>
    <row r="177" ht="15.0" customHeight="1">
      <c r="A177" s="19">
        <v>46235.0</v>
      </c>
      <c r="B177" s="15" t="s">
        <v>450</v>
      </c>
      <c r="C177" s="26" t="str">
        <f t="array" ref="C177">IFERROR(INDEX('Patrimônio'!$C$7:$C$1003,MATCH($B177,'Patrimônio'!$A$7:$A$1003,0)),"")</f>
        <v>Morsa</v>
      </c>
      <c r="D177" s="17" t="s">
        <v>74</v>
      </c>
      <c r="E177" s="17" t="s">
        <v>151</v>
      </c>
      <c r="F177" s="15" t="s">
        <v>80</v>
      </c>
      <c r="G177" s="15" t="s">
        <v>439</v>
      </c>
      <c r="H177" s="17"/>
    </row>
    <row r="178" ht="15.0" customHeight="1">
      <c r="A178" s="19">
        <v>46235.0</v>
      </c>
      <c r="B178" s="15" t="s">
        <v>273</v>
      </c>
      <c r="C178" s="26" t="str">
        <f t="array" ref="C178">IFERROR(INDEX('Patrimônio'!$C$7:$C$1003,MATCH($B178,'Patrimônio'!$A$7:$A$1003,0)),"")</f>
        <v>Morsa</v>
      </c>
      <c r="D178" s="17" t="s">
        <v>238</v>
      </c>
      <c r="E178" s="17" t="s">
        <v>166</v>
      </c>
      <c r="F178" s="15" t="s">
        <v>337</v>
      </c>
      <c r="G178" s="15" t="s">
        <v>442</v>
      </c>
      <c r="H178" s="17"/>
    </row>
    <row r="179" ht="15.0" customHeight="1">
      <c r="A179" s="19">
        <v>46253.0</v>
      </c>
      <c r="B179" s="15" t="s">
        <v>264</v>
      </c>
      <c r="C179" s="26" t="str">
        <f t="array" ref="C179">IFERROR(INDEX('Patrimônio'!$C$7:$C$1003,MATCH($B179,'Patrimônio'!$A$7:$A$1003,0)),"")</f>
        <v>Perfuratriz</v>
      </c>
      <c r="D179" s="17" t="s">
        <v>427</v>
      </c>
      <c r="E179" s="17" t="s">
        <v>150</v>
      </c>
      <c r="F179" s="15" t="s">
        <v>429</v>
      </c>
      <c r="G179" s="15" t="s">
        <v>425</v>
      </c>
      <c r="H179" s="17"/>
    </row>
    <row r="180" ht="15.0" customHeight="1">
      <c r="A180" s="19">
        <v>46253.0</v>
      </c>
      <c r="B180" s="15" t="s">
        <v>172</v>
      </c>
      <c r="C180" s="26" t="str">
        <f t="array" ref="C180">IFERROR(INDEX('Patrimônio'!$C$7:$C$1003,MATCH($B180,'Patrimônio'!$A$7:$A$1003,0)),"")</f>
        <v>Perfuratriz</v>
      </c>
      <c r="D180" s="17" t="s">
        <v>150</v>
      </c>
      <c r="E180" s="17" t="s">
        <v>427</v>
      </c>
      <c r="F180" s="15" t="s">
        <v>453</v>
      </c>
      <c r="G180" s="15" t="s">
        <v>439</v>
      </c>
      <c r="H180" s="17"/>
    </row>
    <row r="181" ht="15.0" customHeight="1">
      <c r="A181" s="19">
        <v>46253.0</v>
      </c>
      <c r="B181" s="15" t="s">
        <v>378</v>
      </c>
      <c r="C181" s="26" t="str">
        <f t="array" ref="C181">IFERROR(INDEX('Patrimônio'!$C$7:$C$1003,MATCH($B181,'Patrimônio'!$A$7:$A$1003,0)),"")</f>
        <v>Grifo 36'</v>
      </c>
      <c r="D181" s="17" t="s">
        <v>150</v>
      </c>
      <c r="E181" s="17" t="s">
        <v>142</v>
      </c>
      <c r="F181" s="15" t="s">
        <v>337</v>
      </c>
      <c r="G181" s="15" t="s">
        <v>423</v>
      </c>
      <c r="H181" s="17"/>
    </row>
    <row r="182" ht="15.0" customHeight="1">
      <c r="A182" s="19">
        <v>46253.0</v>
      </c>
      <c r="B182" s="15" t="s">
        <v>374</v>
      </c>
      <c r="C182" s="26" t="str">
        <f t="array" ref="C182">IFERROR(INDEX('Patrimônio'!$C$7:$C$1003,MATCH($B182,'Patrimônio'!$A$7:$A$1003,0)),"")</f>
        <v>Morsa</v>
      </c>
      <c r="D182" s="17" t="s">
        <v>208</v>
      </c>
      <c r="E182" s="17" t="s">
        <v>142</v>
      </c>
      <c r="F182" s="15" t="s">
        <v>337</v>
      </c>
      <c r="G182" s="15" t="s">
        <v>423</v>
      </c>
      <c r="H182" s="17"/>
    </row>
    <row r="183" ht="15.0" customHeight="1">
      <c r="A183" s="19">
        <v>46254.0</v>
      </c>
      <c r="B183" s="15" t="s">
        <v>455</v>
      </c>
      <c r="C183" s="26" t="str">
        <f t="array" ref="C183">IFERROR(INDEX('Patrimônio'!$C$7:$C$1003,MATCH($B183,'Patrimônio'!$A$7:$A$1003,0)),"")</f>
        <v>Pistola Finca Pino</v>
      </c>
      <c r="D183" s="17" t="s">
        <v>74</v>
      </c>
      <c r="E183" s="17" t="s">
        <v>161</v>
      </c>
      <c r="F183" s="15" t="s">
        <v>80</v>
      </c>
      <c r="G183" s="15" t="s">
        <v>457</v>
      </c>
      <c r="H183" s="17"/>
    </row>
    <row r="184" ht="15.0" customHeight="1">
      <c r="A184" s="19">
        <v>46254.0</v>
      </c>
      <c r="B184" s="15" t="s">
        <v>322</v>
      </c>
      <c r="C184" s="26" t="str">
        <f t="array" ref="C184">IFERROR(INDEX('Patrimônio'!$C$7:$C$1003,MATCH($B184,'Patrimônio'!$A$7:$A$1003,0)),"")</f>
        <v>Prensa Pex</v>
      </c>
      <c r="D184" s="17" t="s">
        <v>142</v>
      </c>
      <c r="E184" s="17" t="s">
        <v>151</v>
      </c>
      <c r="F184" s="15" t="s">
        <v>337</v>
      </c>
      <c r="G184" s="15" t="s">
        <v>439</v>
      </c>
      <c r="H184" s="17"/>
    </row>
    <row r="185" ht="15.0" customHeight="1">
      <c r="A185" s="19">
        <v>46254.0</v>
      </c>
      <c r="B185" s="15" t="s">
        <v>360</v>
      </c>
      <c r="C185" s="26" t="str">
        <f t="array" ref="C185">IFERROR(INDEX('Patrimônio'!$C$7:$C$1003,MATCH($B185,'Patrimônio'!$A$7:$A$1003,0)),"")</f>
        <v>Prensa Pex</v>
      </c>
      <c r="D185" s="17" t="s">
        <v>208</v>
      </c>
      <c r="E185" s="17" t="s">
        <v>142</v>
      </c>
      <c r="F185" s="15" t="s">
        <v>337</v>
      </c>
      <c r="G185" s="15" t="s">
        <v>423</v>
      </c>
      <c r="H185" s="17"/>
    </row>
    <row r="186" ht="15.0" customHeight="1">
      <c r="A186" s="19">
        <v>46255.0</v>
      </c>
      <c r="B186" s="15" t="s">
        <v>242</v>
      </c>
      <c r="C186" s="26" t="str">
        <f t="array" ref="C186">IFERROR(INDEX('Patrimônio'!$C$7:$C$1003,MATCH($B186,'Patrimônio'!$A$7:$A$1003,0)),"")</f>
        <v>Martelete 10Kg</v>
      </c>
      <c r="D186" s="17" t="s">
        <v>208</v>
      </c>
      <c r="E186" s="17" t="s">
        <v>218</v>
      </c>
      <c r="F186" s="15" t="s">
        <v>337</v>
      </c>
      <c r="G186" s="15" t="s">
        <v>459</v>
      </c>
      <c r="H186" s="17"/>
    </row>
    <row r="187" ht="15.0" customHeight="1">
      <c r="A187" s="19">
        <v>46258.0</v>
      </c>
      <c r="B187" s="15" t="s">
        <v>175</v>
      </c>
      <c r="C187" s="26" t="str">
        <f t="array" ref="C187">IFERROR(INDEX('Patrimônio'!$C$7:$C$1003,MATCH($B187,'Patrimônio'!$A$7:$A$1003,0)),"")</f>
        <v>Rompedor</v>
      </c>
      <c r="D187" s="17" t="s">
        <v>154</v>
      </c>
      <c r="E187" s="17" t="s">
        <v>427</v>
      </c>
      <c r="F187" s="15" t="s">
        <v>453</v>
      </c>
      <c r="G187" s="15" t="s">
        <v>439</v>
      </c>
      <c r="H187" s="17"/>
    </row>
    <row r="188" ht="15.0" customHeight="1">
      <c r="A188" s="19">
        <v>46260.0</v>
      </c>
      <c r="B188" s="15" t="s">
        <v>172</v>
      </c>
      <c r="C188" s="26" t="str">
        <f t="array" ref="C188">IFERROR(INDEX('Patrimônio'!$C$7:$C$1003,MATCH($B188,'Patrimônio'!$A$7:$A$1003,0)),"")</f>
        <v>Perfuratriz</v>
      </c>
      <c r="D188" s="17" t="s">
        <v>427</v>
      </c>
      <c r="E188" s="17" t="s">
        <v>150</v>
      </c>
      <c r="F188" s="15" t="s">
        <v>337</v>
      </c>
      <c r="G188" s="15" t="s">
        <v>425</v>
      </c>
      <c r="H188" s="17"/>
    </row>
    <row r="189" ht="15.0" customHeight="1">
      <c r="A189" s="19">
        <v>46258.0</v>
      </c>
      <c r="B189" s="15" t="s">
        <v>25</v>
      </c>
      <c r="C189" s="26" t="str">
        <f t="array" ref="C189">IFERROR(INDEX('Patrimônio'!$C$7:$C$1003,MATCH($B189,'Patrimônio'!$A$7:$A$1003,0)),"")</f>
        <v>Parafusadeira</v>
      </c>
      <c r="D189" s="17" t="s">
        <v>163</v>
      </c>
      <c r="E189" s="17" t="s">
        <v>183</v>
      </c>
      <c r="F189" s="15" t="s">
        <v>337</v>
      </c>
      <c r="G189" s="15" t="s">
        <v>460</v>
      </c>
      <c r="H189" s="17"/>
    </row>
    <row r="190" ht="15.0" customHeight="1">
      <c r="A190" s="19">
        <v>46260.0</v>
      </c>
      <c r="B190" s="15" t="s">
        <v>184</v>
      </c>
      <c r="C190" s="26" t="str">
        <f t="array" ref="C190">IFERROR(INDEX('Patrimônio'!$C$7:$C$1003,MATCH($B190,'Patrimônio'!$A$7:$A$1003,0)),"")</f>
        <v>Perfuratriz</v>
      </c>
      <c r="D190" s="17" t="s">
        <v>150</v>
      </c>
      <c r="E190" s="17" t="s">
        <v>427</v>
      </c>
      <c r="F190" s="15" t="s">
        <v>453</v>
      </c>
      <c r="G190" s="15" t="s">
        <v>439</v>
      </c>
      <c r="H190" s="17"/>
    </row>
    <row r="191" ht="15.0" customHeight="1">
      <c r="A191" s="19">
        <v>26.0</v>
      </c>
      <c r="B191" s="15" t="s">
        <v>450</v>
      </c>
      <c r="C191" s="26" t="str">
        <f t="array" ref="C191">IFERROR(INDEX('Patrimônio'!$C$7:$C$1003,MATCH($B191,'Patrimônio'!$A$7:$A$1003,0)),"")</f>
        <v>Morsa</v>
      </c>
      <c r="D191" s="17" t="s">
        <v>208</v>
      </c>
      <c r="E191" s="17" t="s">
        <v>371</v>
      </c>
      <c r="F191" s="15" t="s">
        <v>337</v>
      </c>
      <c r="G191" s="15" t="s">
        <v>463</v>
      </c>
      <c r="H191" s="17"/>
    </row>
    <row r="192" ht="15.0" customHeight="1">
      <c r="A192" s="19">
        <v>46261.0</v>
      </c>
      <c r="B192" s="15" t="s">
        <v>188</v>
      </c>
      <c r="C192" s="26" t="str">
        <f t="array" ref="C192">IFERROR(INDEX('Patrimônio'!$C$7:$C$1003,MATCH($B192,'Patrimônio'!$A$7:$A$1003,0)),"")</f>
        <v>Rompedor</v>
      </c>
      <c r="D192" s="17" t="s">
        <v>183</v>
      </c>
      <c r="E192" s="17" t="s">
        <v>427</v>
      </c>
      <c r="F192" s="15" t="s">
        <v>453</v>
      </c>
      <c r="G192" s="15" t="s">
        <v>439</v>
      </c>
      <c r="H192" s="17"/>
    </row>
    <row r="193" ht="15.0" customHeight="1">
      <c r="A193" s="19">
        <v>46261.0</v>
      </c>
      <c r="B193" s="19" t="s">
        <v>322</v>
      </c>
      <c r="C193" s="26" t="str">
        <f t="array" ref="C193">IFERROR(INDEX('Patrimônio'!$C$7:$C$1003,MATCH($B193,'Patrimônio'!$A$7:$A$1003,0)),"")</f>
        <v>Prensa Pex</v>
      </c>
      <c r="D193" s="17" t="s">
        <v>142</v>
      </c>
      <c r="E193" s="17" t="s">
        <v>163</v>
      </c>
      <c r="F193" s="15" t="s">
        <v>165</v>
      </c>
      <c r="G193" s="15" t="s">
        <v>439</v>
      </c>
      <c r="H193" s="17"/>
    </row>
    <row r="194" ht="15.0" customHeight="1">
      <c r="A194" s="19">
        <v>46261.0</v>
      </c>
      <c r="B194" s="15" t="s">
        <v>360</v>
      </c>
      <c r="C194" s="26" t="str">
        <f t="array" ref="C194">IFERROR(INDEX('Patrimônio'!$C$7:$C$1003,MATCH($B194,'Patrimônio'!$A$7:$A$1003,0)),"")</f>
        <v>Prensa Pex</v>
      </c>
      <c r="D194" s="17" t="s">
        <v>208</v>
      </c>
      <c r="E194" s="17" t="s">
        <v>142</v>
      </c>
      <c r="F194" s="15" t="s">
        <v>337</v>
      </c>
      <c r="G194" s="15" t="s">
        <v>423</v>
      </c>
      <c r="H194" s="17"/>
    </row>
    <row r="195" ht="15.0" customHeight="1">
      <c r="A195" s="19">
        <v>46261.0</v>
      </c>
      <c r="B195" s="15" t="s">
        <v>344</v>
      </c>
      <c r="C195" s="26" t="str">
        <f t="array" ref="C195">IFERROR(INDEX('Patrimônio'!$C$7:$C$1003,MATCH($B195,'Patrimônio'!$A$7:$A$1003,0)),"")</f>
        <v>Perfuratriz Extratora</v>
      </c>
      <c r="D195" s="17" t="s">
        <v>208</v>
      </c>
      <c r="E195" s="17" t="s">
        <v>142</v>
      </c>
      <c r="F195" s="15" t="s">
        <v>337</v>
      </c>
      <c r="G195" s="15" t="s">
        <v>423</v>
      </c>
      <c r="H195" s="17"/>
    </row>
    <row r="196" ht="15.0" customHeight="1">
      <c r="A196" s="19">
        <v>46261.0</v>
      </c>
      <c r="B196" s="15" t="s">
        <v>25</v>
      </c>
      <c r="C196" s="26" t="str">
        <f t="array" ref="C196">IFERROR(INDEX('Patrimônio'!$C$7:$C$1003,MATCH($B196,'Patrimônio'!$A$7:$A$1003,0)),"")</f>
        <v>Parafusadeira</v>
      </c>
      <c r="D196" s="17" t="s">
        <v>427</v>
      </c>
      <c r="E196" s="17" t="s">
        <v>151</v>
      </c>
      <c r="F196" s="15" t="s">
        <v>337</v>
      </c>
      <c r="G196" s="15" t="s">
        <v>439</v>
      </c>
      <c r="H196" s="17"/>
    </row>
    <row r="197" ht="15.0" customHeight="1">
      <c r="A197" s="19">
        <v>2708.0</v>
      </c>
      <c r="B197" s="15" t="s">
        <v>314</v>
      </c>
      <c r="C197" s="26" t="str">
        <f t="array" ref="C197">IFERROR(INDEX('Patrimônio'!$C$7:$C$1003,MATCH($B197,'Patrimônio'!$A$7:$A$1003,0)),"")</f>
        <v>Compressor</v>
      </c>
      <c r="D197" s="17" t="s">
        <v>148</v>
      </c>
      <c r="E197" s="17" t="s">
        <v>151</v>
      </c>
      <c r="F197" s="15" t="s">
        <v>337</v>
      </c>
      <c r="G197" s="15" t="s">
        <v>439</v>
      </c>
      <c r="H197" s="17"/>
    </row>
    <row r="198" ht="15.0" customHeight="1">
      <c r="A198" s="19">
        <v>46267.0</v>
      </c>
      <c r="B198" s="15" t="s">
        <v>167</v>
      </c>
      <c r="C198" s="26" t="str">
        <f t="array" ref="C198">IFERROR(INDEX('Patrimônio'!$C$7:$C$1003,MATCH($B198,'Patrimônio'!$A$7:$A$1003,0)),"")</f>
        <v>Prensa Pex</v>
      </c>
      <c r="D198" s="17" t="s">
        <v>427</v>
      </c>
      <c r="E198" s="17" t="s">
        <v>120</v>
      </c>
      <c r="F198" s="15" t="s">
        <v>337</v>
      </c>
      <c r="G198" s="15" t="s">
        <v>301</v>
      </c>
      <c r="H198" s="17"/>
    </row>
    <row r="199" ht="15.0" customHeight="1">
      <c r="A199" s="19">
        <v>46236.0</v>
      </c>
      <c r="B199" s="15" t="s">
        <v>278</v>
      </c>
      <c r="C199" s="26" t="str">
        <f t="array" ref="C199">IFERROR(INDEX('Patrimônio'!$C$7:$C$1003,MATCH($B199,'Patrimônio'!$A$7:$A$1003,0)),"")</f>
        <v>Termofusor</v>
      </c>
      <c r="D199" s="17" t="s">
        <v>208</v>
      </c>
      <c r="E199" s="17" t="s">
        <v>154</v>
      </c>
      <c r="F199" s="15" t="s">
        <v>337</v>
      </c>
      <c r="G199" s="15" t="s">
        <v>468</v>
      </c>
      <c r="H199" s="17"/>
    </row>
    <row r="200" ht="15.0" customHeight="1">
      <c r="A200" s="19">
        <v>46266.0</v>
      </c>
      <c r="B200" s="15" t="s">
        <v>307</v>
      </c>
      <c r="C200" s="26" t="str">
        <f t="array" ref="C200">IFERROR(INDEX('Patrimônio'!$C$7:$C$1003,MATCH($B200,'Patrimônio'!$A$7:$A$1003,0)),"")</f>
        <v>Máquina Teste Água</v>
      </c>
      <c r="D200" s="17" t="s">
        <v>166</v>
      </c>
      <c r="E200" s="17" t="s">
        <v>140</v>
      </c>
      <c r="F200" s="15" t="s">
        <v>337</v>
      </c>
      <c r="G200" s="15" t="s">
        <v>472</v>
      </c>
      <c r="H200" s="17"/>
    </row>
    <row r="201" ht="15.0" customHeight="1">
      <c r="A201" s="19">
        <v>46266.0</v>
      </c>
      <c r="B201" s="15" t="s">
        <v>281</v>
      </c>
      <c r="C201" s="26" t="str">
        <f t="array" ref="C201">IFERROR(INDEX('Patrimônio'!$C$7:$C$1003,MATCH($B201,'Patrimônio'!$A$7:$A$1003,0)),"")</f>
        <v>Soprador</v>
      </c>
      <c r="D201" s="17" t="s">
        <v>208</v>
      </c>
      <c r="E201" s="17" t="s">
        <v>166</v>
      </c>
      <c r="F201" s="15" t="s">
        <v>337</v>
      </c>
      <c r="G201" s="15" t="s">
        <v>473</v>
      </c>
      <c r="H201" s="17"/>
    </row>
    <row r="202" ht="15.0" customHeight="1">
      <c r="A202" s="19">
        <v>46266.0</v>
      </c>
      <c r="B202" s="15" t="s">
        <v>344</v>
      </c>
      <c r="C202" s="26" t="str">
        <f t="array" ref="C202">IFERROR(INDEX('Patrimônio'!$C$7:$C$1003,MATCH($B202,'Patrimônio'!$A$7:$A$1003,0)),"")</f>
        <v>Perfuratriz Extratora</v>
      </c>
      <c r="D202" s="17" t="s">
        <v>142</v>
      </c>
      <c r="E202" s="17" t="s">
        <v>371</v>
      </c>
      <c r="F202" s="15" t="s">
        <v>337</v>
      </c>
      <c r="G202" s="15" t="s">
        <v>83</v>
      </c>
      <c r="H202" s="17"/>
    </row>
    <row r="203" ht="15.0" customHeight="1">
      <c r="A203" s="19"/>
      <c r="B203" s="15"/>
      <c r="C203" s="26" t="str">
        <f t="array" ref="C203">IFERROR(INDEX('Patrimônio'!$C$7:$C$1003,MATCH($B203,'Patrimônio'!$A$7:$A$1003,0)),"")</f>
        <v/>
      </c>
      <c r="D203" s="17"/>
      <c r="E203" s="17"/>
      <c r="F203" s="15"/>
      <c r="G203" s="15"/>
      <c r="H203" s="17"/>
    </row>
    <row r="204" ht="15.0" customHeight="1">
      <c r="A204" s="19">
        <v>46268.0</v>
      </c>
      <c r="B204" s="15" t="s">
        <v>184</v>
      </c>
      <c r="C204" s="26" t="str">
        <f t="array" ref="C204">IFERROR(INDEX('Patrimônio'!$C$7:$C$1003,MATCH($B204,'Patrimônio'!$A$7:$A$1003,0)),"")</f>
        <v>Perfuratriz</v>
      </c>
      <c r="D204" s="17" t="s">
        <v>427</v>
      </c>
      <c r="E204" s="17" t="s">
        <v>187</v>
      </c>
      <c r="F204" s="15" t="s">
        <v>337</v>
      </c>
      <c r="G204" s="15" t="s">
        <v>476</v>
      </c>
      <c r="H204" s="17"/>
    </row>
    <row r="205" ht="15.0" customHeight="1">
      <c r="A205" s="19">
        <v>46268.0</v>
      </c>
      <c r="B205" s="15" t="s">
        <v>96</v>
      </c>
      <c r="C205" s="26" t="str">
        <f t="array" ref="C205">IFERROR(INDEX('Patrimônio'!$C$7:$C$1003,MATCH($B205,'Patrimônio'!$A$7:$A$1003,0)),"")</f>
        <v>Parafusadeira</v>
      </c>
      <c r="D205" s="17" t="s">
        <v>127</v>
      </c>
      <c r="E205" s="17" t="s">
        <v>161</v>
      </c>
      <c r="F205" s="15" t="s">
        <v>337</v>
      </c>
      <c r="G205" s="15" t="s">
        <v>457</v>
      </c>
      <c r="H205" s="17"/>
    </row>
    <row r="206" ht="15.0" customHeight="1">
      <c r="A206" s="19">
        <v>46269.0</v>
      </c>
      <c r="B206" s="15" t="s">
        <v>264</v>
      </c>
      <c r="C206" s="26" t="str">
        <f t="array" ref="C206">IFERROR(INDEX('Patrimônio'!$C$7:$C$1003,MATCH($B206,'Patrimônio'!$A$7:$A$1003,0)),"")</f>
        <v>Perfuratriz</v>
      </c>
      <c r="D206" s="17" t="s">
        <v>150</v>
      </c>
      <c r="E206" s="17" t="s">
        <v>154</v>
      </c>
      <c r="F206" s="15" t="s">
        <v>337</v>
      </c>
      <c r="G206" s="15" t="s">
        <v>468</v>
      </c>
      <c r="H206" s="17"/>
    </row>
    <row r="207" ht="15.0" customHeight="1">
      <c r="A207" s="19">
        <v>46269.0</v>
      </c>
      <c r="B207" s="15" t="s">
        <v>276</v>
      </c>
      <c r="C207" s="26" t="str">
        <f t="array" ref="C207">IFERROR(INDEX('Patrimônio'!$C$7:$C$1003,MATCH($B207,'Patrimônio'!$A$7:$A$1003,0)),"")</f>
        <v>Termofusor</v>
      </c>
      <c r="D207" s="17" t="s">
        <v>154</v>
      </c>
      <c r="E207" s="17" t="s">
        <v>163</v>
      </c>
      <c r="F207" s="15" t="s">
        <v>165</v>
      </c>
      <c r="G207" s="15" t="s">
        <v>439</v>
      </c>
      <c r="H207" s="17"/>
    </row>
    <row r="208" ht="15.0" customHeight="1">
      <c r="A208" s="19">
        <v>46235.0</v>
      </c>
      <c r="B208" s="15" t="s">
        <v>156</v>
      </c>
      <c r="C208" s="26" t="str">
        <f t="array" ref="C208">IFERROR(INDEX('Patrimônio'!$C$7:$C$1003,MATCH($B208,'Patrimônio'!$A$7:$A$1003,0)),"")</f>
        <v>Parafusadeira</v>
      </c>
      <c r="D208" s="17" t="s">
        <v>208</v>
      </c>
      <c r="E208" s="17" t="s">
        <v>150</v>
      </c>
      <c r="F208" s="15" t="s">
        <v>337</v>
      </c>
      <c r="G208" s="15" t="s">
        <v>425</v>
      </c>
      <c r="H208" s="17"/>
    </row>
    <row r="209" ht="15.0" customHeight="1">
      <c r="A209" s="19">
        <v>46274.0</v>
      </c>
      <c r="B209" s="15" t="s">
        <v>214</v>
      </c>
      <c r="C209" s="26" t="str">
        <f t="array" ref="C209">IFERROR(INDEX('Patrimônio'!$C$7:$C$1003,MATCH($B209,'Patrimônio'!$A$7:$A$1003,0)),"")</f>
        <v>Esmerilhadeira</v>
      </c>
      <c r="D209" s="17" t="s">
        <v>480</v>
      </c>
      <c r="E209" s="17" t="s">
        <v>163</v>
      </c>
      <c r="F209" s="15" t="s">
        <v>165</v>
      </c>
      <c r="G209" s="15" t="s">
        <v>425</v>
      </c>
      <c r="H209" s="17"/>
    </row>
    <row r="210" ht="15.0" customHeight="1">
      <c r="A210" s="19">
        <v>46274.0</v>
      </c>
      <c r="B210" s="15" t="s">
        <v>172</v>
      </c>
      <c r="C210" s="26" t="str">
        <f t="array" ref="C210">IFERROR(INDEX('Patrimônio'!$C$7:$C$1003,MATCH($B210,'Patrimônio'!$A$7:$A$1003,0)),"")</f>
        <v>Perfuratriz</v>
      </c>
      <c r="D210" s="17" t="s">
        <v>150</v>
      </c>
      <c r="E210" s="17" t="s">
        <v>427</v>
      </c>
      <c r="F210" s="15" t="s">
        <v>453</v>
      </c>
      <c r="G210" s="15" t="s">
        <v>425</v>
      </c>
      <c r="H210" s="17"/>
    </row>
    <row r="211" ht="15.0" customHeight="1">
      <c r="A211" s="19">
        <v>46274.0</v>
      </c>
      <c r="B211" s="15" t="s">
        <v>481</v>
      </c>
      <c r="C211" s="26" t="str">
        <f t="array" ref="C211">IFERROR(INDEX('Patrimônio'!$C$7:$C$1003,MATCH($B211,'Patrimônio'!$A$7:$A$1003,0)),"")</f>
        <v>Laser</v>
      </c>
      <c r="D211" s="17" t="s">
        <v>74</v>
      </c>
      <c r="E211" s="17" t="s">
        <v>187</v>
      </c>
      <c r="F211" s="15" t="s">
        <v>80</v>
      </c>
      <c r="G211" s="15" t="s">
        <v>476</v>
      </c>
      <c r="H211" s="17"/>
    </row>
    <row r="212" ht="15.0" customHeight="1">
      <c r="A212" s="19">
        <v>46274.0</v>
      </c>
      <c r="B212" s="15" t="s">
        <v>482</v>
      </c>
      <c r="C212" s="26" t="str">
        <f t="array" ref="C212">IFERROR(INDEX('Patrimônio'!$C$7:$C$1003,MATCH($B212,'Patrimônio'!$A$7:$A$1003,0)),"")</f>
        <v>Laser</v>
      </c>
      <c r="D212" s="17" t="s">
        <v>74</v>
      </c>
      <c r="E212" s="17" t="s">
        <v>150</v>
      </c>
      <c r="F212" s="15" t="s">
        <v>80</v>
      </c>
      <c r="G212" s="15" t="s">
        <v>425</v>
      </c>
      <c r="H212" s="17"/>
    </row>
    <row r="213" ht="15.0" customHeight="1">
      <c r="A213" s="19">
        <v>46275.0</v>
      </c>
      <c r="B213" s="15" t="s">
        <v>172</v>
      </c>
      <c r="C213" s="26" t="str">
        <f t="array" ref="C213">IFERROR(INDEX('Patrimônio'!$C$7:$C$1003,MATCH($B213,'Patrimônio'!$A$7:$A$1003,0)),"")</f>
        <v>Perfuratriz</v>
      </c>
      <c r="D213" s="17" t="s">
        <v>427</v>
      </c>
      <c r="E213" s="17" t="s">
        <v>120</v>
      </c>
      <c r="F213" s="15" t="s">
        <v>337</v>
      </c>
      <c r="G213" s="15" t="s">
        <v>301</v>
      </c>
      <c r="H213" s="17"/>
    </row>
    <row r="214" ht="15.0" customHeight="1">
      <c r="A214" s="19">
        <v>46275.0</v>
      </c>
      <c r="B214" s="15" t="s">
        <v>378</v>
      </c>
      <c r="C214" s="26" t="str">
        <f t="array" ref="C214">IFERROR(INDEX('Patrimônio'!$C$7:$C$1003,MATCH($B214,'Patrimônio'!$A$7:$A$1003,0)),"")</f>
        <v>Grifo 36'</v>
      </c>
      <c r="D214" s="17" t="s">
        <v>142</v>
      </c>
      <c r="E214" s="17" t="s">
        <v>120</v>
      </c>
      <c r="F214" s="15" t="s">
        <v>337</v>
      </c>
      <c r="G214" s="15" t="s">
        <v>301</v>
      </c>
      <c r="H214" s="17"/>
    </row>
    <row r="215" ht="15.0" customHeight="1">
      <c r="A215" s="19">
        <v>46275.0</v>
      </c>
      <c r="B215" s="15" t="s">
        <v>449</v>
      </c>
      <c r="C215" s="26" t="str">
        <f t="array" ref="C215">IFERROR(INDEX('Patrimônio'!$C$7:$C$1003,MATCH($B215,'Patrimônio'!$A$7:$A$1003,0)),"")</f>
        <v>Grifo 36'</v>
      </c>
      <c r="D215" s="17" t="s">
        <v>142</v>
      </c>
      <c r="E215" s="17" t="s">
        <v>120</v>
      </c>
      <c r="F215" s="15" t="s">
        <v>337</v>
      </c>
      <c r="G215" s="15" t="s">
        <v>301</v>
      </c>
      <c r="H215" s="17"/>
    </row>
    <row r="216" ht="15.0" customHeight="1">
      <c r="A216" s="19">
        <v>46275.0</v>
      </c>
      <c r="B216" s="15" t="s">
        <v>484</v>
      </c>
      <c r="C216" s="26" t="str">
        <f t="array" ref="C216">IFERROR(INDEX('Patrimônio'!$C$7:$C$1003,MATCH($B216,'Patrimônio'!$A$7:$A$1003,0)),"")</f>
        <v>Parafusadeira</v>
      </c>
      <c r="D216" s="17" t="s">
        <v>74</v>
      </c>
      <c r="E216" s="17" t="s">
        <v>120</v>
      </c>
      <c r="F216" s="15" t="s">
        <v>80</v>
      </c>
      <c r="G216" s="15" t="s">
        <v>301</v>
      </c>
      <c r="H216" s="17"/>
    </row>
    <row r="217" ht="15.0" customHeight="1">
      <c r="A217" s="19">
        <v>46276.0</v>
      </c>
      <c r="B217" s="15" t="s">
        <v>338</v>
      </c>
      <c r="C217" s="26" t="str">
        <f t="array" ref="C217">IFERROR(INDEX('Patrimônio'!$C$7:$C$1003,MATCH($B217,'Patrimônio'!$A$7:$A$1003,0)),"")</f>
        <v>Manômetro</v>
      </c>
      <c r="D217" s="17" t="s">
        <v>148</v>
      </c>
      <c r="E217" s="17" t="s">
        <v>151</v>
      </c>
      <c r="F217" s="15" t="s">
        <v>337</v>
      </c>
      <c r="G217" s="15" t="s">
        <v>439</v>
      </c>
      <c r="H217" s="17"/>
    </row>
    <row r="218" ht="15.0" customHeight="1">
      <c r="A218" s="19">
        <v>46235.0</v>
      </c>
      <c r="B218" s="15" t="s">
        <v>257</v>
      </c>
      <c r="C218" s="26" t="str">
        <f t="array" ref="C218">IFERROR(INDEX('Patrimônio'!$C$7:$C$1003,MATCH($B218,'Patrimônio'!$A$7:$A$1003,0)),"")</f>
        <v>Laser</v>
      </c>
      <c r="D218" s="17" t="s">
        <v>183</v>
      </c>
      <c r="E218" s="17" t="s">
        <v>163</v>
      </c>
      <c r="F218" s="15" t="s">
        <v>135</v>
      </c>
      <c r="G218" s="15" t="s">
        <v>460</v>
      </c>
      <c r="H218" s="17"/>
    </row>
    <row r="219" ht="15.0" customHeight="1">
      <c r="A219" s="19">
        <v>46266.0</v>
      </c>
      <c r="B219" s="15" t="s">
        <v>228</v>
      </c>
      <c r="C219" s="26" t="str">
        <f t="array" ref="C219">IFERROR(INDEX('Patrimônio'!$C$7:$C$1003,MATCH($B219,'Patrimônio'!$A$7:$A$1003,0)),"")</f>
        <v>Serra Mármore</v>
      </c>
      <c r="D219" s="17" t="s">
        <v>183</v>
      </c>
      <c r="E219" s="17" t="s">
        <v>140</v>
      </c>
      <c r="F219" s="15" t="s">
        <v>337</v>
      </c>
      <c r="G219" s="15" t="s">
        <v>472</v>
      </c>
      <c r="H219" s="17"/>
    </row>
    <row r="220" ht="15.0" customHeight="1">
      <c r="A220" s="19">
        <v>46279.0</v>
      </c>
      <c r="B220" s="15" t="s">
        <v>268</v>
      </c>
      <c r="C220" s="26" t="str">
        <f t="array" ref="C220">IFERROR(INDEX('Patrimônio'!$C$7:$C$1003,MATCH($B220,'Patrimônio'!$A$7:$A$1003,0)),"")</f>
        <v>Perfuratriz</v>
      </c>
      <c r="D220" s="17" t="s">
        <v>140</v>
      </c>
      <c r="E220" s="17" t="s">
        <v>142</v>
      </c>
      <c r="F220" s="15" t="s">
        <v>337</v>
      </c>
      <c r="G220" s="15" t="s">
        <v>423</v>
      </c>
      <c r="H220" s="17"/>
    </row>
    <row r="221" ht="15.0" customHeight="1">
      <c r="A221" s="36">
        <v>46235.0</v>
      </c>
      <c r="B221" s="32" t="s">
        <v>205</v>
      </c>
      <c r="C221" s="26" t="str">
        <f t="array" ref="C221">IFERROR(INDEX('Patrimônio'!$C$7:$C$1003,MATCH($B221,'Patrimônio'!$A$7:$A$1003,0)),"")</f>
        <v>Martelete 5Kg</v>
      </c>
      <c r="D221" s="33" t="s">
        <v>74</v>
      </c>
      <c r="E221" s="33" t="s">
        <v>427</v>
      </c>
      <c r="F221" s="32" t="s">
        <v>453</v>
      </c>
      <c r="G221" s="32" t="s">
        <v>439</v>
      </c>
      <c r="H221" s="17"/>
    </row>
    <row r="222" ht="15.0" customHeight="1">
      <c r="A222" s="36">
        <v>46281.0</v>
      </c>
      <c r="B222" s="32" t="s">
        <v>146</v>
      </c>
      <c r="C222" s="26" t="str">
        <f t="array" ref="C222">IFERROR(INDEX('Patrimônio'!$C$7:$C$1003,MATCH($B222,'Patrimônio'!$A$7:$A$1003,0)),"")</f>
        <v>Perfuratriz</v>
      </c>
      <c r="D222" s="33" t="s">
        <v>142</v>
      </c>
      <c r="E222" s="33" t="s">
        <v>427</v>
      </c>
      <c r="F222" s="32" t="s">
        <v>453</v>
      </c>
      <c r="G222" s="32" t="s">
        <v>439</v>
      </c>
      <c r="H222" s="17"/>
    </row>
    <row r="223" ht="15.0" customHeight="1">
      <c r="A223" s="36">
        <v>46235.0</v>
      </c>
      <c r="B223" s="32" t="s">
        <v>205</v>
      </c>
      <c r="C223" s="26" t="str">
        <f t="array" ref="C223">IFERROR(INDEX('Patrimônio'!$C$7:$C$1003,MATCH($B223,'Patrimônio'!$A$7:$A$1003,0)),"")</f>
        <v>Martelete 5Kg</v>
      </c>
      <c r="D223" s="33" t="s">
        <v>427</v>
      </c>
      <c r="E223" s="33" t="s">
        <v>163</v>
      </c>
      <c r="F223" s="32" t="s">
        <v>165</v>
      </c>
      <c r="G223" s="32" t="s">
        <v>439</v>
      </c>
      <c r="H223" s="17"/>
    </row>
    <row r="224" ht="15.0" customHeight="1">
      <c r="A224" s="36">
        <v>46286.0</v>
      </c>
      <c r="B224" s="32" t="s">
        <v>280</v>
      </c>
      <c r="C224" s="26" t="str">
        <f t="array" ref="C224">IFERROR(INDEX('Patrimônio'!$C$7:$C$1003,MATCH($B224,'Patrimônio'!$A$7:$A$1003,0)),"")</f>
        <v>Termofusor</v>
      </c>
      <c r="D224" s="33" t="s">
        <v>166</v>
      </c>
      <c r="E224" s="33" t="s">
        <v>148</v>
      </c>
      <c r="F224" s="32" t="s">
        <v>337</v>
      </c>
      <c r="G224" s="32" t="s">
        <v>416</v>
      </c>
      <c r="H224" s="17"/>
    </row>
    <row r="225" ht="15.0" customHeight="1">
      <c r="A225" s="57">
        <v>46283.0</v>
      </c>
      <c r="B225" s="32" t="s">
        <v>157</v>
      </c>
      <c r="C225" s="26" t="str">
        <f t="array" ref="C225">IFERROR(INDEX('Patrimônio'!$C$7:$C$1003,MATCH($B225,'Patrimônio'!$A$7:$A$1003,0)),"")</f>
        <v>Termofusor</v>
      </c>
      <c r="D225" s="33" t="s">
        <v>142</v>
      </c>
      <c r="E225" s="33" t="s">
        <v>163</v>
      </c>
      <c r="F225" s="32" t="s">
        <v>165</v>
      </c>
      <c r="G225" s="32" t="s">
        <v>416</v>
      </c>
      <c r="H225" s="17"/>
    </row>
    <row r="226" ht="15.0" customHeight="1">
      <c r="A226" s="19"/>
      <c r="B226" s="15"/>
      <c r="C226" s="26" t="str">
        <f t="array" ref="C226">IFERROR(INDEX('Patrimônio'!$C$7:$C$1003,MATCH($B226,'Patrimônio'!$A$7:$A$1003,0)),"")</f>
        <v/>
      </c>
      <c r="D226" s="17"/>
      <c r="E226" s="17"/>
      <c r="F226" s="15"/>
      <c r="G226" s="15"/>
      <c r="H226" s="17"/>
    </row>
    <row r="227" ht="15.0" customHeight="1">
      <c r="A227" s="19"/>
      <c r="B227" s="15"/>
      <c r="C227" s="26" t="str">
        <f t="array" ref="C227">IFERROR(INDEX('Patrimônio'!$C$7:$C$1003,MATCH($B227,'Patrimônio'!$A$7:$A$1003,0)),"")</f>
        <v/>
      </c>
      <c r="D227" s="17"/>
      <c r="E227" s="17"/>
      <c r="F227" s="15"/>
      <c r="G227" s="15"/>
      <c r="H227" s="17"/>
    </row>
    <row r="228" ht="15.0" customHeight="1">
      <c r="A228" s="19"/>
      <c r="B228" s="15"/>
      <c r="C228" s="26" t="str">
        <f t="array" ref="C228">IFERROR(INDEX('Patrimônio'!$C$7:$C$1003,MATCH($B228,'Patrimônio'!$A$7:$A$1003,0)),"")</f>
        <v/>
      </c>
      <c r="D228" s="17"/>
      <c r="E228" s="17"/>
      <c r="F228" s="15"/>
      <c r="G228" s="15"/>
      <c r="H228" s="17"/>
    </row>
    <row r="229" ht="15.0" customHeight="1">
      <c r="A229" s="19"/>
      <c r="B229" s="15"/>
      <c r="C229" s="26" t="str">
        <f t="array" ref="C229">IFERROR(INDEX('Patrimônio'!$C$7:$C$1003,MATCH($B229,'Patrimônio'!$A$7:$A$1003,0)),"")</f>
        <v/>
      </c>
      <c r="D229" s="17"/>
      <c r="E229" s="17"/>
      <c r="F229" s="15"/>
      <c r="G229" s="15"/>
      <c r="H229" s="17"/>
    </row>
    <row r="230" ht="15.0" customHeight="1">
      <c r="A230" s="19"/>
      <c r="B230" s="15"/>
      <c r="C230" s="26" t="str">
        <f t="array" ref="C230">IFERROR(INDEX('Patrimônio'!$C$7:$C$1003,MATCH($B230,'Patrimônio'!$A$7:$A$1003,0)),"")</f>
        <v/>
      </c>
      <c r="D230" s="17"/>
      <c r="E230" s="17"/>
      <c r="F230" s="15"/>
      <c r="G230" s="15"/>
      <c r="H230" s="17"/>
    </row>
    <row r="231" ht="15.0" customHeight="1">
      <c r="A231" s="19"/>
      <c r="B231" s="15"/>
      <c r="C231" s="26" t="str">
        <f t="array" ref="C231">IFERROR(INDEX('Patrimônio'!$C$7:$C$1003,MATCH($B231,'Patrimônio'!$A$7:$A$1003,0)),"")</f>
        <v/>
      </c>
      <c r="D231" s="17"/>
      <c r="E231" s="17"/>
      <c r="F231" s="15"/>
      <c r="G231" s="15"/>
      <c r="H231" s="17"/>
    </row>
    <row r="232" ht="15.0" customHeight="1">
      <c r="A232" s="19"/>
      <c r="B232" s="15"/>
      <c r="C232" s="26" t="str">
        <f t="array" ref="C232">IFERROR(INDEX('Patrimônio'!$C$7:$C$1003,MATCH($B232,'Patrimônio'!$A$7:$A$1003,0)),"")</f>
        <v/>
      </c>
      <c r="D232" s="17"/>
      <c r="E232" s="17"/>
      <c r="F232" s="15"/>
      <c r="G232" s="15"/>
      <c r="H232" s="17"/>
    </row>
    <row r="233" ht="15.0" customHeight="1">
      <c r="A233" s="19"/>
      <c r="B233" s="15"/>
      <c r="C233" s="26" t="str">
        <f t="array" ref="C233">IFERROR(INDEX('Patrimônio'!$C$7:$C$1003,MATCH($B233,'Patrimônio'!$A$7:$A$1003,0)),"")</f>
        <v/>
      </c>
      <c r="D233" s="17"/>
      <c r="E233" s="17"/>
      <c r="F233" s="15"/>
      <c r="G233" s="15"/>
      <c r="H233" s="17"/>
    </row>
    <row r="234" ht="15.0" customHeight="1">
      <c r="A234" s="19"/>
      <c r="B234" s="15"/>
      <c r="C234" s="26" t="str">
        <f t="array" ref="C234">IFERROR(INDEX('Patrimônio'!$C$7:$C$1003,MATCH($B234,'Patrimônio'!$A$7:$A$1003,0)),"")</f>
        <v/>
      </c>
      <c r="D234" s="17"/>
      <c r="E234" s="17"/>
      <c r="F234" s="15"/>
      <c r="G234" s="15"/>
      <c r="H234" s="17"/>
    </row>
    <row r="235" ht="15.0" customHeight="1">
      <c r="A235" s="19"/>
      <c r="B235" s="15"/>
      <c r="C235" s="26" t="str">
        <f t="array" ref="C235">IFERROR(INDEX('Patrimônio'!$C$7:$C$1003,MATCH($B235,'Patrimônio'!$A$7:$A$1003,0)),"")</f>
        <v/>
      </c>
      <c r="D235" s="17"/>
      <c r="E235" s="17"/>
      <c r="F235" s="15"/>
      <c r="G235" s="15"/>
      <c r="H235" s="17"/>
    </row>
    <row r="236" ht="15.0" customHeight="1">
      <c r="A236" s="19"/>
      <c r="B236" s="15"/>
      <c r="C236" s="26" t="str">
        <f t="array" ref="C236">IFERROR(INDEX('Patrimônio'!$C$7:$C$1003,MATCH($B236,'Patrimônio'!$A$7:$A$1003,0)),"")</f>
        <v/>
      </c>
      <c r="D236" s="17"/>
      <c r="E236" s="17"/>
      <c r="F236" s="15"/>
      <c r="G236" s="15"/>
      <c r="H236" s="17"/>
    </row>
    <row r="237" ht="15.0" customHeight="1">
      <c r="A237" s="19"/>
      <c r="B237" s="15"/>
      <c r="C237" s="26" t="str">
        <f t="array" ref="C237">IFERROR(INDEX('Patrimônio'!$C$7:$C$1003,MATCH($B237,'Patrimônio'!$A$7:$A$1003,0)),"")</f>
        <v/>
      </c>
      <c r="D237" s="17"/>
      <c r="E237" s="17"/>
      <c r="F237" s="15"/>
      <c r="G237" s="15"/>
      <c r="H237" s="17"/>
    </row>
    <row r="238" ht="15.0" customHeight="1">
      <c r="A238" s="19"/>
      <c r="B238" s="15"/>
      <c r="C238" s="26" t="str">
        <f t="array" ref="C238">IFERROR(INDEX('Patrimônio'!$C$7:$C$1003,MATCH($B238,'Patrimônio'!$A$7:$A$1003,0)),"")</f>
        <v/>
      </c>
      <c r="D238" s="17"/>
      <c r="E238" s="17"/>
      <c r="F238" s="15"/>
      <c r="G238" s="15"/>
      <c r="H238" s="17"/>
    </row>
    <row r="239" ht="15.0" customHeight="1">
      <c r="A239" s="19"/>
      <c r="B239" s="15"/>
      <c r="C239" s="26" t="str">
        <f t="array" ref="C239">IFERROR(INDEX('Patrimônio'!$C$7:$C$1003,MATCH($B239,'Patrimônio'!$A$7:$A$1003,0)),"")</f>
        <v/>
      </c>
      <c r="D239" s="17"/>
      <c r="E239" s="17"/>
      <c r="F239" s="15"/>
      <c r="G239" s="15"/>
      <c r="H239" s="17"/>
    </row>
    <row r="240" ht="15.0" customHeight="1">
      <c r="A240" s="19"/>
      <c r="B240" s="15"/>
      <c r="C240" s="26" t="str">
        <f t="array" ref="C240">IFERROR(INDEX('Patrimônio'!$C$7:$C$1003,MATCH($B240,'Patrimônio'!$A$7:$A$1003,0)),"")</f>
        <v/>
      </c>
      <c r="D240" s="17"/>
      <c r="E240" s="17"/>
      <c r="F240" s="15"/>
      <c r="G240" s="15"/>
      <c r="H240" s="17"/>
    </row>
    <row r="241" ht="15.0" customHeight="1">
      <c r="A241" s="19"/>
      <c r="B241" s="15"/>
      <c r="C241" s="26" t="str">
        <f t="array" ref="C241">IFERROR(INDEX('Patrimônio'!$C$7:$C$1003,MATCH($B241,'Patrimônio'!$A$7:$A$1003,0)),"")</f>
        <v/>
      </c>
      <c r="D241" s="17"/>
      <c r="E241" s="17"/>
      <c r="F241" s="15"/>
      <c r="G241" s="15"/>
      <c r="H241" s="17"/>
    </row>
    <row r="242" ht="15.0" customHeight="1">
      <c r="A242" s="19"/>
      <c r="B242" s="15"/>
      <c r="C242" s="26" t="str">
        <f t="array" ref="C242">IFERROR(INDEX('Patrimônio'!$C$7:$C$1003,MATCH($B242,'Patrimônio'!$A$7:$A$1003,0)),"")</f>
        <v/>
      </c>
      <c r="D242" s="17"/>
      <c r="E242" s="17"/>
      <c r="F242" s="15"/>
      <c r="G242" s="15"/>
      <c r="H242" s="17"/>
    </row>
    <row r="243" ht="15.0" customHeight="1">
      <c r="A243" s="19"/>
      <c r="B243" s="15"/>
      <c r="C243" s="26" t="str">
        <f t="array" ref="C243">IFERROR(INDEX('Patrimônio'!$C$7:$C$1003,MATCH($B243,'Patrimônio'!$A$7:$A$1003,0)),"")</f>
        <v/>
      </c>
      <c r="D243" s="17"/>
      <c r="E243" s="17"/>
      <c r="F243" s="15"/>
      <c r="G243" s="15"/>
      <c r="H243" s="17"/>
    </row>
    <row r="244" ht="15.0" customHeight="1">
      <c r="A244" s="19"/>
      <c r="B244" s="15"/>
      <c r="C244" s="26" t="str">
        <f t="array" ref="C244">IFERROR(INDEX('Patrimônio'!$C$7:$C$1003,MATCH($B244,'Patrimônio'!$A$7:$A$1003,0)),"")</f>
        <v/>
      </c>
      <c r="D244" s="17"/>
      <c r="E244" s="17"/>
      <c r="F244" s="15"/>
      <c r="G244" s="15"/>
      <c r="H244" s="17"/>
    </row>
    <row r="245" ht="15.0" customHeight="1">
      <c r="A245" s="19"/>
      <c r="B245" s="15"/>
      <c r="C245" s="26" t="str">
        <f t="array" ref="C245">IFERROR(INDEX('Patrimônio'!$C$7:$C$1003,MATCH($B245,'Patrimônio'!$A$7:$A$1003,0)),"")</f>
        <v/>
      </c>
      <c r="D245" s="17"/>
      <c r="E245" s="17"/>
      <c r="F245" s="15"/>
      <c r="G245" s="15"/>
      <c r="H245" s="17"/>
    </row>
    <row r="246" ht="15.0" customHeight="1">
      <c r="A246" s="19"/>
      <c r="B246" s="15"/>
      <c r="C246" s="26" t="str">
        <f t="array" ref="C246">IFERROR(INDEX('Patrimônio'!$C$7:$C$1003,MATCH($B246,'Patrimônio'!$A$7:$A$1003,0)),"")</f>
        <v/>
      </c>
      <c r="D246" s="17"/>
      <c r="E246" s="17"/>
      <c r="F246" s="15"/>
      <c r="G246" s="15"/>
      <c r="H246" s="17"/>
    </row>
    <row r="247" ht="15.0" customHeight="1">
      <c r="A247" s="19"/>
      <c r="B247" s="15"/>
      <c r="C247" s="26" t="str">
        <f t="array" ref="C247">IFERROR(INDEX('Patrimônio'!$C$7:$C$1003,MATCH($B247,'Patrimônio'!$A$7:$A$1003,0)),"")</f>
        <v/>
      </c>
      <c r="D247" s="17"/>
      <c r="E247" s="17"/>
      <c r="F247" s="15"/>
      <c r="G247" s="15"/>
      <c r="H247" s="17"/>
    </row>
    <row r="248" ht="15.0" customHeight="1">
      <c r="A248" s="19"/>
      <c r="B248" s="15"/>
      <c r="C248" s="26" t="str">
        <f t="array" ref="C248">IFERROR(INDEX('Patrimônio'!$C$7:$C$1003,MATCH($B248,'Patrimônio'!$A$7:$A$1003,0)),"")</f>
        <v/>
      </c>
      <c r="D248" s="17"/>
      <c r="E248" s="17"/>
      <c r="F248" s="15"/>
      <c r="G248" s="15"/>
      <c r="H248" s="17"/>
    </row>
    <row r="249" ht="15.0" customHeight="1">
      <c r="A249" s="19"/>
      <c r="B249" s="15"/>
      <c r="C249" s="26" t="str">
        <f t="array" ref="C249">IFERROR(INDEX('Patrimônio'!$C$7:$C$1003,MATCH($B249,'Patrimônio'!$A$7:$A$1003,0)),"")</f>
        <v/>
      </c>
      <c r="D249" s="17"/>
      <c r="E249" s="17"/>
      <c r="F249" s="15"/>
      <c r="G249" s="15"/>
      <c r="H249" s="17"/>
    </row>
    <row r="250" ht="15.0" customHeight="1">
      <c r="A250" s="19"/>
      <c r="B250" s="15"/>
      <c r="C250" s="26" t="str">
        <f t="array" ref="C250">IFERROR(INDEX('Patrimônio'!$C$7:$C$1003,MATCH($B250,'Patrimônio'!$A$7:$A$1003,0)),"")</f>
        <v/>
      </c>
      <c r="D250" s="17"/>
      <c r="E250" s="17"/>
      <c r="F250" s="15"/>
      <c r="G250" s="15"/>
      <c r="H250" s="17"/>
    </row>
    <row r="251" ht="15.0" customHeight="1">
      <c r="A251" s="19"/>
      <c r="B251" s="15"/>
      <c r="C251" s="26" t="str">
        <f t="array" ref="C251">IFERROR(INDEX('Patrimônio'!$C$7:$C$1003,MATCH($B251,'Patrimônio'!$A$7:$A$1003,0)),"")</f>
        <v/>
      </c>
      <c r="D251" s="17"/>
      <c r="E251" s="17"/>
      <c r="F251" s="15"/>
      <c r="G251" s="15"/>
      <c r="H251" s="17"/>
    </row>
    <row r="252" ht="15.0" customHeight="1">
      <c r="A252" s="19"/>
      <c r="B252" s="15"/>
      <c r="C252" s="26" t="str">
        <f t="array" ref="C252">IFERROR(INDEX('Patrimônio'!$C$7:$C$1003,MATCH($B252,'Patrimônio'!$A$7:$A$1003,0)),"")</f>
        <v/>
      </c>
      <c r="D252" s="17"/>
      <c r="E252" s="17"/>
      <c r="F252" s="15"/>
      <c r="G252" s="15"/>
      <c r="H252" s="17"/>
    </row>
    <row r="253" ht="15.0" customHeight="1">
      <c r="A253" s="19"/>
      <c r="B253" s="15"/>
      <c r="C253" s="26" t="str">
        <f t="array" ref="C253">IFERROR(INDEX('Patrimônio'!$C$7:$C$1003,MATCH($B253,'Patrimônio'!$A$7:$A$1003,0)),"")</f>
        <v/>
      </c>
      <c r="D253" s="17"/>
      <c r="E253" s="17"/>
      <c r="F253" s="15"/>
      <c r="G253" s="15"/>
      <c r="H253" s="17"/>
    </row>
    <row r="254" ht="15.0" customHeight="1">
      <c r="A254" s="19"/>
      <c r="B254" s="15"/>
      <c r="C254" s="26" t="str">
        <f t="array" ref="C254">IFERROR(INDEX('Patrimônio'!$C$7:$C$1003,MATCH($B254,'Patrimônio'!$A$7:$A$1003,0)),"")</f>
        <v/>
      </c>
      <c r="D254" s="17"/>
      <c r="E254" s="17"/>
      <c r="F254" s="15"/>
      <c r="G254" s="15"/>
      <c r="H254" s="17"/>
    </row>
    <row r="255" ht="15.0" customHeight="1">
      <c r="A255" s="19"/>
      <c r="B255" s="15"/>
      <c r="C255" s="26" t="str">
        <f t="array" ref="C255">IFERROR(INDEX('Patrimônio'!$C$7:$C$1003,MATCH($B255,'Patrimônio'!$A$7:$A$1003,0)),"")</f>
        <v/>
      </c>
      <c r="D255" s="17"/>
      <c r="E255" s="17"/>
      <c r="F255" s="15"/>
      <c r="G255" s="15"/>
      <c r="H255" s="17"/>
    </row>
    <row r="256" ht="15.0" customHeight="1">
      <c r="A256" s="19"/>
      <c r="B256" s="15"/>
      <c r="C256" s="26" t="str">
        <f t="array" ref="C256">IFERROR(INDEX('Patrimônio'!$C$7:$C$1003,MATCH($B256,'Patrimônio'!$A$7:$A$1003,0)),"")</f>
        <v/>
      </c>
      <c r="D256" s="17"/>
      <c r="E256" s="17"/>
      <c r="F256" s="15"/>
      <c r="G256" s="15"/>
      <c r="H256" s="17"/>
    </row>
    <row r="257" ht="15.0" customHeight="1">
      <c r="A257" s="19"/>
      <c r="B257" s="15"/>
      <c r="C257" s="26" t="str">
        <f t="array" ref="C257">IFERROR(INDEX('Patrimônio'!$C$7:$C$1003,MATCH($B257,'Patrimônio'!$A$7:$A$1003,0)),"")</f>
        <v/>
      </c>
      <c r="D257" s="17"/>
      <c r="E257" s="17"/>
      <c r="F257" s="15"/>
      <c r="G257" s="15"/>
      <c r="H257" s="17"/>
    </row>
    <row r="258" ht="15.0" customHeight="1">
      <c r="A258" s="19"/>
      <c r="B258" s="15"/>
      <c r="C258" s="26" t="str">
        <f t="array" ref="C258">IFERROR(INDEX('Patrimônio'!$C$7:$C$1003,MATCH($B258,'Patrimônio'!$A$7:$A$1003,0)),"")</f>
        <v/>
      </c>
      <c r="D258" s="17"/>
      <c r="E258" s="17"/>
      <c r="F258" s="15"/>
      <c r="G258" s="15"/>
      <c r="H258" s="17"/>
    </row>
    <row r="259" ht="15.0" customHeight="1">
      <c r="A259" s="19"/>
      <c r="B259" s="15"/>
      <c r="C259" s="26" t="str">
        <f t="array" ref="C259">IFERROR(INDEX('Patrimônio'!$C$7:$C$1003,MATCH($B259,'Patrimônio'!$A$7:$A$1003,0)),"")</f>
        <v/>
      </c>
      <c r="D259" s="17"/>
      <c r="E259" s="17"/>
      <c r="F259" s="15"/>
      <c r="G259" s="15"/>
      <c r="H259" s="17"/>
    </row>
    <row r="260" ht="15.0" customHeight="1">
      <c r="A260" s="19"/>
      <c r="B260" s="15"/>
      <c r="C260" s="26" t="str">
        <f t="array" ref="C260">IFERROR(INDEX('Patrimônio'!$C$7:$C$1003,MATCH($B260,'Patrimônio'!$A$7:$A$1003,0)),"")</f>
        <v/>
      </c>
      <c r="D260" s="17"/>
      <c r="E260" s="17"/>
      <c r="F260" s="15"/>
      <c r="G260" s="15"/>
      <c r="H260" s="17"/>
    </row>
    <row r="261" ht="15.0" customHeight="1">
      <c r="A261" s="19"/>
      <c r="B261" s="15"/>
      <c r="C261" s="26" t="str">
        <f t="array" ref="C261">IFERROR(INDEX('Patrimônio'!$C$7:$C$1003,MATCH($B261,'Patrimônio'!$A$7:$A$1003,0)),"")</f>
        <v/>
      </c>
      <c r="D261" s="17"/>
      <c r="E261" s="17"/>
      <c r="F261" s="15"/>
      <c r="G261" s="15"/>
      <c r="H261" s="17"/>
    </row>
    <row r="262" ht="15.0" customHeight="1">
      <c r="A262" s="19"/>
      <c r="B262" s="15"/>
      <c r="C262" s="26" t="str">
        <f t="array" ref="C262">IFERROR(INDEX('Patrimônio'!$C$7:$C$1003,MATCH($B262,'Patrimônio'!$A$7:$A$1003,0)),"")</f>
        <v/>
      </c>
      <c r="D262" s="17"/>
      <c r="E262" s="17"/>
      <c r="F262" s="15"/>
      <c r="G262" s="15"/>
      <c r="H262" s="17"/>
    </row>
    <row r="263" ht="15.0" customHeight="1">
      <c r="A263" s="19"/>
      <c r="B263" s="15"/>
      <c r="C263" s="26" t="str">
        <f t="array" ref="C263">IFERROR(INDEX('Patrimônio'!$C$7:$C$1003,MATCH($B263,'Patrimônio'!$A$7:$A$1003,0)),"")</f>
        <v/>
      </c>
      <c r="D263" s="17"/>
      <c r="E263" s="17"/>
      <c r="F263" s="15"/>
      <c r="G263" s="15"/>
      <c r="H263" s="17"/>
    </row>
    <row r="264" ht="15.0" customHeight="1">
      <c r="A264" s="19"/>
      <c r="B264" s="15"/>
      <c r="C264" s="26" t="str">
        <f t="array" ref="C264">IFERROR(INDEX('Patrimônio'!$C$7:$C$1003,MATCH($B264,'Patrimônio'!$A$7:$A$1003,0)),"")</f>
        <v/>
      </c>
      <c r="D264" s="17"/>
      <c r="E264" s="17"/>
      <c r="F264" s="15"/>
      <c r="G264" s="15"/>
      <c r="H264" s="17"/>
    </row>
    <row r="265" ht="15.0" customHeight="1">
      <c r="A265" s="19"/>
      <c r="B265" s="15"/>
      <c r="C265" s="26" t="str">
        <f t="array" ref="C265">IFERROR(INDEX('Patrimônio'!$C$7:$C$1003,MATCH($B265,'Patrimônio'!$A$7:$A$1003,0)),"")</f>
        <v/>
      </c>
      <c r="D265" s="17"/>
      <c r="E265" s="17"/>
      <c r="F265" s="15"/>
      <c r="G265" s="15"/>
      <c r="H265" s="17"/>
    </row>
    <row r="266" ht="15.0" customHeight="1">
      <c r="A266" s="19"/>
      <c r="B266" s="15"/>
      <c r="C266" s="26" t="str">
        <f t="array" ref="C266">IFERROR(INDEX('Patrimônio'!$C$7:$C$1003,MATCH($B266,'Patrimônio'!$A$7:$A$1003,0)),"")</f>
        <v/>
      </c>
      <c r="D266" s="17"/>
      <c r="E266" s="17"/>
      <c r="F266" s="15"/>
      <c r="G266" s="15"/>
      <c r="H266" s="17"/>
    </row>
    <row r="267" ht="15.0" customHeight="1">
      <c r="A267" s="19"/>
      <c r="B267" s="15"/>
      <c r="C267" s="26" t="str">
        <f t="array" ref="C267">IFERROR(INDEX('Patrimônio'!$C$7:$C$1003,MATCH($B267,'Patrimônio'!$A$7:$A$1003,0)),"")</f>
        <v/>
      </c>
      <c r="D267" s="17"/>
      <c r="E267" s="17"/>
      <c r="F267" s="15"/>
      <c r="G267" s="15"/>
      <c r="H267" s="17"/>
    </row>
    <row r="268" ht="15.0" customHeight="1">
      <c r="A268" s="19"/>
      <c r="B268" s="15"/>
      <c r="C268" s="26" t="str">
        <f t="array" ref="C268">IFERROR(INDEX('Patrimônio'!$C$7:$C$1003,MATCH($B268,'Patrimônio'!$A$7:$A$1003,0)),"")</f>
        <v/>
      </c>
      <c r="D268" s="17"/>
      <c r="E268" s="17"/>
      <c r="F268" s="15"/>
      <c r="G268" s="15"/>
      <c r="H268" s="17"/>
    </row>
    <row r="269" ht="15.0" customHeight="1">
      <c r="A269" s="19"/>
      <c r="B269" s="15"/>
      <c r="C269" s="26" t="str">
        <f t="array" ref="C269">IFERROR(INDEX('Patrimônio'!$C$7:$C$1003,MATCH($B269,'Patrimônio'!$A$7:$A$1003,0)),"")</f>
        <v/>
      </c>
      <c r="D269" s="17"/>
      <c r="E269" s="17"/>
      <c r="F269" s="15"/>
      <c r="G269" s="15"/>
      <c r="H269" s="17"/>
    </row>
    <row r="270" ht="15.0" customHeight="1">
      <c r="A270" s="19"/>
      <c r="B270" s="15"/>
      <c r="C270" s="26" t="str">
        <f t="array" ref="C270">IFERROR(INDEX('Patrimônio'!$C$7:$C$1003,MATCH($B270,'Patrimônio'!$A$7:$A$1003,0)),"")</f>
        <v/>
      </c>
      <c r="D270" s="17"/>
      <c r="E270" s="17"/>
      <c r="F270" s="15"/>
      <c r="G270" s="15"/>
      <c r="H270" s="17"/>
    </row>
    <row r="271" ht="15.0" customHeight="1">
      <c r="A271" s="19"/>
      <c r="B271" s="15"/>
      <c r="C271" s="26" t="str">
        <f t="array" ref="C271">IFERROR(INDEX('Patrimônio'!$C$7:$C$1003,MATCH($B271,'Patrimônio'!$A$7:$A$1003,0)),"")</f>
        <v/>
      </c>
      <c r="D271" s="17"/>
      <c r="E271" s="17"/>
      <c r="F271" s="15"/>
      <c r="G271" s="15"/>
      <c r="H271" s="17"/>
    </row>
    <row r="272" ht="15.0" customHeight="1">
      <c r="A272" s="19"/>
      <c r="B272" s="15"/>
      <c r="C272" s="26" t="str">
        <f t="array" ref="C272">IFERROR(INDEX('Patrimônio'!$C$7:$C$1003,MATCH($B272,'Patrimônio'!$A$7:$A$1003,0)),"")</f>
        <v/>
      </c>
      <c r="D272" s="17"/>
      <c r="E272" s="17"/>
      <c r="F272" s="15"/>
      <c r="G272" s="15"/>
      <c r="H272" s="17"/>
    </row>
    <row r="273" ht="15.0" customHeight="1">
      <c r="A273" s="19"/>
      <c r="B273" s="15"/>
      <c r="C273" s="26" t="str">
        <f t="array" ref="C273">IFERROR(INDEX('Patrimônio'!$C$7:$C$1003,MATCH($B273,'Patrimônio'!$A$7:$A$1003,0)),"")</f>
        <v/>
      </c>
      <c r="D273" s="17"/>
      <c r="E273" s="17"/>
      <c r="F273" s="15"/>
      <c r="G273" s="15"/>
      <c r="H273" s="17"/>
    </row>
    <row r="274" ht="15.0" customHeight="1">
      <c r="A274" s="19"/>
      <c r="B274" s="15"/>
      <c r="C274" s="26" t="str">
        <f t="array" ref="C274">IFERROR(INDEX('Patrimônio'!$C$7:$C$1003,MATCH($B274,'Patrimônio'!$A$7:$A$1003,0)),"")</f>
        <v/>
      </c>
      <c r="D274" s="17"/>
      <c r="E274" s="17"/>
      <c r="F274" s="15"/>
      <c r="G274" s="15"/>
      <c r="H274" s="17"/>
    </row>
    <row r="275" ht="15.0" customHeight="1">
      <c r="A275" s="19"/>
      <c r="B275" s="15"/>
      <c r="C275" s="26" t="str">
        <f t="array" ref="C275">IFERROR(INDEX('Patrimônio'!$C$7:$C$1003,MATCH($B275,'Patrimônio'!$A$7:$A$1003,0)),"")</f>
        <v/>
      </c>
      <c r="D275" s="17"/>
      <c r="E275" s="17"/>
      <c r="F275" s="15"/>
      <c r="G275" s="15"/>
      <c r="H275" s="17"/>
    </row>
    <row r="276" ht="15.0" customHeight="1">
      <c r="A276" s="19"/>
      <c r="B276" s="15"/>
      <c r="C276" s="26" t="str">
        <f t="array" ref="C276">IFERROR(INDEX('Patrimônio'!$C$7:$C$1003,MATCH($B276,'Patrimônio'!$A$7:$A$1003,0)),"")</f>
        <v/>
      </c>
      <c r="D276" s="17"/>
      <c r="E276" s="17"/>
      <c r="F276" s="15"/>
      <c r="G276" s="15"/>
      <c r="H276" s="17"/>
    </row>
    <row r="277" ht="15.0" customHeight="1">
      <c r="A277" s="19"/>
      <c r="B277" s="15"/>
      <c r="C277" s="26" t="str">
        <f t="array" ref="C277">IFERROR(INDEX('Patrimônio'!$C$7:$C$1003,MATCH($B277,'Patrimônio'!$A$7:$A$1003,0)),"")</f>
        <v/>
      </c>
      <c r="D277" s="17"/>
      <c r="E277" s="17"/>
      <c r="F277" s="15"/>
      <c r="G277" s="15"/>
      <c r="H277" s="17"/>
    </row>
    <row r="278" ht="15.0" customHeight="1">
      <c r="A278" s="19"/>
      <c r="B278" s="15"/>
      <c r="C278" s="26" t="str">
        <f t="array" ref="C278">IFERROR(INDEX('Patrimônio'!$C$7:$C$1003,MATCH($B278,'Patrimônio'!$A$7:$A$1003,0)),"")</f>
        <v/>
      </c>
      <c r="D278" s="17"/>
      <c r="E278" s="17"/>
      <c r="F278" s="15"/>
      <c r="G278" s="15"/>
      <c r="H278" s="17"/>
    </row>
    <row r="279" ht="15.0" customHeight="1">
      <c r="A279" s="19"/>
      <c r="B279" s="15"/>
      <c r="C279" s="26" t="str">
        <f t="array" ref="C279">IFERROR(INDEX('Patrimônio'!$C$7:$C$1003,MATCH($B279,'Patrimônio'!$A$7:$A$1003,0)),"")</f>
        <v/>
      </c>
      <c r="D279" s="17"/>
      <c r="E279" s="17"/>
      <c r="F279" s="15"/>
      <c r="G279" s="15"/>
      <c r="H279" s="17"/>
    </row>
    <row r="280" ht="15.0" customHeight="1">
      <c r="A280" s="19"/>
      <c r="B280" s="15"/>
      <c r="C280" s="26" t="str">
        <f t="array" ref="C280">IFERROR(INDEX('Patrimônio'!$C$7:$C$1003,MATCH($B280,'Patrimônio'!$A$7:$A$1003,0)),"")</f>
        <v/>
      </c>
      <c r="D280" s="17"/>
      <c r="E280" s="17"/>
      <c r="F280" s="15"/>
      <c r="G280" s="15"/>
      <c r="H280" s="17"/>
    </row>
    <row r="281" ht="15.0" customHeight="1">
      <c r="A281" s="19"/>
      <c r="B281" s="15"/>
      <c r="C281" s="26" t="str">
        <f t="array" ref="C281">IFERROR(INDEX('Patrimônio'!$C$7:$C$1003,MATCH($B281,'Patrimônio'!$A$7:$A$1003,0)),"")</f>
        <v/>
      </c>
      <c r="D281" s="17"/>
      <c r="E281" s="17"/>
      <c r="F281" s="15"/>
      <c r="G281" s="15"/>
      <c r="H281" s="17"/>
    </row>
    <row r="282" ht="15.0" customHeight="1">
      <c r="A282" s="19"/>
      <c r="B282" s="15"/>
      <c r="C282" s="26" t="str">
        <f t="array" ref="C282">IFERROR(INDEX('Patrimônio'!$C$7:$C$1003,MATCH($B282,'Patrimônio'!$A$7:$A$1003,0)),"")</f>
        <v/>
      </c>
      <c r="D282" s="17"/>
      <c r="E282" s="17"/>
      <c r="F282" s="15"/>
      <c r="G282" s="15"/>
      <c r="H282" s="17"/>
    </row>
    <row r="283" ht="15.0" customHeight="1">
      <c r="A283" s="19"/>
      <c r="B283" s="15"/>
      <c r="C283" s="26" t="str">
        <f t="array" ref="C283">IFERROR(INDEX('Patrimônio'!$C$7:$C$1003,MATCH($B283,'Patrimônio'!$A$7:$A$1003,0)),"")</f>
        <v/>
      </c>
      <c r="D283" s="17"/>
      <c r="E283" s="17"/>
      <c r="F283" s="15"/>
      <c r="G283" s="15"/>
      <c r="H283" s="17"/>
    </row>
    <row r="284" ht="15.0" customHeight="1">
      <c r="A284" s="19"/>
      <c r="B284" s="15"/>
      <c r="C284" s="26" t="str">
        <f t="array" ref="C284">IFERROR(INDEX('Patrimônio'!$C$7:$C$1003,MATCH($B284,'Patrimônio'!$A$7:$A$1003,0)),"")</f>
        <v/>
      </c>
      <c r="D284" s="17"/>
      <c r="E284" s="17"/>
      <c r="F284" s="15"/>
      <c r="G284" s="15"/>
      <c r="H284" s="17"/>
    </row>
    <row r="285" ht="15.0" customHeight="1">
      <c r="A285" s="19"/>
      <c r="B285" s="15"/>
      <c r="C285" s="26" t="str">
        <f t="array" ref="C285">IFERROR(INDEX('Patrimônio'!$C$7:$C$1003,MATCH($B285,'Patrimônio'!$A$7:$A$1003,0)),"")</f>
        <v/>
      </c>
      <c r="D285" s="17"/>
      <c r="E285" s="17"/>
      <c r="F285" s="15"/>
      <c r="G285" s="15"/>
      <c r="H285" s="17"/>
    </row>
    <row r="286" ht="15.0" customHeight="1">
      <c r="A286" s="19"/>
      <c r="B286" s="15"/>
      <c r="C286" s="26" t="str">
        <f t="array" ref="C286">IFERROR(INDEX('Patrimônio'!$C$7:$C$1003,MATCH($B286,'Patrimônio'!$A$7:$A$1003,0)),"")</f>
        <v/>
      </c>
      <c r="D286" s="17"/>
      <c r="E286" s="17"/>
      <c r="F286" s="15"/>
      <c r="G286" s="15"/>
      <c r="H286" s="17"/>
    </row>
    <row r="287" ht="15.0" customHeight="1">
      <c r="A287" s="19"/>
      <c r="B287" s="15"/>
      <c r="C287" s="26" t="str">
        <f t="array" ref="C287">IFERROR(INDEX('Patrimônio'!$C$7:$C$1003,MATCH($B287,'Patrimônio'!$A$7:$A$1003,0)),"")</f>
        <v/>
      </c>
      <c r="D287" s="17"/>
      <c r="E287" s="17"/>
      <c r="F287" s="15"/>
      <c r="G287" s="15"/>
      <c r="H287" s="17"/>
    </row>
    <row r="288" ht="15.0" customHeight="1">
      <c r="A288" s="19"/>
      <c r="B288" s="15"/>
      <c r="C288" s="26" t="str">
        <f t="array" ref="C288">IFERROR(INDEX('Patrimônio'!$C$7:$C$1003,MATCH($B288,'Patrimônio'!$A$7:$A$1003,0)),"")</f>
        <v/>
      </c>
      <c r="D288" s="17"/>
      <c r="E288" s="17"/>
      <c r="F288" s="15"/>
      <c r="G288" s="15"/>
      <c r="H288" s="17"/>
    </row>
    <row r="289" ht="15.0" customHeight="1">
      <c r="A289" s="19"/>
      <c r="B289" s="15"/>
      <c r="C289" s="26" t="str">
        <f t="array" ref="C289">IFERROR(INDEX('Patrimônio'!$C$7:$C$1003,MATCH($B289,'Patrimônio'!$A$7:$A$1003,0)),"")</f>
        <v/>
      </c>
      <c r="D289" s="17"/>
      <c r="E289" s="17"/>
      <c r="F289" s="15"/>
      <c r="G289" s="15"/>
      <c r="H289" s="17"/>
    </row>
    <row r="290" ht="15.0" customHeight="1">
      <c r="A290" s="19"/>
      <c r="B290" s="15"/>
      <c r="C290" s="26" t="str">
        <f t="array" ref="C290">IFERROR(INDEX('Patrimônio'!$C$7:$C$1003,MATCH($B290,'Patrimônio'!$A$7:$A$1003,0)),"")</f>
        <v/>
      </c>
      <c r="D290" s="17"/>
      <c r="E290" s="17"/>
      <c r="F290" s="15"/>
      <c r="G290" s="15"/>
      <c r="H290" s="17"/>
    </row>
    <row r="291" ht="15.0" customHeight="1">
      <c r="A291" s="19"/>
      <c r="B291" s="15"/>
      <c r="C291" s="26" t="str">
        <f t="array" ref="C291">IFERROR(INDEX('Patrimônio'!$C$7:$C$1003,MATCH($B291,'Patrimônio'!$A$7:$A$1003,0)),"")</f>
        <v/>
      </c>
      <c r="D291" s="17"/>
      <c r="E291" s="17"/>
      <c r="F291" s="15"/>
      <c r="G291" s="15"/>
      <c r="H291" s="17"/>
    </row>
    <row r="292" ht="15.0" customHeight="1">
      <c r="A292" s="19"/>
      <c r="B292" s="15"/>
      <c r="C292" s="26" t="str">
        <f t="array" ref="C292">IFERROR(INDEX('Patrimônio'!$C$7:$C$1003,MATCH($B292,'Patrimônio'!$A$7:$A$1003,0)),"")</f>
        <v/>
      </c>
      <c r="D292" s="17"/>
      <c r="E292" s="17"/>
      <c r="F292" s="15"/>
      <c r="G292" s="15"/>
      <c r="H292" s="17"/>
    </row>
    <row r="293" ht="15.0" customHeight="1">
      <c r="A293" s="19"/>
      <c r="B293" s="15"/>
      <c r="C293" s="26" t="str">
        <f t="array" ref="C293">IFERROR(INDEX('Patrimônio'!$C$7:$C$1003,MATCH($B293,'Patrimônio'!$A$7:$A$1003,0)),"")</f>
        <v/>
      </c>
      <c r="D293" s="17"/>
      <c r="E293" s="17"/>
      <c r="F293" s="15"/>
      <c r="G293" s="15"/>
      <c r="H293" s="17"/>
    </row>
    <row r="294" ht="15.0" customHeight="1">
      <c r="A294" s="19"/>
      <c r="B294" s="15"/>
      <c r="C294" s="26" t="str">
        <f t="array" ref="C294">IFERROR(INDEX('Patrimônio'!$C$7:$C$1003,MATCH($B294,'Patrimônio'!$A$7:$A$1003,0)),"")</f>
        <v/>
      </c>
      <c r="D294" s="17"/>
      <c r="E294" s="17"/>
      <c r="F294" s="15"/>
      <c r="G294" s="15"/>
      <c r="H294" s="17"/>
    </row>
    <row r="295" ht="15.0" customHeight="1">
      <c r="A295" s="19"/>
      <c r="B295" s="15"/>
      <c r="C295" s="26" t="str">
        <f t="array" ref="C295">IFERROR(INDEX('Patrimônio'!$C$7:$C$1003,MATCH($B295,'Patrimônio'!$A$7:$A$1003,0)),"")</f>
        <v/>
      </c>
      <c r="D295" s="17"/>
      <c r="E295" s="17"/>
      <c r="F295" s="15"/>
      <c r="G295" s="15"/>
      <c r="H295" s="17"/>
    </row>
    <row r="296" ht="15.0" customHeight="1">
      <c r="A296" s="19"/>
      <c r="B296" s="15"/>
      <c r="C296" s="26" t="str">
        <f t="array" ref="C296">IFERROR(INDEX('Patrimônio'!$C$7:$C$1003,MATCH($B296,'Patrimônio'!$A$7:$A$1003,0)),"")</f>
        <v/>
      </c>
      <c r="D296" s="17"/>
      <c r="E296" s="17"/>
      <c r="F296" s="15"/>
      <c r="G296" s="15"/>
      <c r="H296" s="17"/>
    </row>
    <row r="297" ht="15.0" customHeight="1">
      <c r="A297" s="19"/>
      <c r="B297" s="15"/>
      <c r="C297" s="26" t="str">
        <f t="array" ref="C297">IFERROR(INDEX('Patrimônio'!$C$7:$C$1003,MATCH($B297,'Patrimônio'!$A$7:$A$1003,0)),"")</f>
        <v/>
      </c>
      <c r="D297" s="17"/>
      <c r="E297" s="17"/>
      <c r="F297" s="15"/>
      <c r="G297" s="15"/>
      <c r="H297" s="17"/>
    </row>
    <row r="298" ht="15.0" customHeight="1">
      <c r="A298" s="19"/>
      <c r="B298" s="15"/>
      <c r="C298" s="26" t="str">
        <f t="array" ref="C298">IFERROR(INDEX('Patrimônio'!$C$7:$C$1003,MATCH($B298,'Patrimônio'!$A$7:$A$1003,0)),"")</f>
        <v/>
      </c>
      <c r="D298" s="17"/>
      <c r="E298" s="17"/>
      <c r="F298" s="15"/>
      <c r="G298" s="15"/>
      <c r="H298" s="17"/>
    </row>
    <row r="299" ht="15.0" customHeight="1">
      <c r="A299" s="19"/>
      <c r="B299" s="15"/>
      <c r="C299" s="26" t="str">
        <f t="array" ref="C299">IFERROR(INDEX('Patrimônio'!$C$7:$C$1003,MATCH($B299,'Patrimônio'!$A$7:$A$1003,0)),"")</f>
        <v/>
      </c>
      <c r="D299" s="17"/>
      <c r="E299" s="17"/>
      <c r="F299" s="15"/>
      <c r="G299" s="15"/>
      <c r="H299" s="17"/>
    </row>
    <row r="300" ht="15.0" customHeight="1">
      <c r="A300" s="19"/>
      <c r="B300" s="15"/>
      <c r="C300" s="26" t="str">
        <f t="array" ref="C300">IFERROR(INDEX('Patrimônio'!$C$7:$C$1003,MATCH($B300,'Patrimônio'!$A$7:$A$1003,0)),"")</f>
        <v/>
      </c>
      <c r="D300" s="17"/>
      <c r="E300" s="17"/>
      <c r="F300" s="15"/>
      <c r="G300" s="15"/>
      <c r="H300" s="17"/>
    </row>
    <row r="301" ht="15.0" customHeight="1">
      <c r="A301" s="19"/>
      <c r="B301" s="15"/>
      <c r="C301" s="26" t="str">
        <f t="array" ref="C301">IFERROR(INDEX('Patrimônio'!$C$7:$C$1003,MATCH($B301,'Patrimônio'!$A$7:$A$1003,0)),"")</f>
        <v/>
      </c>
      <c r="D301" s="17"/>
      <c r="E301" s="17"/>
      <c r="F301" s="15"/>
      <c r="G301" s="15"/>
      <c r="H301" s="17"/>
    </row>
    <row r="302" ht="15.0" customHeight="1">
      <c r="A302" s="19"/>
      <c r="B302" s="15"/>
      <c r="C302" s="26" t="str">
        <f t="array" ref="C302">IFERROR(INDEX('Patrimônio'!$C$7:$C$1003,MATCH($B302,'Patrimônio'!$A$7:$A$1003,0)),"")</f>
        <v/>
      </c>
      <c r="D302" s="17"/>
      <c r="E302" s="17"/>
      <c r="F302" s="15"/>
      <c r="G302" s="15"/>
      <c r="H302" s="17"/>
    </row>
    <row r="303" ht="15.0" customHeight="1">
      <c r="A303" s="19"/>
      <c r="B303" s="15"/>
      <c r="C303" s="26" t="str">
        <f t="array" ref="C303">IFERROR(INDEX('Patrimônio'!$C$7:$C$1003,MATCH($B303,'Patrimônio'!$A$7:$A$1003,0)),"")</f>
        <v/>
      </c>
      <c r="D303" s="17"/>
      <c r="E303" s="17"/>
      <c r="F303" s="15"/>
      <c r="G303" s="15"/>
      <c r="H303" s="17"/>
    </row>
    <row r="304" ht="15.0" customHeight="1">
      <c r="A304" s="19"/>
      <c r="B304" s="15"/>
      <c r="C304" s="26" t="str">
        <f t="array" ref="C304">IFERROR(INDEX('Patrimônio'!$C$7:$C$1003,MATCH($B304,'Patrimônio'!$A$7:$A$1003,0)),"")</f>
        <v/>
      </c>
      <c r="D304" s="17"/>
      <c r="E304" s="17"/>
      <c r="F304" s="15"/>
      <c r="G304" s="15"/>
      <c r="H304" s="17"/>
    </row>
    <row r="305" ht="15.0" customHeight="1">
      <c r="A305" s="19"/>
      <c r="B305" s="15"/>
      <c r="C305" s="26" t="str">
        <f t="array" ref="C305">IFERROR(INDEX('Patrimônio'!$C$7:$C$1003,MATCH($B305,'Patrimônio'!$A$7:$A$1003,0)),"")</f>
        <v/>
      </c>
      <c r="D305" s="17"/>
      <c r="E305" s="17"/>
      <c r="F305" s="15"/>
      <c r="G305" s="15"/>
      <c r="H305" s="17"/>
    </row>
    <row r="306" ht="15.0" customHeight="1">
      <c r="A306" s="19"/>
      <c r="B306" s="15"/>
      <c r="C306" s="26" t="str">
        <f t="array" ref="C306">IFERROR(INDEX('Patrimônio'!$C$7:$C$1003,MATCH($B306,'Patrimônio'!$A$7:$A$1003,0)),"")</f>
        <v/>
      </c>
      <c r="D306" s="17"/>
      <c r="E306" s="17"/>
      <c r="F306" s="15"/>
      <c r="G306" s="15"/>
      <c r="H306" s="17"/>
    </row>
    <row r="307" ht="15.0" customHeight="1">
      <c r="A307" s="19"/>
      <c r="B307" s="15"/>
      <c r="C307" s="26" t="str">
        <f t="array" ref="C307">IFERROR(INDEX('Patrimônio'!$C$7:$C$1003,MATCH($B307,'Patrimônio'!$A$7:$A$1003,0)),"")</f>
        <v/>
      </c>
      <c r="D307" s="17"/>
      <c r="E307" s="17"/>
      <c r="F307" s="15"/>
      <c r="G307" s="15"/>
      <c r="H307" s="17"/>
    </row>
    <row r="308" ht="15.0" customHeight="1">
      <c r="A308" s="19"/>
      <c r="B308" s="15"/>
      <c r="C308" s="26" t="str">
        <f t="array" ref="C308">IFERROR(INDEX('Patrimônio'!$C$7:$C$1003,MATCH($B308,'Patrimônio'!$A$7:$A$1003,0)),"")</f>
        <v/>
      </c>
      <c r="D308" s="17"/>
      <c r="E308" s="17"/>
      <c r="F308" s="15"/>
      <c r="G308" s="15"/>
      <c r="H308" s="17"/>
    </row>
    <row r="309" ht="15.0" customHeight="1">
      <c r="A309" s="19"/>
      <c r="B309" s="15"/>
      <c r="C309" s="26" t="str">
        <f t="array" ref="C309">IFERROR(INDEX('Patrimônio'!$C$7:$C$1003,MATCH($B309,'Patrimônio'!$A$7:$A$1003,0)),"")</f>
        <v/>
      </c>
      <c r="D309" s="17"/>
      <c r="E309" s="17"/>
      <c r="F309" s="15"/>
      <c r="G309" s="15"/>
      <c r="H309" s="17"/>
    </row>
    <row r="310" ht="15.0" customHeight="1">
      <c r="A310" s="19"/>
      <c r="B310" s="15"/>
      <c r="C310" s="26" t="str">
        <f t="array" ref="C310">IFERROR(INDEX('Patrimônio'!$C$7:$C$1003,MATCH($B310,'Patrimônio'!$A$7:$A$1003,0)),"")</f>
        <v/>
      </c>
      <c r="D310" s="17"/>
      <c r="E310" s="17"/>
      <c r="F310" s="15"/>
      <c r="G310" s="15"/>
      <c r="H310" s="17"/>
    </row>
    <row r="311" ht="15.0" customHeight="1">
      <c r="A311" s="19"/>
      <c r="B311" s="15"/>
      <c r="C311" s="26" t="str">
        <f t="array" ref="C311">IFERROR(INDEX('Patrimônio'!$C$7:$C$1003,MATCH($B311,'Patrimônio'!$A$7:$A$1003,0)),"")</f>
        <v/>
      </c>
      <c r="D311" s="17"/>
      <c r="E311" s="17"/>
      <c r="F311" s="15"/>
      <c r="G311" s="15"/>
      <c r="H311" s="17"/>
    </row>
    <row r="312" ht="15.0" customHeight="1">
      <c r="A312" s="19"/>
      <c r="B312" s="15"/>
      <c r="C312" s="26" t="str">
        <f t="array" ref="C312">IFERROR(INDEX('Patrimônio'!$C$7:$C$1003,MATCH($B312,'Patrimônio'!$A$7:$A$1003,0)),"")</f>
        <v/>
      </c>
      <c r="D312" s="17"/>
      <c r="E312" s="17"/>
      <c r="F312" s="15"/>
      <c r="G312" s="15"/>
      <c r="H312" s="17"/>
    </row>
    <row r="313" ht="15.0" customHeight="1">
      <c r="A313" s="19"/>
      <c r="B313" s="15"/>
      <c r="C313" s="26" t="str">
        <f t="array" ref="C313">IFERROR(INDEX('Patrimônio'!$C$7:$C$1003,MATCH($B313,'Patrimônio'!$A$7:$A$1003,0)),"")</f>
        <v/>
      </c>
      <c r="D313" s="17"/>
      <c r="E313" s="17"/>
      <c r="F313" s="15"/>
      <c r="G313" s="15"/>
      <c r="H313" s="17"/>
    </row>
    <row r="314" ht="15.0" customHeight="1">
      <c r="A314" s="19"/>
      <c r="B314" s="15"/>
      <c r="C314" s="26" t="str">
        <f t="array" ref="C314">IFERROR(INDEX('Patrimônio'!$C$7:$C$1003,MATCH($B314,'Patrimônio'!$A$7:$A$1003,0)),"")</f>
        <v/>
      </c>
      <c r="D314" s="17"/>
      <c r="E314" s="17"/>
      <c r="F314" s="15"/>
      <c r="G314" s="15"/>
      <c r="H314" s="17"/>
    </row>
    <row r="315" ht="15.0" customHeight="1">
      <c r="A315" s="19"/>
      <c r="B315" s="15"/>
      <c r="C315" s="26" t="str">
        <f t="array" ref="C315">IFERROR(INDEX('Patrimônio'!$C$7:$C$1003,MATCH($B315,'Patrimônio'!$A$7:$A$1003,0)),"")</f>
        <v/>
      </c>
      <c r="D315" s="17"/>
      <c r="E315" s="17"/>
      <c r="F315" s="15"/>
      <c r="G315" s="15"/>
      <c r="H315" s="17"/>
    </row>
    <row r="316" ht="15.0" customHeight="1">
      <c r="A316" s="19"/>
      <c r="B316" s="15"/>
      <c r="C316" s="26" t="str">
        <f t="array" ref="C316">IFERROR(INDEX('Patrimônio'!$C$7:$C$1003,MATCH($B316,'Patrimônio'!$A$7:$A$1003,0)),"")</f>
        <v/>
      </c>
      <c r="D316" s="17"/>
      <c r="E316" s="17"/>
      <c r="F316" s="15"/>
      <c r="G316" s="15"/>
      <c r="H316" s="17"/>
    </row>
    <row r="317" ht="15.0" customHeight="1">
      <c r="A317" s="19"/>
      <c r="B317" s="15"/>
      <c r="C317" s="26" t="str">
        <f t="array" ref="C317">IFERROR(INDEX('Patrimônio'!$C$7:$C$1003,MATCH($B317,'Patrimônio'!$A$7:$A$1003,0)),"")</f>
        <v/>
      </c>
      <c r="D317" s="17"/>
      <c r="E317" s="17"/>
      <c r="F317" s="15"/>
      <c r="G317" s="15"/>
      <c r="H317" s="17"/>
    </row>
    <row r="318" ht="15.0" customHeight="1">
      <c r="A318" s="19"/>
      <c r="B318" s="15"/>
      <c r="C318" s="26" t="str">
        <f t="array" ref="C318">IFERROR(INDEX('Patrimônio'!$C$7:$C$1003,MATCH($B318,'Patrimônio'!$A$7:$A$1003,0)),"")</f>
        <v/>
      </c>
      <c r="D318" s="17"/>
      <c r="E318" s="17"/>
      <c r="F318" s="15"/>
      <c r="G318" s="15"/>
      <c r="H318" s="17"/>
    </row>
    <row r="319" ht="15.0" customHeight="1">
      <c r="A319" s="19"/>
      <c r="B319" s="15"/>
      <c r="C319" s="26" t="str">
        <f t="array" ref="C319">IFERROR(INDEX('Patrimônio'!$C$7:$C$1003,MATCH($B319,'Patrimônio'!$A$7:$A$1003,0)),"")</f>
        <v/>
      </c>
      <c r="D319" s="17"/>
      <c r="E319" s="17"/>
      <c r="F319" s="15"/>
      <c r="G319" s="15"/>
      <c r="H319" s="17"/>
    </row>
    <row r="320" ht="15.0" customHeight="1">
      <c r="A320" s="19"/>
      <c r="B320" s="15"/>
      <c r="C320" s="26" t="str">
        <f t="array" ref="C320">IFERROR(INDEX('Patrimônio'!$C$7:$C$1003,MATCH($B320,'Patrimônio'!$A$7:$A$1003,0)),"")</f>
        <v/>
      </c>
      <c r="D320" s="17"/>
      <c r="E320" s="17"/>
      <c r="F320" s="15"/>
      <c r="G320" s="15"/>
      <c r="H320" s="17"/>
    </row>
    <row r="321" ht="15.0" customHeight="1">
      <c r="A321" s="19"/>
      <c r="B321" s="15"/>
      <c r="C321" s="26" t="str">
        <f t="array" ref="C321">IFERROR(INDEX('Patrimônio'!$C$7:$C$1003,MATCH($B321,'Patrimônio'!$A$7:$A$1003,0)),"")</f>
        <v/>
      </c>
      <c r="D321" s="17"/>
      <c r="E321" s="17"/>
      <c r="F321" s="15"/>
      <c r="G321" s="15"/>
      <c r="H321" s="17"/>
    </row>
    <row r="322" ht="15.0" customHeight="1">
      <c r="A322" s="19"/>
      <c r="B322" s="15"/>
      <c r="C322" s="26" t="str">
        <f t="array" ref="C322">IFERROR(INDEX('Patrimônio'!$C$7:$C$1003,MATCH($B322,'Patrimônio'!$A$7:$A$1003,0)),"")</f>
        <v/>
      </c>
      <c r="D322" s="17"/>
      <c r="E322" s="17"/>
      <c r="F322" s="15"/>
      <c r="G322" s="15"/>
      <c r="H322" s="17"/>
    </row>
    <row r="323" ht="15.0" customHeight="1">
      <c r="A323" s="19"/>
      <c r="B323" s="15"/>
      <c r="C323" s="26" t="str">
        <f t="array" ref="C323">IFERROR(INDEX('Patrimônio'!$C$7:$C$1003,MATCH($B323,'Patrimônio'!$A$7:$A$1003,0)),"")</f>
        <v/>
      </c>
      <c r="D323" s="17"/>
      <c r="E323" s="17"/>
      <c r="F323" s="15"/>
      <c r="G323" s="15"/>
      <c r="H323" s="17"/>
    </row>
    <row r="324" ht="15.0" customHeight="1">
      <c r="A324" s="19"/>
      <c r="B324" s="15"/>
      <c r="C324" s="26" t="str">
        <f t="array" ref="C324">IFERROR(INDEX('Patrimônio'!$C$7:$C$1003,MATCH($B324,'Patrimônio'!$A$7:$A$1003,0)),"")</f>
        <v/>
      </c>
      <c r="D324" s="17"/>
      <c r="E324" s="17"/>
      <c r="F324" s="15"/>
      <c r="G324" s="15"/>
      <c r="H324" s="17"/>
    </row>
    <row r="325" ht="15.0" customHeight="1">
      <c r="A325" s="19"/>
      <c r="B325" s="15"/>
      <c r="C325" s="26" t="str">
        <f t="array" ref="C325">IFERROR(INDEX('Patrimônio'!$C$7:$C$1003,MATCH($B325,'Patrimônio'!$A$7:$A$1003,0)),"")</f>
        <v/>
      </c>
      <c r="D325" s="17"/>
      <c r="E325" s="17"/>
      <c r="F325" s="15"/>
      <c r="G325" s="15"/>
      <c r="H325" s="17"/>
    </row>
    <row r="326" ht="15.0" customHeight="1">
      <c r="A326" s="19"/>
      <c r="B326" s="15"/>
      <c r="C326" s="26" t="str">
        <f t="array" ref="C326">IFERROR(INDEX('Patrimônio'!$C$7:$C$1003,MATCH($B326,'Patrimônio'!$A$7:$A$1003,0)),"")</f>
        <v/>
      </c>
      <c r="D326" s="17"/>
      <c r="E326" s="17"/>
      <c r="F326" s="15"/>
      <c r="G326" s="15"/>
      <c r="H326" s="17"/>
    </row>
    <row r="327" ht="15.0" customHeight="1">
      <c r="A327" s="19"/>
      <c r="B327" s="15"/>
      <c r="C327" s="26" t="str">
        <f t="array" ref="C327">IFERROR(INDEX('Patrimônio'!$C$7:$C$1003,MATCH($B327,'Patrimônio'!$A$7:$A$1003,0)),"")</f>
        <v/>
      </c>
      <c r="D327" s="17"/>
      <c r="E327" s="17"/>
      <c r="F327" s="15"/>
      <c r="G327" s="15"/>
      <c r="H327" s="17"/>
    </row>
    <row r="328" ht="15.0" customHeight="1">
      <c r="A328" s="19"/>
      <c r="B328" s="15"/>
      <c r="C328" s="26" t="str">
        <f t="array" ref="C328">IFERROR(INDEX('Patrimônio'!$C$7:$C$1003,MATCH($B328,'Patrimônio'!$A$7:$A$1003,0)),"")</f>
        <v/>
      </c>
      <c r="D328" s="17"/>
      <c r="E328" s="17"/>
      <c r="F328" s="15"/>
      <c r="G328" s="15"/>
      <c r="H328" s="17"/>
    </row>
    <row r="329" ht="15.0" customHeight="1">
      <c r="A329" s="19"/>
      <c r="B329" s="15"/>
      <c r="C329" s="26" t="str">
        <f t="array" ref="C329">IFERROR(INDEX('Patrimônio'!$C$7:$C$1003,MATCH($B329,'Patrimônio'!$A$7:$A$1003,0)),"")</f>
        <v/>
      </c>
      <c r="D329" s="17"/>
      <c r="E329" s="17"/>
      <c r="F329" s="15"/>
      <c r="G329" s="15"/>
      <c r="H329" s="17"/>
    </row>
    <row r="330" ht="15.0" customHeight="1">
      <c r="A330" s="19"/>
      <c r="B330" s="15"/>
      <c r="C330" s="26" t="str">
        <f t="array" ref="C330">IFERROR(INDEX('Patrimônio'!$C$7:$C$1003,MATCH($B330,'Patrimônio'!$A$7:$A$1003,0)),"")</f>
        <v/>
      </c>
      <c r="D330" s="17"/>
      <c r="E330" s="17"/>
      <c r="F330" s="15"/>
      <c r="G330" s="15"/>
      <c r="H330" s="17"/>
    </row>
    <row r="331" ht="15.0" customHeight="1">
      <c r="A331" s="19"/>
      <c r="B331" s="15"/>
      <c r="C331" s="26" t="str">
        <f t="array" ref="C331">IFERROR(INDEX('Patrimônio'!$C$7:$C$1003,MATCH($B331,'Patrimônio'!$A$7:$A$1003,0)),"")</f>
        <v/>
      </c>
      <c r="D331" s="17"/>
      <c r="E331" s="17"/>
      <c r="F331" s="15"/>
      <c r="G331" s="15"/>
      <c r="H331" s="17"/>
    </row>
    <row r="332" ht="15.0" customHeight="1">
      <c r="A332" s="19"/>
      <c r="B332" s="15"/>
      <c r="C332" s="26" t="str">
        <f t="array" ref="C332">IFERROR(INDEX('Patrimônio'!$C$7:$C$1003,MATCH($B332,'Patrimônio'!$A$7:$A$1003,0)),"")</f>
        <v/>
      </c>
      <c r="D332" s="17"/>
      <c r="E332" s="17"/>
      <c r="F332" s="15"/>
      <c r="G332" s="15"/>
      <c r="H332" s="17"/>
    </row>
    <row r="333" ht="15.0" customHeight="1">
      <c r="A333" s="19"/>
      <c r="B333" s="15"/>
      <c r="C333" s="26" t="str">
        <f t="array" ref="C333">IFERROR(INDEX('Patrimônio'!$C$7:$C$1003,MATCH($B333,'Patrimônio'!$A$7:$A$1003,0)),"")</f>
        <v/>
      </c>
      <c r="D333" s="17"/>
      <c r="E333" s="17"/>
      <c r="F333" s="15"/>
      <c r="G333" s="15"/>
      <c r="H333" s="17"/>
    </row>
    <row r="334" ht="15.0" customHeight="1">
      <c r="A334" s="19"/>
      <c r="B334" s="15"/>
      <c r="C334" s="26" t="str">
        <f t="array" ref="C334">IFERROR(INDEX('Patrimônio'!$C$7:$C$1003,MATCH($B334,'Patrimônio'!$A$7:$A$1003,0)),"")</f>
        <v/>
      </c>
      <c r="D334" s="17"/>
      <c r="E334" s="17"/>
      <c r="F334" s="15"/>
      <c r="G334" s="15"/>
      <c r="H334" s="17"/>
    </row>
    <row r="335" ht="15.0" customHeight="1">
      <c r="A335" s="19"/>
      <c r="B335" s="15"/>
      <c r="C335" s="26" t="str">
        <f t="array" ref="C335">IFERROR(INDEX('Patrimônio'!$C$7:$C$1003,MATCH($B335,'Patrimônio'!$A$7:$A$1003,0)),"")</f>
        <v/>
      </c>
      <c r="D335" s="17"/>
      <c r="E335" s="17"/>
      <c r="F335" s="15"/>
      <c r="G335" s="15"/>
      <c r="H335" s="17"/>
    </row>
    <row r="336" ht="15.0" customHeight="1">
      <c r="A336" s="19"/>
      <c r="B336" s="15"/>
      <c r="C336" s="26" t="str">
        <f t="array" ref="C336">IFERROR(INDEX('Patrimônio'!$C$7:$C$1003,MATCH($B336,'Patrimônio'!$A$7:$A$1003,0)),"")</f>
        <v/>
      </c>
      <c r="D336" s="17"/>
      <c r="E336" s="17"/>
      <c r="F336" s="15"/>
      <c r="G336" s="15"/>
      <c r="H336" s="17"/>
    </row>
    <row r="337" ht="15.0" customHeight="1">
      <c r="A337" s="19"/>
      <c r="B337" s="15"/>
      <c r="C337" s="26" t="str">
        <f t="array" ref="C337">IFERROR(INDEX('Patrimônio'!$C$7:$C$1003,MATCH($B337,'Patrimônio'!$A$7:$A$1003,0)),"")</f>
        <v/>
      </c>
      <c r="D337" s="17"/>
      <c r="E337" s="17"/>
      <c r="F337" s="15"/>
      <c r="G337" s="15"/>
      <c r="H337" s="17"/>
    </row>
    <row r="338" ht="15.0" customHeight="1">
      <c r="A338" s="19"/>
      <c r="B338" s="15"/>
      <c r="C338" s="26" t="str">
        <f t="array" ref="C338">IFERROR(INDEX('Patrimônio'!$C$7:$C$1003,MATCH($B338,'Patrimônio'!$A$7:$A$1003,0)),"")</f>
        <v/>
      </c>
      <c r="D338" s="17"/>
      <c r="E338" s="17"/>
      <c r="F338" s="15"/>
      <c r="G338" s="15"/>
      <c r="H338" s="17"/>
    </row>
    <row r="339" ht="15.0" customHeight="1">
      <c r="A339" s="19"/>
      <c r="B339" s="15"/>
      <c r="C339" s="26" t="str">
        <f t="array" ref="C339">IFERROR(INDEX('Patrimônio'!$C$7:$C$1003,MATCH($B339,'Patrimônio'!$A$7:$A$1003,0)),"")</f>
        <v/>
      </c>
      <c r="D339" s="17"/>
      <c r="E339" s="17"/>
      <c r="F339" s="15"/>
      <c r="G339" s="15"/>
      <c r="H339" s="17"/>
    </row>
    <row r="340" ht="15.0" customHeight="1">
      <c r="A340" s="19"/>
      <c r="B340" s="15"/>
      <c r="C340" s="26" t="str">
        <f t="array" ref="C340">IFERROR(INDEX('Patrimônio'!$C$7:$C$1003,MATCH($B340,'Patrimônio'!$A$7:$A$1003,0)),"")</f>
        <v/>
      </c>
      <c r="D340" s="17"/>
      <c r="E340" s="17"/>
      <c r="F340" s="15"/>
      <c r="G340" s="15"/>
      <c r="H340" s="17"/>
    </row>
    <row r="341" ht="15.0" customHeight="1">
      <c r="A341" s="19"/>
      <c r="B341" s="15"/>
      <c r="C341" s="26" t="str">
        <f t="array" ref="C341">IFERROR(INDEX('Patrimônio'!$C$7:$C$1003,MATCH($B341,'Patrimônio'!$A$7:$A$1003,0)),"")</f>
        <v/>
      </c>
      <c r="D341" s="17"/>
      <c r="E341" s="17"/>
      <c r="F341" s="15"/>
      <c r="G341" s="15"/>
      <c r="H341" s="17"/>
    </row>
    <row r="342" ht="15.0" customHeight="1">
      <c r="A342" s="19"/>
      <c r="B342" s="15"/>
      <c r="C342" s="26" t="str">
        <f t="array" ref="C342">IFERROR(INDEX('Patrimônio'!$C$7:$C$1003,MATCH($B342,'Patrimônio'!$A$7:$A$1003,0)),"")</f>
        <v/>
      </c>
      <c r="D342" s="17"/>
      <c r="E342" s="17"/>
      <c r="F342" s="15"/>
      <c r="G342" s="15"/>
      <c r="H342" s="17"/>
    </row>
    <row r="343" ht="15.0" customHeight="1">
      <c r="A343" s="19"/>
      <c r="B343" s="15"/>
      <c r="C343" s="26" t="str">
        <f t="array" ref="C343">IFERROR(INDEX('Patrimônio'!$C$7:$C$1003,MATCH($B343,'Patrimônio'!$A$7:$A$1003,0)),"")</f>
        <v/>
      </c>
      <c r="D343" s="17"/>
      <c r="E343" s="17"/>
      <c r="F343" s="15"/>
      <c r="G343" s="15"/>
      <c r="H343" s="17"/>
    </row>
    <row r="344" ht="15.0" customHeight="1">
      <c r="A344" s="19"/>
      <c r="B344" s="15"/>
      <c r="C344" s="26" t="str">
        <f t="array" ref="C344">IFERROR(INDEX('Patrimônio'!$C$7:$C$1003,MATCH($B344,'Patrimônio'!$A$7:$A$1003,0)),"")</f>
        <v/>
      </c>
      <c r="D344" s="17"/>
      <c r="E344" s="17"/>
      <c r="F344" s="15"/>
      <c r="G344" s="15"/>
      <c r="H344" s="17"/>
    </row>
    <row r="345" ht="15.0" customHeight="1">
      <c r="A345" s="19"/>
      <c r="B345" s="15"/>
      <c r="C345" s="26" t="str">
        <f t="array" ref="C345">IFERROR(INDEX('Patrimônio'!$C$7:$C$1003,MATCH($B345,'Patrimônio'!$A$7:$A$1003,0)),"")</f>
        <v/>
      </c>
      <c r="D345" s="17"/>
      <c r="E345" s="17"/>
      <c r="F345" s="15"/>
      <c r="G345" s="15"/>
      <c r="H345" s="17"/>
    </row>
    <row r="346" ht="15.0" customHeight="1">
      <c r="A346" s="19"/>
      <c r="B346" s="15"/>
      <c r="C346" s="26" t="str">
        <f t="array" ref="C346">IFERROR(INDEX('Patrimônio'!$C$7:$C$1003,MATCH($B346,'Patrimônio'!$A$7:$A$1003,0)),"")</f>
        <v/>
      </c>
      <c r="D346" s="17"/>
      <c r="E346" s="17"/>
      <c r="F346" s="15"/>
      <c r="G346" s="15"/>
      <c r="H346" s="17"/>
    </row>
    <row r="347" ht="15.0" customHeight="1">
      <c r="A347" s="19"/>
      <c r="B347" s="15"/>
      <c r="C347" s="26" t="str">
        <f t="array" ref="C347">IFERROR(INDEX('Patrimônio'!$C$7:$C$1003,MATCH($B347,'Patrimônio'!$A$7:$A$1003,0)),"")</f>
        <v/>
      </c>
      <c r="D347" s="17"/>
      <c r="E347" s="17"/>
      <c r="F347" s="15"/>
      <c r="G347" s="15"/>
      <c r="H347" s="17"/>
    </row>
    <row r="348" ht="15.0" customHeight="1">
      <c r="A348" s="19"/>
      <c r="B348" s="15"/>
      <c r="C348" s="26" t="str">
        <f t="array" ref="C348">IFERROR(INDEX('Patrimônio'!$C$7:$C$1003,MATCH($B348,'Patrimônio'!$A$7:$A$1003,0)),"")</f>
        <v/>
      </c>
      <c r="D348" s="17"/>
      <c r="E348" s="17"/>
      <c r="F348" s="15"/>
      <c r="G348" s="15"/>
      <c r="H348" s="17"/>
    </row>
    <row r="349" ht="15.0" customHeight="1">
      <c r="A349" s="19"/>
      <c r="B349" s="15"/>
      <c r="C349" s="26" t="str">
        <f t="array" ref="C349">IFERROR(INDEX('Patrimônio'!$C$7:$C$1003,MATCH($B349,'Patrimônio'!$A$7:$A$1003,0)),"")</f>
        <v/>
      </c>
      <c r="D349" s="17"/>
      <c r="E349" s="17"/>
      <c r="F349" s="15"/>
      <c r="G349" s="15"/>
      <c r="H349" s="17"/>
    </row>
    <row r="350" ht="15.0" customHeight="1">
      <c r="A350" s="19"/>
      <c r="B350" s="15"/>
      <c r="C350" s="26" t="str">
        <f t="array" ref="C350">IFERROR(INDEX('Patrimônio'!$C$7:$C$1003,MATCH($B350,'Patrimônio'!$A$7:$A$1003,0)),"")</f>
        <v/>
      </c>
      <c r="D350" s="17"/>
      <c r="E350" s="17"/>
      <c r="F350" s="15"/>
      <c r="G350" s="15"/>
      <c r="H350" s="17"/>
    </row>
    <row r="351" ht="15.0" customHeight="1">
      <c r="A351" s="19"/>
      <c r="B351" s="15"/>
      <c r="C351" s="26" t="str">
        <f t="array" ref="C351">IFERROR(INDEX('Patrimônio'!$C$7:$C$1003,MATCH($B351,'Patrimônio'!$A$7:$A$1003,0)),"")</f>
        <v/>
      </c>
      <c r="D351" s="17"/>
      <c r="E351" s="17"/>
      <c r="F351" s="15"/>
      <c r="G351" s="15"/>
      <c r="H351" s="17"/>
    </row>
    <row r="352" ht="15.0" customHeight="1">
      <c r="A352" s="19"/>
      <c r="B352" s="15"/>
      <c r="C352" s="26" t="str">
        <f t="array" ref="C352">IFERROR(INDEX('Patrimônio'!$C$7:$C$1003,MATCH($B352,'Patrimônio'!$A$7:$A$1003,0)),"")</f>
        <v/>
      </c>
      <c r="D352" s="17"/>
      <c r="E352" s="17"/>
      <c r="F352" s="15"/>
      <c r="G352" s="15"/>
      <c r="H352" s="17"/>
    </row>
    <row r="353" ht="15.0" customHeight="1">
      <c r="A353" s="19"/>
      <c r="B353" s="15"/>
      <c r="C353" s="26" t="str">
        <f t="array" ref="C353">IFERROR(INDEX('Patrimônio'!$C$7:$C$1003,MATCH($B353,'Patrimônio'!$A$7:$A$1003,0)),"")</f>
        <v/>
      </c>
      <c r="D353" s="17"/>
      <c r="E353" s="17"/>
      <c r="F353" s="15"/>
      <c r="G353" s="15"/>
      <c r="H353" s="17"/>
    </row>
    <row r="354" ht="15.0" customHeight="1">
      <c r="A354" s="19"/>
      <c r="B354" s="15"/>
      <c r="C354" s="26" t="str">
        <f t="array" ref="C354">IFERROR(INDEX('Patrimônio'!$C$7:$C$1003,MATCH($B354,'Patrimônio'!$A$7:$A$1003,0)),"")</f>
        <v/>
      </c>
      <c r="D354" s="17"/>
      <c r="E354" s="17"/>
      <c r="F354" s="15"/>
      <c r="G354" s="15"/>
      <c r="H354" s="17"/>
    </row>
    <row r="355" ht="15.0" customHeight="1">
      <c r="A355" s="19"/>
      <c r="B355" s="15"/>
      <c r="C355" s="26" t="str">
        <f t="array" ref="C355">IFERROR(INDEX('Patrimônio'!$C$7:$C$1003,MATCH($B355,'Patrimônio'!$A$7:$A$1003,0)),"")</f>
        <v/>
      </c>
      <c r="D355" s="17"/>
      <c r="E355" s="17"/>
      <c r="F355" s="15"/>
      <c r="G355" s="15"/>
      <c r="H355" s="17"/>
    </row>
    <row r="356" ht="15.0" customHeight="1">
      <c r="A356" s="19"/>
      <c r="B356" s="15"/>
      <c r="C356" s="26" t="str">
        <f t="array" ref="C356">IFERROR(INDEX('Patrimônio'!$C$7:$C$1003,MATCH($B356,'Patrimônio'!$A$7:$A$1003,0)),"")</f>
        <v/>
      </c>
      <c r="D356" s="17"/>
      <c r="E356" s="17"/>
      <c r="F356" s="15"/>
      <c r="G356" s="15"/>
      <c r="H356" s="17"/>
    </row>
    <row r="357" ht="15.0" customHeight="1">
      <c r="A357" s="19"/>
      <c r="B357" s="15"/>
      <c r="C357" s="26" t="str">
        <f t="array" ref="C357">IFERROR(INDEX('Patrimônio'!$C$7:$C$1003,MATCH($B357,'Patrimônio'!$A$7:$A$1003,0)),"")</f>
        <v/>
      </c>
      <c r="D357" s="17"/>
      <c r="E357" s="17"/>
      <c r="F357" s="15"/>
      <c r="G357" s="15"/>
      <c r="H357" s="17"/>
    </row>
    <row r="358" ht="15.0" customHeight="1">
      <c r="A358" s="19"/>
      <c r="B358" s="15"/>
      <c r="C358" s="26" t="str">
        <f t="array" ref="C358">IFERROR(INDEX('Patrimônio'!$C$7:$C$1003,MATCH($B358,'Patrimônio'!$A$7:$A$1003,0)),"")</f>
        <v/>
      </c>
      <c r="D358" s="17"/>
      <c r="E358" s="17"/>
      <c r="F358" s="15"/>
      <c r="G358" s="15"/>
      <c r="H358" s="17"/>
    </row>
    <row r="359" ht="15.0" customHeight="1">
      <c r="A359" s="19"/>
      <c r="B359" s="15"/>
      <c r="C359" s="26" t="str">
        <f t="array" ref="C359">IFERROR(INDEX('Patrimônio'!$C$7:$C$1003,MATCH($B359,'Patrimônio'!$A$7:$A$1003,0)),"")</f>
        <v/>
      </c>
      <c r="D359" s="17"/>
      <c r="E359" s="17"/>
      <c r="F359" s="15"/>
      <c r="G359" s="15"/>
      <c r="H359" s="17"/>
    </row>
    <row r="360" ht="15.0" customHeight="1">
      <c r="A360" s="19"/>
      <c r="B360" s="15"/>
      <c r="C360" s="26" t="str">
        <f t="array" ref="C360">IFERROR(INDEX('Patrimônio'!$C$7:$C$1003,MATCH($B360,'Patrimônio'!$A$7:$A$1003,0)),"")</f>
        <v/>
      </c>
      <c r="D360" s="17"/>
      <c r="E360" s="17"/>
      <c r="F360" s="15"/>
      <c r="G360" s="15"/>
      <c r="H360" s="17"/>
    </row>
    <row r="361" ht="15.0" customHeight="1">
      <c r="A361" s="19"/>
      <c r="B361" s="15"/>
      <c r="C361" s="26" t="str">
        <f t="array" ref="C361">IFERROR(INDEX('Patrimônio'!$C$7:$C$1003,MATCH($B361,'Patrimônio'!$A$7:$A$1003,0)),"")</f>
        <v/>
      </c>
      <c r="D361" s="17"/>
      <c r="E361" s="17"/>
      <c r="F361" s="15"/>
      <c r="G361" s="15"/>
      <c r="H361" s="17"/>
    </row>
    <row r="362" ht="15.0" customHeight="1">
      <c r="A362" s="19"/>
      <c r="B362" s="15"/>
      <c r="C362" s="26" t="str">
        <f t="array" ref="C362">IFERROR(INDEX('Patrimônio'!$C$7:$C$1003,MATCH($B362,'Patrimônio'!$A$7:$A$1003,0)),"")</f>
        <v/>
      </c>
      <c r="D362" s="17"/>
      <c r="E362" s="17"/>
      <c r="F362" s="15"/>
      <c r="G362" s="15"/>
      <c r="H362" s="17"/>
    </row>
    <row r="363" ht="15.0" customHeight="1">
      <c r="A363" s="19"/>
      <c r="B363" s="15"/>
      <c r="C363" s="26" t="str">
        <f t="array" ref="C363">IFERROR(INDEX('Patrimônio'!$C$7:$C$1003,MATCH($B363,'Patrimônio'!$A$7:$A$1003,0)),"")</f>
        <v/>
      </c>
      <c r="D363" s="17"/>
      <c r="E363" s="17"/>
      <c r="F363" s="15"/>
      <c r="G363" s="15"/>
      <c r="H363" s="17"/>
    </row>
    <row r="364" ht="15.0" customHeight="1">
      <c r="A364" s="19"/>
      <c r="B364" s="15"/>
      <c r="C364" s="26" t="str">
        <f t="array" ref="C364">IFERROR(INDEX('Patrimônio'!$C$7:$C$1003,MATCH($B364,'Patrimônio'!$A$7:$A$1003,0)),"")</f>
        <v/>
      </c>
      <c r="D364" s="17"/>
      <c r="E364" s="17"/>
      <c r="F364" s="15"/>
      <c r="G364" s="15"/>
      <c r="H364" s="17"/>
    </row>
    <row r="365" ht="15.0" customHeight="1">
      <c r="A365" s="19"/>
      <c r="B365" s="15"/>
      <c r="C365" s="26" t="str">
        <f t="array" ref="C365">IFERROR(INDEX('Patrimônio'!$C$7:$C$1003,MATCH($B365,'Patrimônio'!$A$7:$A$1003,0)),"")</f>
        <v/>
      </c>
      <c r="D365" s="17"/>
      <c r="E365" s="17"/>
      <c r="F365" s="15"/>
      <c r="G365" s="15"/>
      <c r="H365" s="17"/>
    </row>
    <row r="366" ht="15.0" customHeight="1">
      <c r="A366" s="19"/>
      <c r="B366" s="15"/>
      <c r="C366" s="26" t="str">
        <f t="array" ref="C366">IFERROR(INDEX('Patrimônio'!$C$7:$C$1003,MATCH($B366,'Patrimônio'!$A$7:$A$1003,0)),"")</f>
        <v/>
      </c>
      <c r="D366" s="17"/>
      <c r="E366" s="17"/>
      <c r="F366" s="15"/>
      <c r="G366" s="15"/>
      <c r="H366" s="17"/>
    </row>
    <row r="367" ht="15.0" customHeight="1">
      <c r="A367" s="19"/>
      <c r="B367" s="15"/>
      <c r="C367" s="26" t="str">
        <f t="array" ref="C367">IFERROR(INDEX('Patrimônio'!$C$7:$C$1003,MATCH($B367,'Patrimônio'!$A$7:$A$1003,0)),"")</f>
        <v/>
      </c>
      <c r="D367" s="17"/>
      <c r="E367" s="17"/>
      <c r="F367" s="15"/>
      <c r="G367" s="15"/>
      <c r="H367" s="17"/>
    </row>
    <row r="368" ht="15.0" customHeight="1">
      <c r="A368" s="19"/>
      <c r="B368" s="15"/>
      <c r="C368" s="26" t="str">
        <f t="array" ref="C368">IFERROR(INDEX('Patrimônio'!$C$7:$C$1003,MATCH($B368,'Patrimônio'!$A$7:$A$1003,0)),"")</f>
        <v/>
      </c>
      <c r="D368" s="17"/>
      <c r="E368" s="17"/>
      <c r="F368" s="15"/>
      <c r="G368" s="15"/>
      <c r="H368" s="17"/>
    </row>
    <row r="369" ht="15.0" customHeight="1">
      <c r="A369" s="19"/>
      <c r="B369" s="15"/>
      <c r="C369" s="26" t="str">
        <f t="array" ref="C369">IFERROR(INDEX('Patrimônio'!$C$7:$C$1003,MATCH($B369,'Patrimônio'!$A$7:$A$1003,0)),"")</f>
        <v/>
      </c>
      <c r="D369" s="17"/>
      <c r="E369" s="17"/>
      <c r="F369" s="15"/>
      <c r="G369" s="15"/>
      <c r="H369" s="17"/>
    </row>
    <row r="370" ht="15.0" customHeight="1">
      <c r="A370" s="19"/>
      <c r="B370" s="15"/>
      <c r="C370" s="26" t="str">
        <f t="array" ref="C370">IFERROR(INDEX('Patrimônio'!$C$7:$C$1003,MATCH($B370,'Patrimônio'!$A$7:$A$1003,0)),"")</f>
        <v/>
      </c>
      <c r="D370" s="17"/>
      <c r="E370" s="17"/>
      <c r="F370" s="15"/>
      <c r="G370" s="15"/>
      <c r="H370" s="17"/>
    </row>
    <row r="371" ht="15.0" customHeight="1">
      <c r="A371" s="19"/>
      <c r="B371" s="15"/>
      <c r="C371" s="26" t="str">
        <f t="array" ref="C371">IFERROR(INDEX('Patrimônio'!$C$7:$C$1003,MATCH($B371,'Patrimônio'!$A$7:$A$1003,0)),"")</f>
        <v/>
      </c>
      <c r="D371" s="17"/>
      <c r="E371" s="17"/>
      <c r="F371" s="15"/>
      <c r="G371" s="15"/>
      <c r="H371" s="17"/>
    </row>
    <row r="372" ht="15.0" customHeight="1">
      <c r="A372" s="19"/>
      <c r="B372" s="15"/>
      <c r="C372" s="26" t="str">
        <f t="array" ref="C372">IFERROR(INDEX('Patrimônio'!$C$7:$C$1003,MATCH($B372,'Patrimônio'!$A$7:$A$1003,0)),"")</f>
        <v/>
      </c>
      <c r="D372" s="17"/>
      <c r="E372" s="17"/>
      <c r="F372" s="15"/>
      <c r="G372" s="15"/>
      <c r="H372" s="17"/>
    </row>
    <row r="373" ht="15.0" customHeight="1">
      <c r="A373" s="19"/>
      <c r="B373" s="15"/>
      <c r="C373" s="26" t="str">
        <f t="array" ref="C373">IFERROR(INDEX('Patrimônio'!$C$7:$C$1003,MATCH($B373,'Patrimônio'!$A$7:$A$1003,0)),"")</f>
        <v/>
      </c>
      <c r="D373" s="17"/>
      <c r="E373" s="17"/>
      <c r="F373" s="15"/>
      <c r="G373" s="15"/>
      <c r="H373" s="17"/>
    </row>
    <row r="374" ht="15.0" customHeight="1">
      <c r="A374" s="19"/>
      <c r="B374" s="15"/>
      <c r="C374" s="26" t="str">
        <f t="array" ref="C374">IFERROR(INDEX('Patrimônio'!$C$7:$C$1003,MATCH($B374,'Patrimônio'!$A$7:$A$1003,0)),"")</f>
        <v/>
      </c>
      <c r="D374" s="17"/>
      <c r="E374" s="17"/>
      <c r="F374" s="15"/>
      <c r="G374" s="15"/>
      <c r="H374" s="17"/>
    </row>
    <row r="375" ht="15.0" customHeight="1">
      <c r="A375" s="19"/>
      <c r="B375" s="15"/>
      <c r="C375" s="26" t="str">
        <f t="array" ref="C375">IFERROR(INDEX('Patrimônio'!$C$7:$C$1003,MATCH($B375,'Patrimônio'!$A$7:$A$1003,0)),"")</f>
        <v/>
      </c>
      <c r="D375" s="17"/>
      <c r="E375" s="17"/>
      <c r="F375" s="15"/>
      <c r="G375" s="15"/>
      <c r="H375" s="17"/>
    </row>
    <row r="376" ht="15.0" customHeight="1">
      <c r="A376" s="19"/>
      <c r="B376" s="15"/>
      <c r="C376" s="26" t="str">
        <f t="array" ref="C376">IFERROR(INDEX('Patrimônio'!$C$7:$C$1003,MATCH($B376,'Patrimônio'!$A$7:$A$1003,0)),"")</f>
        <v/>
      </c>
      <c r="D376" s="17"/>
      <c r="E376" s="17"/>
      <c r="F376" s="15"/>
      <c r="G376" s="15"/>
      <c r="H376" s="17"/>
    </row>
    <row r="377" ht="15.0" customHeight="1">
      <c r="A377" s="19"/>
      <c r="B377" s="15"/>
      <c r="C377" s="26" t="str">
        <f t="array" ref="C377">IFERROR(INDEX('Patrimônio'!$C$7:$C$1003,MATCH($B377,'Patrimônio'!$A$7:$A$1003,0)),"")</f>
        <v/>
      </c>
      <c r="D377" s="17"/>
      <c r="E377" s="17"/>
      <c r="F377" s="15"/>
      <c r="G377" s="15"/>
      <c r="H377" s="17"/>
    </row>
    <row r="378" ht="15.0" customHeight="1">
      <c r="A378" s="19"/>
      <c r="B378" s="15"/>
      <c r="C378" s="26" t="str">
        <f t="array" ref="C378">IFERROR(INDEX('Patrimônio'!$C$7:$C$1003,MATCH($B378,'Patrimônio'!$A$7:$A$1003,0)),"")</f>
        <v/>
      </c>
      <c r="D378" s="17"/>
      <c r="E378" s="17"/>
      <c r="F378" s="15"/>
      <c r="G378" s="15"/>
      <c r="H378" s="17"/>
    </row>
    <row r="379" ht="15.0" customHeight="1">
      <c r="A379" s="19"/>
      <c r="B379" s="15"/>
      <c r="C379" s="26" t="str">
        <f t="array" ref="C379">IFERROR(INDEX('Patrimônio'!$C$7:$C$1003,MATCH($B379,'Patrimônio'!$A$7:$A$1003,0)),"")</f>
        <v/>
      </c>
      <c r="D379" s="17"/>
      <c r="E379" s="17"/>
      <c r="F379" s="15"/>
      <c r="G379" s="15"/>
      <c r="H379" s="17"/>
    </row>
    <row r="380" ht="15.0" customHeight="1">
      <c r="A380" s="19"/>
      <c r="B380" s="15"/>
      <c r="C380" s="26" t="str">
        <f t="array" ref="C380">IFERROR(INDEX('Patrimônio'!$C$7:$C$1003,MATCH($B380,'Patrimônio'!$A$7:$A$1003,0)),"")</f>
        <v/>
      </c>
      <c r="D380" s="17"/>
      <c r="E380" s="17"/>
      <c r="F380" s="15"/>
      <c r="G380" s="15"/>
      <c r="H380" s="17"/>
    </row>
    <row r="381" ht="15.0" customHeight="1">
      <c r="A381" s="19"/>
      <c r="B381" s="15"/>
      <c r="C381" s="26" t="str">
        <f t="array" ref="C381">IFERROR(INDEX('Patrimônio'!$C$7:$C$1003,MATCH($B381,'Patrimônio'!$A$7:$A$1003,0)),"")</f>
        <v/>
      </c>
      <c r="D381" s="17"/>
      <c r="E381" s="17"/>
      <c r="F381" s="15"/>
      <c r="G381" s="15"/>
      <c r="H381" s="17"/>
    </row>
    <row r="382" ht="15.0" customHeight="1">
      <c r="A382" s="19"/>
      <c r="B382" s="15"/>
      <c r="C382" s="26" t="str">
        <f t="array" ref="C382">IFERROR(INDEX('Patrimônio'!$C$7:$C$1003,MATCH($B382,'Patrimônio'!$A$7:$A$1003,0)),"")</f>
        <v/>
      </c>
      <c r="D382" s="17"/>
      <c r="E382" s="17"/>
      <c r="F382" s="15"/>
      <c r="G382" s="15"/>
      <c r="H382" s="17"/>
    </row>
    <row r="383" ht="15.0" customHeight="1">
      <c r="A383" s="19"/>
      <c r="B383" s="15"/>
      <c r="C383" s="26" t="str">
        <f t="array" ref="C383">IFERROR(INDEX('Patrimônio'!$C$7:$C$1003,MATCH($B383,'Patrimônio'!$A$7:$A$1003,0)),"")</f>
        <v/>
      </c>
      <c r="D383" s="17"/>
      <c r="E383" s="17"/>
      <c r="F383" s="15"/>
      <c r="G383" s="15"/>
      <c r="H383" s="17"/>
    </row>
    <row r="384" ht="15.0" customHeight="1">
      <c r="A384" s="19"/>
      <c r="B384" s="15"/>
      <c r="C384" s="26" t="str">
        <f t="array" ref="C384">IFERROR(INDEX('Patrimônio'!$C$7:$C$1003,MATCH($B384,'Patrimônio'!$A$7:$A$1003,0)),"")</f>
        <v/>
      </c>
      <c r="D384" s="17"/>
      <c r="E384" s="17"/>
      <c r="F384" s="15"/>
      <c r="G384" s="15"/>
      <c r="H384" s="17"/>
    </row>
    <row r="385" ht="15.0" customHeight="1">
      <c r="A385" s="19"/>
      <c r="B385" s="15"/>
      <c r="C385" s="26" t="str">
        <f t="array" ref="C385">IFERROR(INDEX('Patrimônio'!$C$7:$C$1003,MATCH($B385,'Patrimônio'!$A$7:$A$1003,0)),"")</f>
        <v/>
      </c>
      <c r="D385" s="17"/>
      <c r="E385" s="17"/>
      <c r="F385" s="15"/>
      <c r="G385" s="15"/>
      <c r="H385" s="17"/>
    </row>
    <row r="386" ht="15.0" customHeight="1">
      <c r="A386" s="19"/>
      <c r="B386" s="15"/>
      <c r="C386" s="26" t="str">
        <f t="array" ref="C386">IFERROR(INDEX('Patrimônio'!$C$7:$C$1003,MATCH($B386,'Patrimônio'!$A$7:$A$1003,0)),"")</f>
        <v/>
      </c>
      <c r="D386" s="17"/>
      <c r="E386" s="17"/>
      <c r="F386" s="15"/>
      <c r="G386" s="15"/>
      <c r="H386" s="17"/>
    </row>
    <row r="387" ht="15.0" customHeight="1">
      <c r="A387" s="19"/>
      <c r="B387" s="15"/>
      <c r="C387" s="26" t="str">
        <f t="array" ref="C387">IFERROR(INDEX('Patrimônio'!$C$7:$C$1003,MATCH($B387,'Patrimônio'!$A$7:$A$1003,0)),"")</f>
        <v/>
      </c>
      <c r="D387" s="17"/>
      <c r="E387" s="17"/>
      <c r="F387" s="15"/>
      <c r="G387" s="15"/>
      <c r="H387" s="17"/>
    </row>
    <row r="388" ht="15.0" customHeight="1">
      <c r="A388" s="19"/>
      <c r="B388" s="15"/>
      <c r="C388" s="26" t="str">
        <f t="array" ref="C388">IFERROR(INDEX('Patrimônio'!$C$7:$C$1003,MATCH($B388,'Patrimônio'!$A$7:$A$1003,0)),"")</f>
        <v/>
      </c>
      <c r="D388" s="17"/>
      <c r="E388" s="17"/>
      <c r="F388" s="15"/>
      <c r="G388" s="15"/>
      <c r="H388" s="17"/>
    </row>
    <row r="389" ht="15.0" customHeight="1">
      <c r="A389" s="19"/>
      <c r="B389" s="15"/>
      <c r="C389" s="26" t="str">
        <f t="array" ref="C389">IFERROR(INDEX('Patrimônio'!$C$7:$C$1003,MATCH($B389,'Patrimônio'!$A$7:$A$1003,0)),"")</f>
        <v/>
      </c>
      <c r="D389" s="17"/>
      <c r="E389" s="17"/>
      <c r="F389" s="15"/>
      <c r="G389" s="15"/>
      <c r="H389" s="17"/>
    </row>
    <row r="390" ht="15.0" customHeight="1">
      <c r="A390" s="19"/>
      <c r="B390" s="15"/>
      <c r="C390" s="26" t="str">
        <f t="array" ref="C390">IFERROR(INDEX('Patrimônio'!$C$7:$C$1003,MATCH($B390,'Patrimônio'!$A$7:$A$1003,0)),"")</f>
        <v/>
      </c>
      <c r="D390" s="17"/>
      <c r="E390" s="17"/>
      <c r="F390" s="15"/>
      <c r="G390" s="15"/>
      <c r="H390" s="17"/>
    </row>
    <row r="391" ht="15.0" customHeight="1">
      <c r="A391" s="19"/>
      <c r="B391" s="15"/>
      <c r="C391" s="26" t="str">
        <f t="array" ref="C391">IFERROR(INDEX('Patrimônio'!$C$7:$C$1003,MATCH($B391,'Patrimônio'!$A$7:$A$1003,0)),"")</f>
        <v/>
      </c>
      <c r="D391" s="17"/>
      <c r="E391" s="17"/>
      <c r="F391" s="15"/>
      <c r="G391" s="15"/>
      <c r="H391" s="17"/>
    </row>
    <row r="392" ht="15.0" customHeight="1">
      <c r="A392" s="19"/>
      <c r="B392" s="15"/>
      <c r="C392" s="26" t="str">
        <f t="array" ref="C392">IFERROR(INDEX('Patrimônio'!$C$7:$C$1003,MATCH($B392,'Patrimônio'!$A$7:$A$1003,0)),"")</f>
        <v/>
      </c>
      <c r="D392" s="17"/>
      <c r="E392" s="17"/>
      <c r="F392" s="15"/>
      <c r="G392" s="15"/>
      <c r="H392" s="17"/>
    </row>
    <row r="393" ht="15.0" customHeight="1">
      <c r="A393" s="19"/>
      <c r="B393" s="15"/>
      <c r="C393" s="26" t="str">
        <f t="array" ref="C393">IFERROR(INDEX('Patrimônio'!$C$7:$C$1003,MATCH($B393,'Patrimônio'!$A$7:$A$1003,0)),"")</f>
        <v/>
      </c>
      <c r="D393" s="17"/>
      <c r="E393" s="17"/>
      <c r="F393" s="15"/>
      <c r="G393" s="15"/>
      <c r="H393" s="17"/>
    </row>
    <row r="394" ht="15.0" customHeight="1">
      <c r="A394" s="19"/>
      <c r="B394" s="15"/>
      <c r="C394" s="26" t="str">
        <f t="array" ref="C394">IFERROR(INDEX('Patrimônio'!$C$7:$C$1003,MATCH($B394,'Patrimônio'!$A$7:$A$1003,0)),"")</f>
        <v/>
      </c>
      <c r="D394" s="17"/>
      <c r="E394" s="17"/>
      <c r="F394" s="15"/>
      <c r="G394" s="15"/>
      <c r="H394" s="17"/>
    </row>
    <row r="395" ht="15.0" customHeight="1">
      <c r="A395" s="19"/>
      <c r="B395" s="15"/>
      <c r="C395" s="26" t="str">
        <f t="array" ref="C395">IFERROR(INDEX('Patrimônio'!$C$7:$C$1003,MATCH($B395,'Patrimônio'!$A$7:$A$1003,0)),"")</f>
        <v/>
      </c>
      <c r="D395" s="17"/>
      <c r="E395" s="17"/>
      <c r="F395" s="15"/>
      <c r="G395" s="15"/>
      <c r="H395" s="17"/>
    </row>
    <row r="396" ht="15.0" customHeight="1">
      <c r="A396" s="19"/>
      <c r="B396" s="15"/>
      <c r="C396" s="26" t="str">
        <f t="array" ref="C396">IFERROR(INDEX('Patrimônio'!$C$7:$C$1003,MATCH($B396,'Patrimônio'!$A$7:$A$1003,0)),"")</f>
        <v/>
      </c>
      <c r="D396" s="17"/>
      <c r="E396" s="17"/>
      <c r="F396" s="15"/>
      <c r="G396" s="15"/>
      <c r="H396" s="17"/>
    </row>
    <row r="397" ht="15.0" customHeight="1">
      <c r="A397" s="19"/>
      <c r="B397" s="15"/>
      <c r="C397" s="26" t="str">
        <f t="array" ref="C397">IFERROR(INDEX('Patrimônio'!$C$7:$C$1003,MATCH($B397,'Patrimônio'!$A$7:$A$1003,0)),"")</f>
        <v/>
      </c>
      <c r="D397" s="17"/>
      <c r="E397" s="17"/>
      <c r="F397" s="15"/>
      <c r="G397" s="15"/>
      <c r="H397" s="17"/>
    </row>
    <row r="398" ht="15.0" customHeight="1">
      <c r="A398" s="19"/>
      <c r="B398" s="15"/>
      <c r="C398" s="26" t="str">
        <f t="array" ref="C398">IFERROR(INDEX('Patrimônio'!$C$7:$C$1003,MATCH($B398,'Patrimônio'!$A$7:$A$1003,0)),"")</f>
        <v/>
      </c>
      <c r="D398" s="17"/>
      <c r="E398" s="17"/>
      <c r="F398" s="15"/>
      <c r="G398" s="15"/>
      <c r="H398" s="17"/>
    </row>
    <row r="399" ht="15.0" customHeight="1">
      <c r="A399" s="19"/>
      <c r="B399" s="15"/>
      <c r="C399" s="26" t="str">
        <f t="array" ref="C399">IFERROR(INDEX('Patrimônio'!$C$7:$C$1003,MATCH($B399,'Patrimônio'!$A$7:$A$1003,0)),"")</f>
        <v/>
      </c>
      <c r="D399" s="17"/>
      <c r="E399" s="17"/>
      <c r="F399" s="15"/>
      <c r="G399" s="15"/>
      <c r="H399" s="17"/>
    </row>
    <row r="400" ht="15.0" customHeight="1">
      <c r="A400" s="19"/>
      <c r="B400" s="15"/>
      <c r="C400" s="26" t="str">
        <f t="array" ref="C400">IFERROR(INDEX('Patrimônio'!$C$7:$C$1003,MATCH($B400,'Patrimônio'!$A$7:$A$1003,0)),"")</f>
        <v/>
      </c>
      <c r="D400" s="17"/>
      <c r="E400" s="17"/>
      <c r="F400" s="15"/>
      <c r="G400" s="15"/>
      <c r="H400" s="17"/>
    </row>
    <row r="401" ht="15.0" customHeight="1">
      <c r="A401" s="19"/>
      <c r="B401" s="15"/>
      <c r="C401" s="26" t="str">
        <f t="array" ref="C401">IFERROR(INDEX('Patrimônio'!$C$7:$C$1003,MATCH($B401,'Patrimônio'!$A$7:$A$1003,0)),"")</f>
        <v/>
      </c>
      <c r="D401" s="17"/>
      <c r="E401" s="17"/>
      <c r="F401" s="15"/>
      <c r="G401" s="15"/>
      <c r="H401" s="17"/>
    </row>
    <row r="402" ht="15.0" customHeight="1">
      <c r="A402" s="19"/>
      <c r="B402" s="15"/>
      <c r="C402" s="26" t="str">
        <f t="array" ref="C402">IFERROR(INDEX('Patrimônio'!$C$7:$C$1003,MATCH($B402,'Patrimônio'!$A$7:$A$1003,0)),"")</f>
        <v/>
      </c>
      <c r="D402" s="17"/>
      <c r="E402" s="17"/>
      <c r="F402" s="15"/>
      <c r="G402" s="15"/>
      <c r="H402" s="17"/>
    </row>
    <row r="403" ht="15.0" customHeight="1">
      <c r="A403" s="19"/>
      <c r="B403" s="15"/>
      <c r="C403" s="26" t="str">
        <f t="array" ref="C403">IFERROR(INDEX('Patrimônio'!$C$7:$C$1003,MATCH($B403,'Patrimônio'!$A$7:$A$1003,0)),"")</f>
        <v/>
      </c>
      <c r="D403" s="17"/>
      <c r="E403" s="17"/>
      <c r="F403" s="15"/>
      <c r="G403" s="15"/>
      <c r="H403" s="17"/>
    </row>
    <row r="404" ht="15.0" customHeight="1">
      <c r="A404" s="19"/>
      <c r="B404" s="15"/>
      <c r="C404" s="26" t="str">
        <f t="array" ref="C404">IFERROR(INDEX('Patrimônio'!$C$7:$C$1003,MATCH($B404,'Patrimônio'!$A$7:$A$1003,0)),"")</f>
        <v/>
      </c>
      <c r="D404" s="17"/>
      <c r="E404" s="17"/>
      <c r="F404" s="15"/>
      <c r="G404" s="15"/>
      <c r="H404" s="17"/>
    </row>
    <row r="405" ht="15.0" customHeight="1">
      <c r="A405" s="19"/>
      <c r="B405" s="15"/>
      <c r="C405" s="26" t="str">
        <f t="array" ref="C405">IFERROR(INDEX('Patrimônio'!$C$7:$C$1003,MATCH($B405,'Patrimônio'!$A$7:$A$1003,0)),"")</f>
        <v/>
      </c>
      <c r="D405" s="17"/>
      <c r="E405" s="17"/>
      <c r="F405" s="15"/>
      <c r="G405" s="15"/>
      <c r="H405" s="17"/>
    </row>
    <row r="406" ht="15.0" customHeight="1">
      <c r="A406" s="19"/>
      <c r="B406" s="15"/>
      <c r="C406" s="26" t="str">
        <f t="array" ref="C406">IFERROR(INDEX('Patrimônio'!$C$7:$C$1003,MATCH($B406,'Patrimônio'!$A$7:$A$1003,0)),"")</f>
        <v/>
      </c>
      <c r="D406" s="17"/>
      <c r="E406" s="17"/>
      <c r="F406" s="15"/>
      <c r="G406" s="15"/>
      <c r="H406" s="17"/>
    </row>
    <row r="407" ht="15.0" customHeight="1">
      <c r="A407" s="19"/>
      <c r="B407" s="15"/>
      <c r="C407" s="26" t="str">
        <f t="array" ref="C407">IFERROR(INDEX('Patrimônio'!$C$7:$C$1003,MATCH($B407,'Patrimônio'!$A$7:$A$1003,0)),"")</f>
        <v/>
      </c>
      <c r="D407" s="17"/>
      <c r="E407" s="17"/>
      <c r="F407" s="15"/>
      <c r="G407" s="15"/>
      <c r="H407" s="17"/>
    </row>
    <row r="408" ht="15.0" customHeight="1">
      <c r="A408" s="19"/>
      <c r="B408" s="15"/>
      <c r="C408" s="26" t="str">
        <f t="array" ref="C408">IFERROR(INDEX('Patrimônio'!$C$7:$C$1003,MATCH($B408,'Patrimônio'!$A$7:$A$1003,0)),"")</f>
        <v/>
      </c>
      <c r="D408" s="17"/>
      <c r="E408" s="17"/>
      <c r="F408" s="15"/>
      <c r="G408" s="15"/>
      <c r="H408" s="17"/>
    </row>
    <row r="409" ht="15.0" customHeight="1">
      <c r="A409" s="19"/>
      <c r="B409" s="15"/>
      <c r="C409" s="26" t="str">
        <f t="array" ref="C409">IFERROR(INDEX('Patrimônio'!$C$7:$C$1003,MATCH($B409,'Patrimônio'!$A$7:$A$1003,0)),"")</f>
        <v/>
      </c>
      <c r="D409" s="17"/>
      <c r="E409" s="17"/>
      <c r="F409" s="15"/>
      <c r="G409" s="15"/>
      <c r="H409" s="17"/>
    </row>
    <row r="410" ht="15.0" customHeight="1">
      <c r="A410" s="19"/>
      <c r="B410" s="15"/>
      <c r="C410" s="26" t="str">
        <f t="array" ref="C410">IFERROR(INDEX('Patrimônio'!$C$7:$C$1003,MATCH($B410,'Patrimônio'!$A$7:$A$1003,0)),"")</f>
        <v/>
      </c>
      <c r="D410" s="17"/>
      <c r="E410" s="17"/>
      <c r="F410" s="15"/>
      <c r="G410" s="15"/>
      <c r="H410" s="17"/>
    </row>
    <row r="411" ht="15.0" customHeight="1">
      <c r="A411" s="19"/>
      <c r="B411" s="15"/>
      <c r="C411" s="26" t="str">
        <f t="array" ref="C411">IFERROR(INDEX('Patrimônio'!$C$7:$C$1003,MATCH($B411,'Patrimônio'!$A$7:$A$1003,0)),"")</f>
        <v/>
      </c>
      <c r="D411" s="17"/>
      <c r="E411" s="17"/>
      <c r="F411" s="15"/>
      <c r="G411" s="15"/>
      <c r="H411" s="17"/>
    </row>
    <row r="412" ht="15.0" customHeight="1">
      <c r="A412" s="19"/>
      <c r="B412" s="15"/>
      <c r="C412" s="26" t="str">
        <f t="array" ref="C412">IFERROR(INDEX('Patrimônio'!$C$7:$C$1003,MATCH($B412,'Patrimônio'!$A$7:$A$1003,0)),"")</f>
        <v/>
      </c>
      <c r="D412" s="17"/>
      <c r="E412" s="17"/>
      <c r="F412" s="15"/>
      <c r="G412" s="15"/>
      <c r="H412" s="17"/>
    </row>
    <row r="413" ht="15.0" customHeight="1">
      <c r="A413" s="19"/>
      <c r="B413" s="15"/>
      <c r="C413" s="26" t="str">
        <f t="array" ref="C413">IFERROR(INDEX('Patrimônio'!$C$7:$C$1003,MATCH($B413,'Patrimônio'!$A$7:$A$1003,0)),"")</f>
        <v/>
      </c>
      <c r="D413" s="17"/>
      <c r="E413" s="17"/>
      <c r="F413" s="15"/>
      <c r="G413" s="15"/>
      <c r="H413" s="17"/>
    </row>
    <row r="414" ht="15.0" customHeight="1">
      <c r="A414" s="19"/>
      <c r="B414" s="15"/>
      <c r="C414" s="26" t="str">
        <f t="array" ref="C414">IFERROR(INDEX('Patrimônio'!$C$7:$C$1003,MATCH($B414,'Patrimônio'!$A$7:$A$1003,0)),"")</f>
        <v/>
      </c>
      <c r="D414" s="17"/>
      <c r="E414" s="17"/>
      <c r="F414" s="15"/>
      <c r="G414" s="15"/>
      <c r="H414" s="17"/>
    </row>
    <row r="415" ht="15.0" customHeight="1">
      <c r="A415" s="19"/>
      <c r="B415" s="15"/>
      <c r="C415" s="26" t="str">
        <f t="array" ref="C415">IFERROR(INDEX('Patrimônio'!$C$7:$C$1003,MATCH($B415,'Patrimônio'!$A$7:$A$1003,0)),"")</f>
        <v/>
      </c>
      <c r="D415" s="17"/>
      <c r="E415" s="17"/>
      <c r="F415" s="15"/>
      <c r="G415" s="15"/>
      <c r="H415" s="17"/>
    </row>
    <row r="416" ht="15.0" customHeight="1">
      <c r="A416" s="19"/>
      <c r="B416" s="15"/>
      <c r="C416" s="26" t="str">
        <f t="array" ref="C416">IFERROR(INDEX('Patrimônio'!$C$7:$C$1003,MATCH($B416,'Patrimônio'!$A$7:$A$1003,0)),"")</f>
        <v/>
      </c>
      <c r="D416" s="17"/>
      <c r="E416" s="17"/>
      <c r="F416" s="15"/>
      <c r="G416" s="15"/>
      <c r="H416" s="17"/>
    </row>
    <row r="417" ht="15.0" customHeight="1">
      <c r="A417" s="19"/>
      <c r="B417" s="15"/>
      <c r="C417" s="26" t="str">
        <f t="array" ref="C417">IFERROR(INDEX('Patrimônio'!$C$7:$C$1003,MATCH($B417,'Patrimônio'!$A$7:$A$1003,0)),"")</f>
        <v/>
      </c>
      <c r="D417" s="17"/>
      <c r="E417" s="17"/>
      <c r="F417" s="15"/>
      <c r="G417" s="15"/>
      <c r="H417" s="17"/>
    </row>
    <row r="418" ht="15.0" customHeight="1">
      <c r="A418" s="19"/>
      <c r="B418" s="15"/>
      <c r="C418" s="26" t="str">
        <f t="array" ref="C418">IFERROR(INDEX('Patrimônio'!$C$7:$C$1003,MATCH($B418,'Patrimônio'!$A$7:$A$1003,0)),"")</f>
        <v/>
      </c>
      <c r="D418" s="17"/>
      <c r="E418" s="17"/>
      <c r="F418" s="15"/>
      <c r="G418" s="15"/>
      <c r="H418" s="17"/>
    </row>
    <row r="419" ht="15.0" customHeight="1">
      <c r="A419" s="19"/>
      <c r="B419" s="15"/>
      <c r="C419" s="26" t="str">
        <f t="array" ref="C419">IFERROR(INDEX('Patrimônio'!$C$7:$C$1003,MATCH($B419,'Patrimônio'!$A$7:$A$1003,0)),"")</f>
        <v/>
      </c>
      <c r="D419" s="17"/>
      <c r="E419" s="17"/>
      <c r="F419" s="15"/>
      <c r="G419" s="15"/>
      <c r="H419" s="17"/>
    </row>
    <row r="420" ht="15.0" customHeight="1">
      <c r="A420" s="19"/>
      <c r="B420" s="15"/>
      <c r="C420" s="26" t="str">
        <f t="array" ref="C420">IFERROR(INDEX('Patrimônio'!$C$7:$C$1003,MATCH($B420,'Patrimônio'!$A$7:$A$1003,0)),"")</f>
        <v/>
      </c>
      <c r="D420" s="17"/>
      <c r="E420" s="17"/>
      <c r="F420" s="15"/>
      <c r="G420" s="15"/>
      <c r="H420" s="17"/>
    </row>
    <row r="421" ht="15.0" customHeight="1">
      <c r="A421" s="19"/>
      <c r="B421" s="15"/>
      <c r="C421" s="26" t="str">
        <f t="array" ref="C421">IFERROR(INDEX('Patrimônio'!$C$7:$C$1003,MATCH($B421,'Patrimônio'!$A$7:$A$1003,0)),"")</f>
        <v/>
      </c>
      <c r="D421" s="17"/>
      <c r="E421" s="17"/>
      <c r="F421" s="15"/>
      <c r="G421" s="15"/>
      <c r="H421" s="17"/>
    </row>
    <row r="422" ht="15.0" customHeight="1">
      <c r="A422" s="19"/>
      <c r="B422" s="15"/>
      <c r="C422" s="26" t="str">
        <f t="array" ref="C422">IFERROR(INDEX('Patrimônio'!$C$7:$C$1003,MATCH($B422,'Patrimônio'!$A$7:$A$1003,0)),"")</f>
        <v/>
      </c>
      <c r="D422" s="17"/>
      <c r="E422" s="17"/>
      <c r="F422" s="15"/>
      <c r="G422" s="15"/>
      <c r="H422" s="17"/>
    </row>
    <row r="423" ht="15.0" customHeight="1">
      <c r="A423" s="19"/>
      <c r="B423" s="15"/>
      <c r="C423" s="26" t="str">
        <f t="array" ref="C423">IFERROR(INDEX('Patrimônio'!$C$7:$C$1003,MATCH($B423,'Patrimônio'!$A$7:$A$1003,0)),"")</f>
        <v/>
      </c>
      <c r="D423" s="17"/>
      <c r="E423" s="17"/>
      <c r="F423" s="15"/>
      <c r="G423" s="15"/>
      <c r="H423" s="17"/>
    </row>
    <row r="424" ht="15.0" customHeight="1">
      <c r="A424" s="19"/>
      <c r="B424" s="15"/>
      <c r="C424" s="26" t="str">
        <f t="array" ref="C424">IFERROR(INDEX('Patrimônio'!$C$7:$C$1003,MATCH($B424,'Patrimônio'!$A$7:$A$1003,0)),"")</f>
        <v/>
      </c>
      <c r="D424" s="17"/>
      <c r="E424" s="17"/>
      <c r="F424" s="15"/>
      <c r="G424" s="15"/>
      <c r="H424" s="17"/>
    </row>
    <row r="425" ht="15.0" customHeight="1">
      <c r="A425" s="19"/>
      <c r="B425" s="15"/>
      <c r="C425" s="26" t="str">
        <f t="array" ref="C425">IFERROR(INDEX('Patrimônio'!$C$7:$C$1003,MATCH($B425,'Patrimônio'!$A$7:$A$1003,0)),"")</f>
        <v/>
      </c>
      <c r="D425" s="17"/>
      <c r="E425" s="17"/>
      <c r="F425" s="15"/>
      <c r="G425" s="15"/>
      <c r="H425" s="17"/>
    </row>
    <row r="426" ht="15.0" customHeight="1">
      <c r="A426" s="19"/>
      <c r="B426" s="15"/>
      <c r="C426" s="26" t="str">
        <f t="array" ref="C426">IFERROR(INDEX('Patrimônio'!$C$7:$C$1003,MATCH($B426,'Patrimônio'!$A$7:$A$1003,0)),"")</f>
        <v/>
      </c>
      <c r="D426" s="17"/>
      <c r="E426" s="17"/>
      <c r="F426" s="15"/>
      <c r="G426" s="15"/>
      <c r="H426" s="17"/>
    </row>
    <row r="427" ht="15.0" customHeight="1">
      <c r="A427" s="19"/>
      <c r="B427" s="15"/>
      <c r="C427" s="26" t="str">
        <f t="array" ref="C427">IFERROR(INDEX('Patrimônio'!$C$7:$C$1003,MATCH($B427,'Patrimônio'!$A$7:$A$1003,0)),"")</f>
        <v/>
      </c>
      <c r="D427" s="17"/>
      <c r="E427" s="17"/>
      <c r="F427" s="15"/>
      <c r="G427" s="15"/>
      <c r="H427" s="17"/>
    </row>
    <row r="428" ht="15.0" customHeight="1">
      <c r="A428" s="19"/>
      <c r="B428" s="15"/>
      <c r="C428" s="26" t="str">
        <f t="array" ref="C428">IFERROR(INDEX('Patrimônio'!$C$7:$C$1003,MATCH($B428,'Patrimônio'!$A$7:$A$1003,0)),"")</f>
        <v/>
      </c>
      <c r="D428" s="17"/>
      <c r="E428" s="17"/>
      <c r="F428" s="15"/>
      <c r="G428" s="15"/>
      <c r="H428" s="17"/>
    </row>
    <row r="429" ht="15.0" customHeight="1">
      <c r="A429" s="19"/>
      <c r="B429" s="15"/>
      <c r="C429" s="26" t="str">
        <f t="array" ref="C429">IFERROR(INDEX('Patrimônio'!$C$7:$C$1003,MATCH($B429,'Patrimônio'!$A$7:$A$1003,0)),"")</f>
        <v/>
      </c>
      <c r="D429" s="17"/>
      <c r="E429" s="17"/>
      <c r="F429" s="15"/>
      <c r="G429" s="15"/>
      <c r="H429" s="17"/>
    </row>
    <row r="430" ht="15.0" customHeight="1">
      <c r="A430" s="19"/>
      <c r="B430" s="15"/>
      <c r="C430" s="26" t="str">
        <f t="array" ref="C430">IFERROR(INDEX('Patrimônio'!$C$7:$C$1003,MATCH($B430,'Patrimônio'!$A$7:$A$1003,0)),"")</f>
        <v/>
      </c>
      <c r="D430" s="17"/>
      <c r="E430" s="17"/>
      <c r="F430" s="15"/>
      <c r="G430" s="15"/>
      <c r="H430" s="17"/>
    </row>
    <row r="431" ht="15.0" customHeight="1">
      <c r="A431" s="19"/>
      <c r="B431" s="15"/>
      <c r="C431" s="26" t="str">
        <f t="array" ref="C431">IFERROR(INDEX('Patrimônio'!$C$7:$C$1003,MATCH($B431,'Patrimônio'!$A$7:$A$1003,0)),"")</f>
        <v/>
      </c>
      <c r="D431" s="17"/>
      <c r="E431" s="17"/>
      <c r="F431" s="15"/>
      <c r="G431" s="15"/>
      <c r="H431" s="17"/>
    </row>
    <row r="432" ht="15.0" customHeight="1">
      <c r="A432" s="19"/>
      <c r="B432" s="15"/>
      <c r="C432" s="26" t="str">
        <f t="array" ref="C432">IFERROR(INDEX('Patrimônio'!$C$7:$C$1003,MATCH($B432,'Patrimônio'!$A$7:$A$1003,0)),"")</f>
        <v/>
      </c>
      <c r="D432" s="17"/>
      <c r="E432" s="17"/>
      <c r="F432" s="15"/>
      <c r="G432" s="15"/>
      <c r="H432" s="17"/>
    </row>
    <row r="433" ht="15.0" customHeight="1">
      <c r="A433" s="19"/>
      <c r="B433" s="15"/>
      <c r="C433" s="26" t="str">
        <f t="array" ref="C433">IFERROR(INDEX('Patrimônio'!$C$7:$C$1003,MATCH($B433,'Patrimônio'!$A$7:$A$1003,0)),"")</f>
        <v/>
      </c>
      <c r="D433" s="17"/>
      <c r="E433" s="17"/>
      <c r="F433" s="15"/>
      <c r="G433" s="15"/>
      <c r="H433" s="17"/>
    </row>
    <row r="434" ht="15.0" customHeight="1">
      <c r="A434" s="19"/>
      <c r="B434" s="15"/>
      <c r="C434" s="26" t="str">
        <f t="array" ref="C434">IFERROR(INDEX('Patrimônio'!$C$7:$C$1003,MATCH($B434,'Patrimônio'!$A$7:$A$1003,0)),"")</f>
        <v/>
      </c>
      <c r="D434" s="17"/>
      <c r="E434" s="17"/>
      <c r="F434" s="15"/>
      <c r="G434" s="15"/>
      <c r="H434" s="17"/>
    </row>
    <row r="435" ht="15.0" customHeight="1">
      <c r="A435" s="19"/>
      <c r="B435" s="15"/>
      <c r="C435" s="26" t="str">
        <f t="array" ref="C435">IFERROR(INDEX('Patrimônio'!$C$7:$C$1003,MATCH($B435,'Patrimônio'!$A$7:$A$1003,0)),"")</f>
        <v/>
      </c>
      <c r="D435" s="17"/>
      <c r="E435" s="17"/>
      <c r="F435" s="15"/>
      <c r="G435" s="15"/>
      <c r="H435" s="17"/>
    </row>
    <row r="436" ht="15.0" customHeight="1">
      <c r="A436" s="19"/>
      <c r="B436" s="15"/>
      <c r="C436" s="26" t="str">
        <f t="array" ref="C436">IFERROR(INDEX('Patrimônio'!$C$7:$C$1003,MATCH($B436,'Patrimônio'!$A$7:$A$1003,0)),"")</f>
        <v/>
      </c>
      <c r="D436" s="17"/>
      <c r="E436" s="17"/>
      <c r="F436" s="15"/>
      <c r="G436" s="15"/>
      <c r="H436" s="17"/>
    </row>
    <row r="437" ht="15.0" customHeight="1">
      <c r="A437" s="19"/>
      <c r="B437" s="15"/>
      <c r="C437" s="26" t="str">
        <f t="array" ref="C437">IFERROR(INDEX('Patrimônio'!$C$7:$C$1003,MATCH($B437,'Patrimônio'!$A$7:$A$1003,0)),"")</f>
        <v/>
      </c>
      <c r="D437" s="17"/>
      <c r="E437" s="17"/>
      <c r="F437" s="15"/>
      <c r="G437" s="15"/>
      <c r="H437" s="17"/>
    </row>
    <row r="438" ht="15.0" customHeight="1">
      <c r="A438" s="19"/>
      <c r="B438" s="15"/>
      <c r="C438" s="26" t="str">
        <f t="array" ref="C438">IFERROR(INDEX('Patrimônio'!$C$7:$C$1003,MATCH($B438,'Patrimônio'!$A$7:$A$1003,0)),"")</f>
        <v/>
      </c>
      <c r="D438" s="17"/>
      <c r="E438" s="17"/>
      <c r="F438" s="15"/>
      <c r="G438" s="15"/>
      <c r="H438" s="17"/>
    </row>
    <row r="439" ht="15.0" customHeight="1">
      <c r="A439" s="19"/>
      <c r="B439" s="15"/>
      <c r="C439" s="26" t="str">
        <f t="array" ref="C439">IFERROR(INDEX('Patrimônio'!$C$7:$C$1003,MATCH($B439,'Patrimônio'!$A$7:$A$1003,0)),"")</f>
        <v/>
      </c>
      <c r="D439" s="17"/>
      <c r="E439" s="17"/>
      <c r="F439" s="15"/>
      <c r="G439" s="15"/>
      <c r="H439" s="17"/>
    </row>
    <row r="440" ht="15.0" customHeight="1">
      <c r="A440" s="19"/>
      <c r="B440" s="15"/>
      <c r="C440" s="26" t="str">
        <f t="array" ref="C440">IFERROR(INDEX('Patrimônio'!$C$7:$C$1003,MATCH($B440,'Patrimônio'!$A$7:$A$1003,0)),"")</f>
        <v/>
      </c>
      <c r="D440" s="17"/>
      <c r="E440" s="17"/>
      <c r="F440" s="15"/>
      <c r="G440" s="15"/>
      <c r="H440" s="17"/>
    </row>
    <row r="441" ht="15.0" customHeight="1">
      <c r="A441" s="19"/>
      <c r="B441" s="15"/>
      <c r="C441" s="26" t="str">
        <f t="array" ref="C441">IFERROR(INDEX('Patrimônio'!$C$7:$C$1003,MATCH($B441,'Patrimônio'!$A$7:$A$1003,0)),"")</f>
        <v/>
      </c>
      <c r="D441" s="17"/>
      <c r="E441" s="17"/>
      <c r="F441" s="15"/>
      <c r="G441" s="15"/>
      <c r="H441" s="17"/>
    </row>
    <row r="442" ht="15.0" customHeight="1">
      <c r="A442" s="19"/>
      <c r="B442" s="15"/>
      <c r="C442" s="26" t="str">
        <f t="array" ref="C442">IFERROR(INDEX('Patrimônio'!$C$7:$C$1003,MATCH($B442,'Patrimônio'!$A$7:$A$1003,0)),"")</f>
        <v/>
      </c>
      <c r="D442" s="17"/>
      <c r="E442" s="17"/>
      <c r="F442" s="15"/>
      <c r="G442" s="15"/>
      <c r="H442" s="17"/>
    </row>
    <row r="443" ht="15.0" customHeight="1">
      <c r="A443" s="19"/>
      <c r="B443" s="15"/>
      <c r="C443" s="26" t="str">
        <f t="array" ref="C443">IFERROR(INDEX('Patrimônio'!$C$7:$C$1003,MATCH($B443,'Patrimônio'!$A$7:$A$1003,0)),"")</f>
        <v/>
      </c>
      <c r="D443" s="17"/>
      <c r="E443" s="17"/>
      <c r="F443" s="15"/>
      <c r="G443" s="15"/>
      <c r="H443" s="17"/>
    </row>
    <row r="444" ht="15.0" customHeight="1">
      <c r="A444" s="19"/>
      <c r="B444" s="15"/>
      <c r="C444" s="26" t="str">
        <f t="array" ref="C444">IFERROR(INDEX('Patrimônio'!$C$7:$C$1003,MATCH($B444,'Patrimônio'!$A$7:$A$1003,0)),"")</f>
        <v/>
      </c>
      <c r="D444" s="17"/>
      <c r="E444" s="17"/>
      <c r="F444" s="15"/>
      <c r="G444" s="15"/>
      <c r="H444" s="17"/>
    </row>
    <row r="445" ht="15.0" customHeight="1">
      <c r="A445" s="19"/>
      <c r="B445" s="15"/>
      <c r="C445" s="26" t="str">
        <f t="array" ref="C445">IFERROR(INDEX('Patrimônio'!$C$7:$C$1003,MATCH($B445,'Patrimônio'!$A$7:$A$1003,0)),"")</f>
        <v/>
      </c>
      <c r="D445" s="17"/>
      <c r="E445" s="17"/>
      <c r="F445" s="15"/>
      <c r="G445" s="15"/>
      <c r="H445" s="17"/>
    </row>
    <row r="446" ht="15.0" customHeight="1">
      <c r="A446" s="19"/>
      <c r="B446" s="15"/>
      <c r="C446" s="26" t="str">
        <f t="array" ref="C446">IFERROR(INDEX('Patrimônio'!$C$7:$C$1003,MATCH($B446,'Patrimônio'!$A$7:$A$1003,0)),"")</f>
        <v/>
      </c>
      <c r="D446" s="17"/>
      <c r="E446" s="17"/>
      <c r="F446" s="15"/>
      <c r="G446" s="15"/>
      <c r="H446" s="17"/>
    </row>
    <row r="447" ht="15.0" customHeight="1">
      <c r="A447" s="19"/>
      <c r="B447" s="15"/>
      <c r="C447" s="26" t="str">
        <f t="array" ref="C447">IFERROR(INDEX('Patrimônio'!$C$7:$C$1003,MATCH($B447,'Patrimônio'!$A$7:$A$1003,0)),"")</f>
        <v/>
      </c>
      <c r="D447" s="17"/>
      <c r="E447" s="17"/>
      <c r="F447" s="15"/>
      <c r="G447" s="15"/>
      <c r="H447" s="17"/>
    </row>
    <row r="448" ht="15.0" customHeight="1">
      <c r="A448" s="19"/>
      <c r="B448" s="15"/>
      <c r="C448" s="26" t="str">
        <f t="array" ref="C448">IFERROR(INDEX('Patrimônio'!$C$7:$C$1003,MATCH($B448,'Patrimônio'!$A$7:$A$1003,0)),"")</f>
        <v/>
      </c>
      <c r="D448" s="17"/>
      <c r="E448" s="17"/>
      <c r="F448" s="15"/>
      <c r="G448" s="15"/>
      <c r="H448" s="17"/>
    </row>
    <row r="449" ht="15.0" customHeight="1">
      <c r="A449" s="19"/>
      <c r="B449" s="15"/>
      <c r="C449" s="26" t="str">
        <f t="array" ref="C449">IFERROR(INDEX('Patrimônio'!$C$7:$C$1003,MATCH($B449,'Patrimônio'!$A$7:$A$1003,0)),"")</f>
        <v/>
      </c>
      <c r="D449" s="17"/>
      <c r="E449" s="17"/>
      <c r="F449" s="15"/>
      <c r="G449" s="15"/>
      <c r="H449" s="17"/>
    </row>
    <row r="450" ht="15.0" customHeight="1">
      <c r="A450" s="19"/>
      <c r="B450" s="15"/>
      <c r="C450" s="26" t="str">
        <f t="array" ref="C450">IFERROR(INDEX('Patrimônio'!$C$7:$C$1003,MATCH($B450,'Patrimônio'!$A$7:$A$1003,0)),"")</f>
        <v/>
      </c>
      <c r="D450" s="17"/>
      <c r="E450" s="17"/>
      <c r="F450" s="15"/>
      <c r="G450" s="15"/>
      <c r="H450" s="17"/>
    </row>
    <row r="451" ht="15.0" customHeight="1">
      <c r="A451" s="19"/>
      <c r="B451" s="15"/>
      <c r="C451" s="26" t="str">
        <f t="array" ref="C451">IFERROR(INDEX('Patrimônio'!$C$7:$C$1003,MATCH($B451,'Patrimônio'!$A$7:$A$1003,0)),"")</f>
        <v/>
      </c>
      <c r="D451" s="17"/>
      <c r="E451" s="17"/>
      <c r="F451" s="15"/>
      <c r="G451" s="15"/>
      <c r="H451" s="17"/>
    </row>
    <row r="452" ht="15.0" customHeight="1">
      <c r="A452" s="19"/>
      <c r="B452" s="15"/>
      <c r="C452" s="26" t="str">
        <f t="array" ref="C452">IFERROR(INDEX('Patrimônio'!$C$7:$C$1003,MATCH($B452,'Patrimônio'!$A$7:$A$1003,0)),"")</f>
        <v/>
      </c>
      <c r="D452" s="17"/>
      <c r="E452" s="17"/>
      <c r="F452" s="15"/>
      <c r="G452" s="15"/>
      <c r="H452" s="17"/>
    </row>
    <row r="453" ht="15.0" customHeight="1">
      <c r="A453" s="19"/>
      <c r="B453" s="15"/>
      <c r="C453" s="26" t="str">
        <f t="array" ref="C453">IFERROR(INDEX('Patrimônio'!$C$7:$C$1003,MATCH($B453,'Patrimônio'!$A$7:$A$1003,0)),"")</f>
        <v/>
      </c>
      <c r="D453" s="17"/>
      <c r="E453" s="17"/>
      <c r="F453" s="15"/>
      <c r="G453" s="15"/>
      <c r="H453" s="17"/>
    </row>
    <row r="454" ht="15.0" customHeight="1">
      <c r="A454" s="19"/>
      <c r="B454" s="15"/>
      <c r="C454" s="26" t="str">
        <f t="array" ref="C454">IFERROR(INDEX('Patrimônio'!$C$7:$C$1003,MATCH($B454,'Patrimônio'!$A$7:$A$1003,0)),"")</f>
        <v/>
      </c>
      <c r="D454" s="17"/>
      <c r="E454" s="17"/>
      <c r="F454" s="15"/>
      <c r="G454" s="15"/>
      <c r="H454" s="17"/>
    </row>
    <row r="455" ht="15.0" customHeight="1">
      <c r="A455" s="19"/>
      <c r="B455" s="15"/>
      <c r="C455" s="26" t="str">
        <f t="array" ref="C455">IFERROR(INDEX('Patrimônio'!$C$7:$C$1003,MATCH($B455,'Patrimônio'!$A$7:$A$1003,0)),"")</f>
        <v/>
      </c>
      <c r="D455" s="17"/>
      <c r="E455" s="17"/>
      <c r="F455" s="15"/>
      <c r="G455" s="15"/>
      <c r="H455" s="17"/>
    </row>
    <row r="456" ht="15.0" customHeight="1">
      <c r="A456" s="19"/>
      <c r="B456" s="15"/>
      <c r="C456" s="26" t="str">
        <f t="array" ref="C456">IFERROR(INDEX('Patrimônio'!$C$7:$C$1003,MATCH($B456,'Patrimônio'!$A$7:$A$1003,0)),"")</f>
        <v/>
      </c>
      <c r="D456" s="17"/>
      <c r="E456" s="17"/>
      <c r="F456" s="15"/>
      <c r="G456" s="15"/>
      <c r="H456" s="17"/>
    </row>
    <row r="457" ht="15.0" customHeight="1">
      <c r="A457" s="19"/>
      <c r="B457" s="15"/>
      <c r="C457" s="26" t="str">
        <f t="array" ref="C457">IFERROR(INDEX('Patrimônio'!$C$7:$C$1003,MATCH($B457,'Patrimônio'!$A$7:$A$1003,0)),"")</f>
        <v/>
      </c>
      <c r="D457" s="17"/>
      <c r="E457" s="17"/>
      <c r="F457" s="15"/>
      <c r="G457" s="15"/>
      <c r="H457" s="17"/>
    </row>
    <row r="458" ht="15.0" customHeight="1">
      <c r="A458" s="19"/>
      <c r="B458" s="15"/>
      <c r="C458" s="26" t="str">
        <f t="array" ref="C458">IFERROR(INDEX('Patrimônio'!$C$7:$C$1003,MATCH($B458,'Patrimônio'!$A$7:$A$1003,0)),"")</f>
        <v/>
      </c>
      <c r="D458" s="17"/>
      <c r="E458" s="17"/>
      <c r="F458" s="15"/>
      <c r="G458" s="15"/>
      <c r="H458" s="17"/>
    </row>
    <row r="459" ht="15.0" customHeight="1">
      <c r="A459" s="19"/>
      <c r="B459" s="15"/>
      <c r="C459" s="26" t="str">
        <f t="array" ref="C459">IFERROR(INDEX('Patrimônio'!$C$7:$C$1003,MATCH($B459,'Patrimônio'!$A$7:$A$1003,0)),"")</f>
        <v/>
      </c>
      <c r="D459" s="17"/>
      <c r="E459" s="17"/>
      <c r="F459" s="15"/>
      <c r="G459" s="15"/>
      <c r="H459" s="17"/>
    </row>
    <row r="460" ht="15.0" customHeight="1">
      <c r="A460" s="19"/>
      <c r="B460" s="15"/>
      <c r="C460" s="26" t="str">
        <f t="array" ref="C460">IFERROR(INDEX('Patrimônio'!$C$7:$C$1003,MATCH($B460,'Patrimônio'!$A$7:$A$1003,0)),"")</f>
        <v/>
      </c>
      <c r="D460" s="17"/>
      <c r="E460" s="17"/>
      <c r="F460" s="15"/>
      <c r="G460" s="15"/>
      <c r="H460" s="17"/>
    </row>
    <row r="461" ht="15.0" customHeight="1">
      <c r="A461" s="19"/>
      <c r="B461" s="15"/>
      <c r="C461" s="26" t="str">
        <f t="array" ref="C461">IFERROR(INDEX('Patrimônio'!$C$7:$C$1003,MATCH($B461,'Patrimônio'!$A$7:$A$1003,0)),"")</f>
        <v/>
      </c>
      <c r="D461" s="17"/>
      <c r="E461" s="17"/>
      <c r="F461" s="15"/>
      <c r="G461" s="15"/>
      <c r="H461" s="17"/>
    </row>
    <row r="462" ht="15.0" customHeight="1">
      <c r="A462" s="19"/>
      <c r="B462" s="15"/>
      <c r="C462" s="26" t="str">
        <f t="array" ref="C462">IFERROR(INDEX('Patrimônio'!$C$7:$C$1003,MATCH($B462,'Patrimônio'!$A$7:$A$1003,0)),"")</f>
        <v/>
      </c>
      <c r="D462" s="17"/>
      <c r="E462" s="17"/>
      <c r="F462" s="15"/>
      <c r="G462" s="15"/>
      <c r="H462" s="17"/>
    </row>
    <row r="463" ht="15.0" customHeight="1">
      <c r="A463" s="19"/>
      <c r="B463" s="15"/>
      <c r="C463" s="26" t="str">
        <f t="array" ref="C463">IFERROR(INDEX('Patrimônio'!$C$7:$C$1003,MATCH($B463,'Patrimônio'!$A$7:$A$1003,0)),"")</f>
        <v/>
      </c>
      <c r="D463" s="17"/>
      <c r="E463" s="17"/>
      <c r="F463" s="15"/>
      <c r="G463" s="15"/>
      <c r="H463" s="17"/>
    </row>
    <row r="464" ht="15.0" customHeight="1">
      <c r="A464" s="19"/>
      <c r="B464" s="15"/>
      <c r="C464" s="26" t="str">
        <f t="array" ref="C464">IFERROR(INDEX('Patrimônio'!$C$7:$C$1003,MATCH($B464,'Patrimônio'!$A$7:$A$1003,0)),"")</f>
        <v/>
      </c>
      <c r="D464" s="17"/>
      <c r="E464" s="17"/>
      <c r="F464" s="15"/>
      <c r="G464" s="15"/>
      <c r="H464" s="17"/>
    </row>
    <row r="465" ht="15.0" customHeight="1">
      <c r="A465" s="19"/>
      <c r="B465" s="15"/>
      <c r="C465" s="26" t="str">
        <f t="array" ref="C465">IFERROR(INDEX('Patrimônio'!$C$7:$C$1003,MATCH($B465,'Patrimônio'!$A$7:$A$1003,0)),"")</f>
        <v/>
      </c>
      <c r="D465" s="17"/>
      <c r="E465" s="17"/>
      <c r="F465" s="15"/>
      <c r="G465" s="15"/>
      <c r="H465" s="17"/>
    </row>
    <row r="466" ht="15.0" customHeight="1">
      <c r="A466" s="19"/>
      <c r="B466" s="15"/>
      <c r="C466" s="26" t="str">
        <f t="array" ref="C466">IFERROR(INDEX('Patrimônio'!$C$7:$C$1003,MATCH($B466,'Patrimônio'!$A$7:$A$1003,0)),"")</f>
        <v/>
      </c>
      <c r="D466" s="17"/>
      <c r="E466" s="17"/>
      <c r="F466" s="15"/>
      <c r="G466" s="15"/>
      <c r="H466" s="17"/>
    </row>
    <row r="467" ht="15.0" customHeight="1">
      <c r="A467" s="19"/>
      <c r="B467" s="15"/>
      <c r="C467" s="26" t="str">
        <f t="array" ref="C467">IFERROR(INDEX('Patrimônio'!$C$7:$C$1003,MATCH($B467,'Patrimônio'!$A$7:$A$1003,0)),"")</f>
        <v/>
      </c>
      <c r="D467" s="17"/>
      <c r="E467" s="17"/>
      <c r="F467" s="15"/>
      <c r="G467" s="15"/>
      <c r="H467" s="17"/>
    </row>
    <row r="468" ht="15.0" customHeight="1">
      <c r="A468" s="19"/>
      <c r="B468" s="15"/>
      <c r="C468" s="26" t="str">
        <f t="array" ref="C468">IFERROR(INDEX('Patrimônio'!$C$7:$C$1003,MATCH($B468,'Patrimônio'!$A$7:$A$1003,0)),"")</f>
        <v/>
      </c>
      <c r="D468" s="17"/>
      <c r="E468" s="17"/>
      <c r="F468" s="15"/>
      <c r="G468" s="15"/>
      <c r="H468" s="17"/>
    </row>
    <row r="469" ht="15.0" customHeight="1">
      <c r="A469" s="19"/>
      <c r="B469" s="15"/>
      <c r="C469" s="26" t="str">
        <f t="array" ref="C469">IFERROR(INDEX('Patrimônio'!$C$7:$C$1003,MATCH($B469,'Patrimônio'!$A$7:$A$1003,0)),"")</f>
        <v/>
      </c>
      <c r="D469" s="17"/>
      <c r="E469" s="17"/>
      <c r="F469" s="15"/>
      <c r="G469" s="15"/>
      <c r="H469" s="17"/>
    </row>
    <row r="470" ht="15.0" customHeight="1">
      <c r="A470" s="19"/>
      <c r="B470" s="15"/>
      <c r="C470" s="26" t="str">
        <f t="array" ref="C470">IFERROR(INDEX('Patrimônio'!$C$7:$C$1003,MATCH($B470,'Patrimônio'!$A$7:$A$1003,0)),"")</f>
        <v/>
      </c>
      <c r="D470" s="17"/>
      <c r="E470" s="17"/>
      <c r="F470" s="15"/>
      <c r="G470" s="15"/>
      <c r="H470" s="17"/>
    </row>
    <row r="471" ht="15.0" customHeight="1">
      <c r="A471" s="19"/>
      <c r="B471" s="15"/>
      <c r="C471" s="26" t="str">
        <f t="array" ref="C471">IFERROR(INDEX('Patrimônio'!$C$7:$C$1003,MATCH($B471,'Patrimônio'!$A$7:$A$1003,0)),"")</f>
        <v/>
      </c>
      <c r="D471" s="17"/>
      <c r="E471" s="17"/>
      <c r="F471" s="15"/>
      <c r="G471" s="15"/>
      <c r="H471" s="17"/>
    </row>
    <row r="472" ht="15.0" customHeight="1">
      <c r="A472" s="19"/>
      <c r="B472" s="15"/>
      <c r="C472" s="26" t="str">
        <f t="array" ref="C472">IFERROR(INDEX('Patrimônio'!$C$7:$C$1003,MATCH($B472,'Patrimônio'!$A$7:$A$1003,0)),"")</f>
        <v/>
      </c>
      <c r="D472" s="17"/>
      <c r="E472" s="17"/>
      <c r="F472" s="15"/>
      <c r="G472" s="15"/>
      <c r="H472" s="17"/>
    </row>
    <row r="473" ht="15.0" customHeight="1">
      <c r="A473" s="19"/>
      <c r="B473" s="15"/>
      <c r="C473" s="26" t="str">
        <f t="array" ref="C473">IFERROR(INDEX('Patrimônio'!$C$7:$C$1003,MATCH($B473,'Patrimônio'!$A$7:$A$1003,0)),"")</f>
        <v/>
      </c>
      <c r="D473" s="17"/>
      <c r="E473" s="17"/>
      <c r="F473" s="15"/>
      <c r="G473" s="15"/>
      <c r="H473" s="17"/>
    </row>
    <row r="474" ht="15.0" customHeight="1">
      <c r="A474" s="19"/>
      <c r="B474" s="15"/>
      <c r="C474" s="26" t="str">
        <f t="array" ref="C474">IFERROR(INDEX('Patrimônio'!$C$7:$C$1003,MATCH($B474,'Patrimônio'!$A$7:$A$1003,0)),"")</f>
        <v/>
      </c>
      <c r="D474" s="17"/>
      <c r="E474" s="17"/>
      <c r="F474" s="15"/>
      <c r="G474" s="15"/>
      <c r="H474" s="17"/>
    </row>
    <row r="475" ht="15.0" customHeight="1">
      <c r="A475" s="19"/>
      <c r="B475" s="15"/>
      <c r="C475" s="26" t="str">
        <f t="array" ref="C475">IFERROR(INDEX('Patrimônio'!$C$7:$C$1003,MATCH($B475,'Patrimônio'!$A$7:$A$1003,0)),"")</f>
        <v/>
      </c>
      <c r="D475" s="17"/>
      <c r="E475" s="17"/>
      <c r="F475" s="15"/>
      <c r="G475" s="15"/>
      <c r="H475" s="17"/>
    </row>
    <row r="476" ht="15.0" customHeight="1">
      <c r="A476" s="19"/>
      <c r="B476" s="15"/>
      <c r="C476" s="26" t="str">
        <f t="array" ref="C476">IFERROR(INDEX('Patrimônio'!$C$7:$C$1003,MATCH($B476,'Patrimônio'!$A$7:$A$1003,0)),"")</f>
        <v/>
      </c>
      <c r="D476" s="17"/>
      <c r="E476" s="17"/>
      <c r="F476" s="15"/>
      <c r="G476" s="15"/>
      <c r="H476" s="17"/>
    </row>
    <row r="477" ht="15.0" customHeight="1">
      <c r="A477" s="19"/>
      <c r="B477" s="15"/>
      <c r="C477" s="26" t="str">
        <f t="array" ref="C477">IFERROR(INDEX('Patrimônio'!$C$7:$C$1003,MATCH($B477,'Patrimônio'!$A$7:$A$1003,0)),"")</f>
        <v/>
      </c>
      <c r="D477" s="17"/>
      <c r="E477" s="17"/>
      <c r="F477" s="15"/>
      <c r="G477" s="15"/>
      <c r="H477" s="17"/>
    </row>
    <row r="478" ht="15.0" customHeight="1">
      <c r="A478" s="19"/>
      <c r="B478" s="15"/>
      <c r="C478" s="26" t="str">
        <f t="array" ref="C478">IFERROR(INDEX('Patrimônio'!$C$7:$C$1003,MATCH($B478,'Patrimônio'!$A$7:$A$1003,0)),"")</f>
        <v/>
      </c>
      <c r="D478" s="17"/>
      <c r="E478" s="17"/>
      <c r="F478" s="15"/>
      <c r="G478" s="15"/>
      <c r="H478" s="17"/>
    </row>
    <row r="479" ht="15.0" customHeight="1">
      <c r="A479" s="19"/>
      <c r="B479" s="15"/>
      <c r="C479" s="26" t="str">
        <f t="array" ref="C479">IFERROR(INDEX('Patrimônio'!$C$7:$C$1003,MATCH($B479,'Patrimônio'!$A$7:$A$1003,0)),"")</f>
        <v/>
      </c>
      <c r="D479" s="17"/>
      <c r="E479" s="17"/>
      <c r="F479" s="15"/>
      <c r="G479" s="15"/>
      <c r="H479" s="17"/>
    </row>
    <row r="480" ht="15.0" customHeight="1">
      <c r="A480" s="19"/>
      <c r="B480" s="15"/>
      <c r="C480" s="26" t="str">
        <f t="array" ref="C480">IFERROR(INDEX('Patrimônio'!$C$7:$C$1003,MATCH($B480,'Patrimônio'!$A$7:$A$1003,0)),"")</f>
        <v/>
      </c>
      <c r="D480" s="17"/>
      <c r="E480" s="17"/>
      <c r="F480" s="15"/>
      <c r="G480" s="15"/>
      <c r="H480" s="17"/>
    </row>
    <row r="481" ht="15.0" customHeight="1">
      <c r="A481" s="19"/>
      <c r="B481" s="15"/>
      <c r="C481" s="26" t="str">
        <f t="array" ref="C481">IFERROR(INDEX('Patrimônio'!$C$7:$C$1003,MATCH($B481,'Patrimônio'!$A$7:$A$1003,0)),"")</f>
        <v/>
      </c>
      <c r="D481" s="17"/>
      <c r="E481" s="17"/>
      <c r="F481" s="15"/>
      <c r="G481" s="15"/>
      <c r="H481" s="17"/>
    </row>
    <row r="482" ht="15.0" customHeight="1">
      <c r="A482" s="19"/>
      <c r="B482" s="15"/>
      <c r="C482" s="26" t="str">
        <f t="array" ref="C482">IFERROR(INDEX('Patrimônio'!$C$7:$C$1003,MATCH($B482,'Patrimônio'!$A$7:$A$1003,0)),"")</f>
        <v/>
      </c>
      <c r="D482" s="17"/>
      <c r="E482" s="17"/>
      <c r="F482" s="15"/>
      <c r="G482" s="15"/>
      <c r="H482" s="17"/>
    </row>
    <row r="483" ht="15.0" customHeight="1">
      <c r="A483" s="19"/>
      <c r="B483" s="15"/>
      <c r="C483" s="26" t="str">
        <f t="array" ref="C483">IFERROR(INDEX('Patrimônio'!$C$7:$C$1003,MATCH($B483,'Patrimônio'!$A$7:$A$1003,0)),"")</f>
        <v/>
      </c>
      <c r="D483" s="17"/>
      <c r="E483" s="17"/>
      <c r="F483" s="15"/>
      <c r="G483" s="15"/>
      <c r="H483" s="17"/>
    </row>
    <row r="484" ht="15.0" customHeight="1">
      <c r="A484" s="19"/>
      <c r="B484" s="15"/>
      <c r="C484" s="26" t="str">
        <f t="array" ref="C484">IFERROR(INDEX('Patrimônio'!$C$7:$C$1003,MATCH($B484,'Patrimônio'!$A$7:$A$1003,0)),"")</f>
        <v/>
      </c>
      <c r="D484" s="17"/>
      <c r="E484" s="17"/>
      <c r="F484" s="15"/>
      <c r="G484" s="15"/>
      <c r="H484" s="17"/>
    </row>
    <row r="485" ht="15.0" customHeight="1">
      <c r="A485" s="19"/>
      <c r="B485" s="15"/>
      <c r="C485" s="26" t="str">
        <f t="array" ref="C485">IFERROR(INDEX('Patrimônio'!$C$7:$C$1003,MATCH($B485,'Patrimônio'!$A$7:$A$1003,0)),"")</f>
        <v/>
      </c>
      <c r="D485" s="17"/>
      <c r="E485" s="17"/>
      <c r="F485" s="15"/>
      <c r="G485" s="15"/>
      <c r="H485" s="17"/>
    </row>
    <row r="486" ht="15.0" customHeight="1">
      <c r="A486" s="19"/>
      <c r="B486" s="15"/>
      <c r="C486" s="26" t="str">
        <f t="array" ref="C486">IFERROR(INDEX('Patrimônio'!$C$7:$C$1003,MATCH($B486,'Patrimônio'!$A$7:$A$1003,0)),"")</f>
        <v/>
      </c>
      <c r="D486" s="17"/>
      <c r="E486" s="17"/>
      <c r="F486" s="15"/>
      <c r="G486" s="15"/>
      <c r="H486" s="17"/>
    </row>
    <row r="487" ht="15.0" customHeight="1">
      <c r="A487" s="19"/>
      <c r="B487" s="15"/>
      <c r="C487" s="26" t="str">
        <f t="array" ref="C487">IFERROR(INDEX('Patrimônio'!$C$7:$C$1003,MATCH($B487,'Patrimônio'!$A$7:$A$1003,0)),"")</f>
        <v/>
      </c>
      <c r="D487" s="17"/>
      <c r="E487" s="17"/>
      <c r="F487" s="15"/>
      <c r="G487" s="15"/>
      <c r="H487" s="17"/>
    </row>
    <row r="488" ht="15.0" customHeight="1">
      <c r="A488" s="19"/>
      <c r="B488" s="15"/>
      <c r="C488" s="26" t="str">
        <f t="array" ref="C488">IFERROR(INDEX('Patrimônio'!$C$7:$C$1003,MATCH($B488,'Patrimônio'!$A$7:$A$1003,0)),"")</f>
        <v/>
      </c>
      <c r="D488" s="17"/>
      <c r="E488" s="17"/>
      <c r="F488" s="15"/>
      <c r="G488" s="15"/>
      <c r="H488" s="17"/>
    </row>
    <row r="489" ht="15.0" customHeight="1">
      <c r="A489" s="19"/>
      <c r="B489" s="15"/>
      <c r="C489" s="26" t="str">
        <f t="array" ref="C489">IFERROR(INDEX('Patrimônio'!$C$7:$C$1003,MATCH($B489,'Patrimônio'!$A$7:$A$1003,0)),"")</f>
        <v/>
      </c>
      <c r="D489" s="17"/>
      <c r="E489" s="17"/>
      <c r="F489" s="15"/>
      <c r="G489" s="15"/>
      <c r="H489" s="17"/>
    </row>
    <row r="490" ht="15.0" customHeight="1">
      <c r="A490" s="19"/>
      <c r="B490" s="15"/>
      <c r="C490" s="26" t="str">
        <f t="array" ref="C490">IFERROR(INDEX('Patrimônio'!$C$7:$C$1003,MATCH($B490,'Patrimônio'!$A$7:$A$1003,0)),"")</f>
        <v/>
      </c>
      <c r="D490" s="17"/>
      <c r="E490" s="17"/>
      <c r="F490" s="15"/>
      <c r="G490" s="15"/>
      <c r="H490" s="17"/>
    </row>
    <row r="491" ht="15.0" customHeight="1">
      <c r="A491" s="19"/>
      <c r="B491" s="15"/>
      <c r="C491" s="26" t="str">
        <f t="array" ref="C491">IFERROR(INDEX('Patrimônio'!$C$7:$C$1003,MATCH($B491,'Patrimônio'!$A$7:$A$1003,0)),"")</f>
        <v/>
      </c>
      <c r="D491" s="17"/>
      <c r="E491" s="17"/>
      <c r="F491" s="15"/>
      <c r="G491" s="15"/>
      <c r="H491" s="17"/>
    </row>
    <row r="492" ht="15.0" customHeight="1">
      <c r="A492" s="19"/>
      <c r="B492" s="15"/>
      <c r="C492" s="26" t="str">
        <f t="array" ref="C492">IFERROR(INDEX('Patrimônio'!$C$7:$C$1003,MATCH($B492,'Patrimônio'!$A$7:$A$1003,0)),"")</f>
        <v/>
      </c>
      <c r="D492" s="17"/>
      <c r="E492" s="17"/>
      <c r="F492" s="15"/>
      <c r="G492" s="15"/>
      <c r="H492" s="17"/>
    </row>
    <row r="493" ht="15.0" customHeight="1">
      <c r="A493" s="19"/>
      <c r="B493" s="15"/>
      <c r="C493" s="26" t="str">
        <f t="array" ref="C493">IFERROR(INDEX('Patrimônio'!$C$7:$C$1003,MATCH($B493,'Patrimônio'!$A$7:$A$1003,0)),"")</f>
        <v/>
      </c>
      <c r="D493" s="17"/>
      <c r="E493" s="17"/>
      <c r="F493" s="15"/>
      <c r="G493" s="15"/>
      <c r="H493" s="17"/>
    </row>
    <row r="494" ht="15.0" customHeight="1">
      <c r="A494" s="19"/>
      <c r="B494" s="15"/>
      <c r="C494" s="26" t="str">
        <f t="array" ref="C494">IFERROR(INDEX('Patrimônio'!$C$7:$C$1003,MATCH($B494,'Patrimônio'!$A$7:$A$1003,0)),"")</f>
        <v/>
      </c>
      <c r="D494" s="17"/>
      <c r="E494" s="17"/>
      <c r="F494" s="15"/>
      <c r="G494" s="15"/>
      <c r="H494" s="17"/>
    </row>
    <row r="495" ht="15.0" customHeight="1">
      <c r="A495" s="19"/>
      <c r="B495" s="15"/>
      <c r="C495" s="26" t="str">
        <f t="array" ref="C495">IFERROR(INDEX('Patrimônio'!$C$7:$C$1003,MATCH($B495,'Patrimônio'!$A$7:$A$1003,0)),"")</f>
        <v/>
      </c>
      <c r="D495" s="17"/>
      <c r="E495" s="17"/>
      <c r="F495" s="15"/>
      <c r="G495" s="15"/>
      <c r="H495" s="17"/>
    </row>
    <row r="496" ht="15.0" customHeight="1">
      <c r="A496" s="19"/>
      <c r="B496" s="15"/>
      <c r="C496" s="26" t="str">
        <f t="array" ref="C496">IFERROR(INDEX('Patrimônio'!$C$7:$C$1003,MATCH($B496,'Patrimônio'!$A$7:$A$1003,0)),"")</f>
        <v/>
      </c>
      <c r="D496" s="17"/>
      <c r="E496" s="17"/>
      <c r="F496" s="15"/>
      <c r="G496" s="15"/>
      <c r="H496" s="17"/>
    </row>
    <row r="497" ht="15.0" customHeight="1">
      <c r="A497" s="19"/>
      <c r="B497" s="15"/>
      <c r="C497" s="26" t="str">
        <f t="array" ref="C497">IFERROR(INDEX('Patrimônio'!$C$7:$C$1003,MATCH($B497,'Patrimônio'!$A$7:$A$1003,0)),"")</f>
        <v/>
      </c>
      <c r="D497" s="17"/>
      <c r="E497" s="17"/>
      <c r="F497" s="15"/>
      <c r="G497" s="15"/>
      <c r="H497" s="17"/>
    </row>
    <row r="498" ht="15.0" customHeight="1">
      <c r="A498" s="19"/>
      <c r="B498" s="15"/>
      <c r="C498" s="26" t="str">
        <f t="array" ref="C498">IFERROR(INDEX('Patrimônio'!$C$7:$C$1003,MATCH($B498,'Patrimônio'!$A$7:$A$1003,0)),"")</f>
        <v/>
      </c>
      <c r="D498" s="17"/>
      <c r="E498" s="17"/>
      <c r="F498" s="15"/>
      <c r="G498" s="15"/>
      <c r="H498" s="17"/>
    </row>
    <row r="499" ht="15.0" customHeight="1">
      <c r="A499" s="19"/>
      <c r="B499" s="15"/>
      <c r="C499" s="26" t="str">
        <f t="array" ref="C499">IFERROR(INDEX('Patrimônio'!$C$7:$C$1003,MATCH($B499,'Patrimônio'!$A$7:$A$1003,0)),"")</f>
        <v/>
      </c>
      <c r="D499" s="17"/>
      <c r="E499" s="17"/>
      <c r="F499" s="15"/>
      <c r="G499" s="15"/>
      <c r="H499" s="17"/>
    </row>
    <row r="500" ht="15.0" customHeight="1">
      <c r="A500" s="19"/>
      <c r="B500" s="15"/>
      <c r="C500" s="26" t="str">
        <f t="array" ref="C500">IFERROR(INDEX('Patrimônio'!$C$7:$C$1003,MATCH($B500,'Patrimônio'!$A$7:$A$1003,0)),"")</f>
        <v/>
      </c>
      <c r="D500" s="17"/>
      <c r="E500" s="17"/>
      <c r="F500" s="15"/>
      <c r="G500" s="15"/>
      <c r="H500" s="17"/>
    </row>
    <row r="501" ht="15.0" customHeight="1">
      <c r="A501" s="19"/>
      <c r="B501" s="15"/>
      <c r="C501" s="26" t="str">
        <f t="array" ref="C501">IFERROR(INDEX('Patrimônio'!$C$7:$C$1003,MATCH($B501,'Patrimônio'!$A$7:$A$1003,0)),"")</f>
        <v/>
      </c>
      <c r="D501" s="17"/>
      <c r="E501" s="17"/>
      <c r="F501" s="15"/>
      <c r="G501" s="15"/>
      <c r="H501" s="17"/>
    </row>
    <row r="502" ht="15.0" customHeight="1">
      <c r="A502" s="19"/>
      <c r="B502" s="15"/>
      <c r="C502" s="26" t="str">
        <f t="array" ref="C502">IFERROR(INDEX('Patrimônio'!$C$7:$C$1003,MATCH($B502,'Patrimônio'!$A$7:$A$1003,0)),"")</f>
        <v/>
      </c>
      <c r="D502" s="17"/>
      <c r="E502" s="17"/>
      <c r="F502" s="15"/>
      <c r="G502" s="15"/>
      <c r="H502" s="17"/>
    </row>
    <row r="503" ht="15.0" customHeight="1">
      <c r="A503" s="19"/>
      <c r="B503" s="15"/>
      <c r="C503" s="26" t="str">
        <f t="array" ref="C503">IFERROR(INDEX('Patrimônio'!$C$7:$C$1003,MATCH($B503,'Patrimônio'!$A$7:$A$1003,0)),"")</f>
        <v/>
      </c>
      <c r="D503" s="17"/>
      <c r="E503" s="17"/>
      <c r="F503" s="15"/>
      <c r="G503" s="15"/>
      <c r="H503" s="17"/>
    </row>
    <row r="504" ht="15.0" customHeight="1">
      <c r="A504" s="19"/>
      <c r="B504" s="15"/>
      <c r="C504" s="26" t="str">
        <f t="array" ref="C504">IFERROR(INDEX('Patrimônio'!$C$7:$C$1003,MATCH($B504,'Patrimônio'!$A$7:$A$1003,0)),"")</f>
        <v/>
      </c>
      <c r="D504" s="17"/>
      <c r="E504" s="17"/>
      <c r="F504" s="15"/>
      <c r="G504" s="15"/>
      <c r="H504" s="17"/>
    </row>
    <row r="505" ht="15.0" customHeight="1">
      <c r="A505" s="19"/>
      <c r="B505" s="15"/>
      <c r="C505" s="26" t="str">
        <f t="array" ref="C505">IFERROR(INDEX('Patrimônio'!$C$7:$C$1003,MATCH($B505,'Patrimônio'!$A$7:$A$1003,0)),"")</f>
        <v/>
      </c>
      <c r="D505" s="17"/>
      <c r="E505" s="17"/>
      <c r="F505" s="15"/>
      <c r="G505" s="15"/>
      <c r="H505" s="17"/>
    </row>
    <row r="506" ht="15.0" customHeight="1">
      <c r="A506" s="19"/>
      <c r="B506" s="15"/>
      <c r="C506" s="26" t="str">
        <f t="array" ref="C506">IFERROR(INDEX('Patrimônio'!$C$7:$C$1003,MATCH($B506,'Patrimônio'!$A$7:$A$1003,0)),"")</f>
        <v/>
      </c>
      <c r="D506" s="17"/>
      <c r="E506" s="17"/>
      <c r="F506" s="15"/>
      <c r="G506" s="15"/>
      <c r="H506" s="17"/>
    </row>
    <row r="507" ht="15.0" customHeight="1">
      <c r="A507" s="19"/>
      <c r="B507" s="15"/>
      <c r="C507" s="26" t="str">
        <f t="array" ref="C507">IFERROR(INDEX('Patrimônio'!$C$7:$C$1003,MATCH($B507,'Patrimônio'!$A$7:$A$1003,0)),"")</f>
        <v/>
      </c>
      <c r="D507" s="17"/>
      <c r="E507" s="17"/>
      <c r="F507" s="15"/>
      <c r="G507" s="15"/>
      <c r="H507" s="17"/>
    </row>
    <row r="508" ht="15.0" customHeight="1">
      <c r="A508" s="19"/>
      <c r="B508" s="15"/>
      <c r="C508" s="26" t="str">
        <f t="array" ref="C508">IFERROR(INDEX('Patrimônio'!$C$7:$C$1003,MATCH($B508,'Patrimônio'!$A$7:$A$1003,0)),"")</f>
        <v/>
      </c>
      <c r="D508" s="17"/>
      <c r="E508" s="17"/>
      <c r="F508" s="15"/>
      <c r="G508" s="15"/>
      <c r="H508" s="17"/>
    </row>
    <row r="509" ht="15.0" customHeight="1">
      <c r="A509" s="19"/>
      <c r="B509" s="15"/>
      <c r="C509" s="26" t="str">
        <f t="array" ref="C509">IFERROR(INDEX('Patrimônio'!$C$7:$C$1003,MATCH($B509,'Patrimônio'!$A$7:$A$1003,0)),"")</f>
        <v/>
      </c>
      <c r="D509" s="17"/>
      <c r="E509" s="17"/>
      <c r="F509" s="15"/>
      <c r="G509" s="15"/>
      <c r="H509" s="17"/>
    </row>
    <row r="510" ht="15.0" customHeight="1">
      <c r="A510" s="19"/>
      <c r="B510" s="15"/>
      <c r="C510" s="26" t="str">
        <f t="array" ref="C510">IFERROR(INDEX('Patrimônio'!$C$7:$C$1003,MATCH($B510,'Patrimônio'!$A$7:$A$1003,0)),"")</f>
        <v/>
      </c>
      <c r="D510" s="17"/>
      <c r="E510" s="17"/>
      <c r="F510" s="15"/>
      <c r="G510" s="15"/>
      <c r="H510" s="17"/>
    </row>
    <row r="511" ht="15.0" customHeight="1">
      <c r="A511" s="19"/>
      <c r="B511" s="15"/>
      <c r="C511" s="26" t="str">
        <f t="array" ref="C511">IFERROR(INDEX('Patrimônio'!$C$7:$C$1003,MATCH($B511,'Patrimônio'!$A$7:$A$1003,0)),"")</f>
        <v/>
      </c>
      <c r="D511" s="17"/>
      <c r="E511" s="17"/>
      <c r="F511" s="15"/>
      <c r="G511" s="15"/>
      <c r="H511" s="17"/>
    </row>
    <row r="512" ht="15.0" customHeight="1">
      <c r="A512" s="19"/>
      <c r="B512" s="15"/>
      <c r="C512" s="26" t="str">
        <f t="array" ref="C512">IFERROR(INDEX('Patrimônio'!$C$7:$C$1003,MATCH($B512,'Patrimônio'!$A$7:$A$1003,0)),"")</f>
        <v/>
      </c>
      <c r="D512" s="17"/>
      <c r="E512" s="17"/>
      <c r="F512" s="15"/>
      <c r="G512" s="15"/>
      <c r="H512" s="17"/>
    </row>
    <row r="513" ht="15.0" customHeight="1">
      <c r="A513" s="19"/>
      <c r="B513" s="15"/>
      <c r="C513" s="26" t="str">
        <f t="array" ref="C513">IFERROR(INDEX('Patrimônio'!$C$7:$C$1003,MATCH($B513,'Patrimônio'!$A$7:$A$1003,0)),"")</f>
        <v/>
      </c>
      <c r="D513" s="17"/>
      <c r="E513" s="17"/>
      <c r="F513" s="15"/>
      <c r="G513" s="15"/>
      <c r="H513" s="17"/>
    </row>
    <row r="514" ht="15.0" customHeight="1">
      <c r="A514" s="19"/>
      <c r="B514" s="15"/>
      <c r="C514" s="26" t="str">
        <f t="array" ref="C514">IFERROR(INDEX('Patrimônio'!$C$7:$C$1003,MATCH($B514,'Patrimônio'!$A$7:$A$1003,0)),"")</f>
        <v/>
      </c>
      <c r="D514" s="17"/>
      <c r="E514" s="17"/>
      <c r="F514" s="15"/>
      <c r="G514" s="15"/>
      <c r="H514" s="17"/>
    </row>
    <row r="515" ht="15.0" customHeight="1">
      <c r="A515" s="19"/>
      <c r="B515" s="15"/>
      <c r="C515" s="26" t="str">
        <f t="array" ref="C515">IFERROR(INDEX('Patrimônio'!$C$7:$C$1003,MATCH($B515,'Patrimônio'!$A$7:$A$1003,0)),"")</f>
        <v/>
      </c>
      <c r="D515" s="17"/>
      <c r="E515" s="17"/>
      <c r="F515" s="15"/>
      <c r="G515" s="15"/>
      <c r="H515" s="17"/>
    </row>
    <row r="516" ht="15.0" customHeight="1">
      <c r="A516" s="19"/>
      <c r="B516" s="15"/>
      <c r="C516" s="26" t="str">
        <f t="array" ref="C516">IFERROR(INDEX('Patrimônio'!$C$7:$C$1003,MATCH($B516,'Patrimônio'!$A$7:$A$1003,0)),"")</f>
        <v/>
      </c>
      <c r="D516" s="17"/>
      <c r="E516" s="17"/>
      <c r="F516" s="15"/>
      <c r="G516" s="15"/>
      <c r="H516" s="17"/>
    </row>
    <row r="517" ht="15.0" customHeight="1">
      <c r="A517" s="19"/>
      <c r="B517" s="15"/>
      <c r="C517" s="26" t="str">
        <f t="array" ref="C517">IFERROR(INDEX('Patrimônio'!$C$7:$C$1003,MATCH($B517,'Patrimônio'!$A$7:$A$1003,0)),"")</f>
        <v/>
      </c>
      <c r="D517" s="17"/>
      <c r="E517" s="17"/>
      <c r="F517" s="15"/>
      <c r="G517" s="15"/>
      <c r="H517" s="17"/>
    </row>
    <row r="518" ht="15.0" customHeight="1">
      <c r="A518" s="19"/>
      <c r="B518" s="15"/>
      <c r="C518" s="26" t="str">
        <f t="array" ref="C518">IFERROR(INDEX('Patrimônio'!$C$7:$C$1003,MATCH($B518,'Patrimônio'!$A$7:$A$1003,0)),"")</f>
        <v/>
      </c>
      <c r="D518" s="17"/>
      <c r="E518" s="17"/>
      <c r="F518" s="15"/>
      <c r="G518" s="15"/>
      <c r="H518" s="17"/>
    </row>
    <row r="519" ht="15.0" customHeight="1">
      <c r="A519" s="19"/>
      <c r="B519" s="15"/>
      <c r="C519" s="26" t="str">
        <f t="array" ref="C519">IFERROR(INDEX('Patrimônio'!$C$7:$C$1003,MATCH($B519,'Patrimônio'!$A$7:$A$1003,0)),"")</f>
        <v/>
      </c>
      <c r="D519" s="17"/>
      <c r="E519" s="17"/>
      <c r="F519" s="15"/>
      <c r="G519" s="15"/>
      <c r="H519" s="17"/>
    </row>
    <row r="520" ht="15.0" customHeight="1">
      <c r="A520" s="19"/>
      <c r="B520" s="15"/>
      <c r="C520" s="26" t="str">
        <f t="array" ref="C520">IFERROR(INDEX('Patrimônio'!$C$7:$C$1003,MATCH($B520,'Patrimônio'!$A$7:$A$1003,0)),"")</f>
        <v/>
      </c>
      <c r="D520" s="17"/>
      <c r="E520" s="17"/>
      <c r="F520" s="15"/>
      <c r="G520" s="15"/>
      <c r="H520" s="17"/>
    </row>
    <row r="521" ht="15.0" customHeight="1">
      <c r="A521" s="19"/>
      <c r="B521" s="15"/>
      <c r="C521" s="26" t="str">
        <f t="array" ref="C521">IFERROR(INDEX('Patrimônio'!$C$7:$C$1003,MATCH($B521,'Patrimônio'!$A$7:$A$1003,0)),"")</f>
        <v/>
      </c>
      <c r="D521" s="17"/>
      <c r="E521" s="17"/>
      <c r="F521" s="15"/>
      <c r="G521" s="15"/>
      <c r="H521" s="17"/>
    </row>
    <row r="522" ht="15.0" customHeight="1">
      <c r="A522" s="19"/>
      <c r="B522" s="15"/>
      <c r="C522" s="26" t="str">
        <f t="array" ref="C522">IFERROR(INDEX('Patrimônio'!$C$7:$C$1003,MATCH($B522,'Patrimônio'!$A$7:$A$1003,0)),"")</f>
        <v/>
      </c>
      <c r="D522" s="17"/>
      <c r="E522" s="17"/>
      <c r="F522" s="15"/>
      <c r="G522" s="15"/>
      <c r="H522" s="17"/>
    </row>
    <row r="523" ht="15.0" customHeight="1">
      <c r="A523" s="19"/>
      <c r="B523" s="15"/>
      <c r="C523" s="26" t="str">
        <f t="array" ref="C523">IFERROR(INDEX('Patrimônio'!$C$7:$C$1003,MATCH($B523,'Patrimônio'!$A$7:$A$1003,0)),"")</f>
        <v/>
      </c>
      <c r="D523" s="17"/>
      <c r="E523" s="17"/>
      <c r="F523" s="15"/>
      <c r="G523" s="15"/>
      <c r="H523" s="17"/>
    </row>
    <row r="524" ht="15.0" customHeight="1">
      <c r="A524" s="19"/>
      <c r="B524" s="15"/>
      <c r="C524" s="26" t="str">
        <f t="array" ref="C524">IFERROR(INDEX('Patrimônio'!$C$7:$C$1003,MATCH($B524,'Patrimônio'!$A$7:$A$1003,0)),"")</f>
        <v/>
      </c>
      <c r="D524" s="17"/>
      <c r="E524" s="17"/>
      <c r="F524" s="15"/>
      <c r="G524" s="15"/>
      <c r="H524" s="17"/>
    </row>
    <row r="525" ht="15.0" customHeight="1">
      <c r="A525" s="19"/>
      <c r="B525" s="15"/>
      <c r="C525" s="26" t="str">
        <f t="array" ref="C525">IFERROR(INDEX('Patrimônio'!$C$7:$C$1003,MATCH($B525,'Patrimônio'!$A$7:$A$1003,0)),"")</f>
        <v/>
      </c>
      <c r="D525" s="17"/>
      <c r="E525" s="17"/>
      <c r="F525" s="15"/>
      <c r="G525" s="15"/>
      <c r="H525" s="17"/>
    </row>
    <row r="526" ht="15.0" customHeight="1">
      <c r="A526" s="19"/>
      <c r="B526" s="15"/>
      <c r="C526" s="26" t="str">
        <f t="array" ref="C526">IFERROR(INDEX('Patrimônio'!$C$7:$C$1003,MATCH($B526,'Patrimônio'!$A$7:$A$1003,0)),"")</f>
        <v/>
      </c>
      <c r="D526" s="17"/>
      <c r="E526" s="17"/>
      <c r="F526" s="15"/>
      <c r="G526" s="15"/>
      <c r="H526" s="17"/>
    </row>
    <row r="527" ht="15.0" customHeight="1">
      <c r="A527" s="19"/>
      <c r="B527" s="15"/>
      <c r="C527" s="26" t="str">
        <f t="array" ref="C527">IFERROR(INDEX('Patrimônio'!$C$7:$C$1003,MATCH($B527,'Patrimônio'!$A$7:$A$1003,0)),"")</f>
        <v/>
      </c>
      <c r="D527" s="17"/>
      <c r="E527" s="17"/>
      <c r="F527" s="15"/>
      <c r="G527" s="15"/>
      <c r="H527" s="17"/>
    </row>
    <row r="528" ht="15.0" customHeight="1">
      <c r="A528" s="19"/>
      <c r="B528" s="15"/>
      <c r="C528" s="26" t="str">
        <f t="array" ref="C528">IFERROR(INDEX('Patrimônio'!$C$7:$C$1003,MATCH($B528,'Patrimônio'!$A$7:$A$1003,0)),"")</f>
        <v/>
      </c>
      <c r="D528" s="17"/>
      <c r="E528" s="17"/>
      <c r="F528" s="15"/>
      <c r="G528" s="15"/>
      <c r="H528" s="17"/>
    </row>
    <row r="529" ht="15.0" customHeight="1">
      <c r="A529" s="19"/>
      <c r="B529" s="15"/>
      <c r="C529" s="26" t="str">
        <f t="array" ref="C529">IFERROR(INDEX('Patrimônio'!$C$7:$C$1003,MATCH($B529,'Patrimônio'!$A$7:$A$1003,0)),"")</f>
        <v/>
      </c>
      <c r="D529" s="17"/>
      <c r="E529" s="17"/>
      <c r="F529" s="15"/>
      <c r="G529" s="15"/>
      <c r="H529" s="17"/>
    </row>
    <row r="530" ht="15.0" customHeight="1">
      <c r="A530" s="19"/>
      <c r="B530" s="15"/>
      <c r="C530" s="26" t="str">
        <f t="array" ref="C530">IFERROR(INDEX('Patrimônio'!$C$7:$C$1003,MATCH($B530,'Patrimônio'!$A$7:$A$1003,0)),"")</f>
        <v/>
      </c>
      <c r="D530" s="17"/>
      <c r="E530" s="17"/>
      <c r="F530" s="15"/>
      <c r="G530" s="15"/>
      <c r="H530" s="17"/>
    </row>
    <row r="531" ht="15.0" customHeight="1">
      <c r="A531" s="19"/>
      <c r="B531" s="15"/>
      <c r="C531" s="26" t="str">
        <f t="array" ref="C531">IFERROR(INDEX('Patrimônio'!$C$7:$C$1003,MATCH($B531,'Patrimônio'!$A$7:$A$1003,0)),"")</f>
        <v/>
      </c>
      <c r="D531" s="17"/>
      <c r="E531" s="17"/>
      <c r="F531" s="15"/>
      <c r="G531" s="15"/>
      <c r="H531" s="17"/>
    </row>
    <row r="532" ht="15.0" customHeight="1">
      <c r="A532" s="19"/>
      <c r="B532" s="15"/>
      <c r="C532" s="26" t="str">
        <f t="array" ref="C532">IFERROR(INDEX('Patrimônio'!$C$7:$C$1003,MATCH($B532,'Patrimônio'!$A$7:$A$1003,0)),"")</f>
        <v/>
      </c>
      <c r="D532" s="17"/>
      <c r="E532" s="17"/>
      <c r="F532" s="15"/>
      <c r="G532" s="15"/>
      <c r="H532" s="17"/>
    </row>
    <row r="533" ht="15.0" customHeight="1">
      <c r="A533" s="19"/>
      <c r="B533" s="15"/>
      <c r="C533" s="26" t="str">
        <f t="array" ref="C533">IFERROR(INDEX('Patrimônio'!$C$7:$C$1003,MATCH($B533,'Patrimônio'!$A$7:$A$1003,0)),"")</f>
        <v/>
      </c>
      <c r="D533" s="17"/>
      <c r="E533" s="17"/>
      <c r="F533" s="15"/>
      <c r="G533" s="15"/>
      <c r="H533" s="17"/>
    </row>
    <row r="534" ht="15.0" customHeight="1">
      <c r="A534" s="19"/>
      <c r="B534" s="15"/>
      <c r="C534" s="26" t="str">
        <f t="array" ref="C534">IFERROR(INDEX('Patrimônio'!$C$7:$C$1003,MATCH($B534,'Patrimônio'!$A$7:$A$1003,0)),"")</f>
        <v/>
      </c>
      <c r="D534" s="17"/>
      <c r="E534" s="17"/>
      <c r="F534" s="15"/>
      <c r="G534" s="15"/>
      <c r="H534" s="17"/>
    </row>
    <row r="535" ht="15.0" customHeight="1">
      <c r="A535" s="19"/>
      <c r="B535" s="15"/>
      <c r="C535" s="26" t="str">
        <f t="array" ref="C535">IFERROR(INDEX('Patrimônio'!$C$7:$C$1003,MATCH($B535,'Patrimônio'!$A$7:$A$1003,0)),"")</f>
        <v/>
      </c>
      <c r="D535" s="17"/>
      <c r="E535" s="17"/>
      <c r="F535" s="15"/>
      <c r="G535" s="15"/>
      <c r="H535" s="17"/>
    </row>
    <row r="536" ht="15.0" customHeight="1">
      <c r="A536" s="19"/>
      <c r="B536" s="15"/>
      <c r="C536" s="26" t="str">
        <f t="array" ref="C536">IFERROR(INDEX('Patrimônio'!$C$7:$C$1003,MATCH($B536,'Patrimônio'!$A$7:$A$1003,0)),"")</f>
        <v/>
      </c>
      <c r="D536" s="17"/>
      <c r="E536" s="17"/>
      <c r="F536" s="15"/>
      <c r="G536" s="15"/>
      <c r="H536" s="17"/>
    </row>
    <row r="537" ht="15.0" customHeight="1">
      <c r="A537" s="19"/>
      <c r="B537" s="15"/>
      <c r="C537" s="26" t="str">
        <f t="array" ref="C537">IFERROR(INDEX('Patrimônio'!$C$7:$C$1003,MATCH($B537,'Patrimônio'!$A$7:$A$1003,0)),"")</f>
        <v/>
      </c>
      <c r="D537" s="17"/>
      <c r="E537" s="17"/>
      <c r="F537" s="15"/>
      <c r="G537" s="15"/>
      <c r="H537" s="17"/>
    </row>
    <row r="538" ht="15.0" customHeight="1">
      <c r="A538" s="19"/>
      <c r="B538" s="15"/>
      <c r="C538" s="26" t="str">
        <f t="array" ref="C538">IFERROR(INDEX('Patrimônio'!$C$7:$C$1003,MATCH($B538,'Patrimônio'!$A$7:$A$1003,0)),"")</f>
        <v/>
      </c>
      <c r="D538" s="17"/>
      <c r="E538" s="17"/>
      <c r="F538" s="15"/>
      <c r="G538" s="15"/>
      <c r="H538" s="17"/>
    </row>
    <row r="539" ht="15.0" customHeight="1">
      <c r="A539" s="19"/>
      <c r="B539" s="15"/>
      <c r="C539" s="26" t="str">
        <f t="array" ref="C539">IFERROR(INDEX('Patrimônio'!$C$7:$C$1003,MATCH($B539,'Patrimônio'!$A$7:$A$1003,0)),"")</f>
        <v/>
      </c>
      <c r="D539" s="17"/>
      <c r="E539" s="17"/>
      <c r="F539" s="15"/>
      <c r="G539" s="15"/>
      <c r="H539" s="17"/>
    </row>
    <row r="540" ht="15.0" customHeight="1">
      <c r="A540" s="19"/>
      <c r="B540" s="15"/>
      <c r="C540" s="26" t="str">
        <f t="array" ref="C540">IFERROR(INDEX('Patrimônio'!$C$7:$C$1003,MATCH($B540,'Patrimônio'!$A$7:$A$1003,0)),"")</f>
        <v/>
      </c>
      <c r="D540" s="17"/>
      <c r="E540" s="17"/>
      <c r="F540" s="15"/>
      <c r="G540" s="15"/>
      <c r="H540" s="17"/>
    </row>
    <row r="541" ht="15.0" customHeight="1">
      <c r="A541" s="19"/>
      <c r="B541" s="15"/>
      <c r="C541" s="26" t="str">
        <f t="array" ref="C541">IFERROR(INDEX('Patrimônio'!$C$7:$C$1003,MATCH($B541,'Patrimônio'!$A$7:$A$1003,0)),"")</f>
        <v/>
      </c>
      <c r="D541" s="17"/>
      <c r="E541" s="17"/>
      <c r="F541" s="15"/>
      <c r="G541" s="15"/>
      <c r="H541" s="17"/>
    </row>
    <row r="542" ht="15.0" customHeight="1">
      <c r="A542" s="19"/>
      <c r="B542" s="15"/>
      <c r="C542" s="26" t="str">
        <f t="array" ref="C542">IFERROR(INDEX('Patrimônio'!$C$7:$C$1003,MATCH($B542,'Patrimônio'!$A$7:$A$1003,0)),"")</f>
        <v/>
      </c>
      <c r="D542" s="17"/>
      <c r="E542" s="17"/>
      <c r="F542" s="15"/>
      <c r="G542" s="15"/>
      <c r="H542" s="17"/>
    </row>
    <row r="543" ht="15.0" customHeight="1">
      <c r="A543" s="19"/>
      <c r="B543" s="15"/>
      <c r="C543" s="26" t="str">
        <f t="array" ref="C543">IFERROR(INDEX('Patrimônio'!$C$7:$C$1003,MATCH($B543,'Patrimônio'!$A$7:$A$1003,0)),"")</f>
        <v/>
      </c>
      <c r="D543" s="17"/>
      <c r="E543" s="17"/>
      <c r="F543" s="15"/>
      <c r="G543" s="15"/>
      <c r="H543" s="17"/>
    </row>
    <row r="544" ht="15.0" customHeight="1">
      <c r="A544" s="19"/>
      <c r="B544" s="15"/>
      <c r="C544" s="26" t="str">
        <f t="array" ref="C544">IFERROR(INDEX('Patrimônio'!$C$7:$C$1003,MATCH($B544,'Patrimônio'!$A$7:$A$1003,0)),"")</f>
        <v/>
      </c>
      <c r="D544" s="17"/>
      <c r="E544" s="17"/>
      <c r="F544" s="15"/>
      <c r="G544" s="15"/>
      <c r="H544" s="17"/>
    </row>
    <row r="545" ht="15.0" customHeight="1">
      <c r="A545" s="19"/>
      <c r="B545" s="15"/>
      <c r="C545" s="26" t="str">
        <f t="array" ref="C545">IFERROR(INDEX('Patrimônio'!$C$7:$C$1003,MATCH($B545,'Patrimônio'!$A$7:$A$1003,0)),"")</f>
        <v/>
      </c>
      <c r="D545" s="17"/>
      <c r="E545" s="17"/>
      <c r="F545" s="15"/>
      <c r="G545" s="15"/>
      <c r="H545" s="17"/>
    </row>
    <row r="546" ht="15.0" customHeight="1">
      <c r="A546" s="19"/>
      <c r="B546" s="15"/>
      <c r="C546" s="26" t="str">
        <f t="array" ref="C546">IFERROR(INDEX('Patrimônio'!$C$7:$C$1003,MATCH($B546,'Patrimônio'!$A$7:$A$1003,0)),"")</f>
        <v/>
      </c>
      <c r="D546" s="17"/>
      <c r="E546" s="17"/>
      <c r="F546" s="15"/>
      <c r="G546" s="15"/>
      <c r="H546" s="17"/>
    </row>
    <row r="547" ht="15.0" customHeight="1">
      <c r="A547" s="19"/>
      <c r="B547" s="15"/>
      <c r="C547" s="26" t="str">
        <f t="array" ref="C547">IFERROR(INDEX('Patrimônio'!$C$7:$C$1003,MATCH($B547,'Patrimônio'!$A$7:$A$1003,0)),"")</f>
        <v/>
      </c>
      <c r="D547" s="17"/>
      <c r="E547" s="17"/>
      <c r="F547" s="15"/>
      <c r="G547" s="15"/>
      <c r="H547" s="17"/>
    </row>
    <row r="548" ht="15.0" customHeight="1">
      <c r="A548" s="19"/>
      <c r="B548" s="15"/>
      <c r="C548" s="26" t="str">
        <f t="array" ref="C548">IFERROR(INDEX('Patrimônio'!$C$7:$C$1003,MATCH($B548,'Patrimônio'!$A$7:$A$1003,0)),"")</f>
        <v/>
      </c>
      <c r="D548" s="17"/>
      <c r="E548" s="17"/>
      <c r="F548" s="15"/>
      <c r="G548" s="15"/>
      <c r="H548" s="17"/>
    </row>
    <row r="549" ht="15.0" customHeight="1">
      <c r="A549" s="19"/>
      <c r="B549" s="15"/>
      <c r="C549" s="26" t="str">
        <f t="array" ref="C549">IFERROR(INDEX('Patrimônio'!$C$7:$C$1003,MATCH($B549,'Patrimônio'!$A$7:$A$1003,0)),"")</f>
        <v/>
      </c>
      <c r="D549" s="17"/>
      <c r="E549" s="17"/>
      <c r="F549" s="15"/>
      <c r="G549" s="15"/>
      <c r="H549" s="17"/>
    </row>
    <row r="550" ht="15.0" customHeight="1">
      <c r="A550" s="19"/>
      <c r="B550" s="15"/>
      <c r="C550" s="26" t="str">
        <f t="array" ref="C550">IFERROR(INDEX('Patrimônio'!$C$7:$C$1003,MATCH($B550,'Patrimônio'!$A$7:$A$1003,0)),"")</f>
        <v/>
      </c>
      <c r="D550" s="17"/>
      <c r="E550" s="17"/>
      <c r="F550" s="15"/>
      <c r="G550" s="15"/>
      <c r="H550" s="17"/>
    </row>
    <row r="551" ht="15.0" customHeight="1">
      <c r="A551" s="19"/>
      <c r="B551" s="15"/>
      <c r="C551" s="26" t="str">
        <f t="array" ref="C551">IFERROR(INDEX('Patrimônio'!$C$7:$C$1003,MATCH($B551,'Patrimônio'!$A$7:$A$1003,0)),"")</f>
        <v/>
      </c>
      <c r="D551" s="17"/>
      <c r="E551" s="17"/>
      <c r="F551" s="15"/>
      <c r="G551" s="15"/>
      <c r="H551" s="17"/>
    </row>
    <row r="552" ht="15.0" customHeight="1">
      <c r="A552" s="19"/>
      <c r="B552" s="15"/>
      <c r="C552" s="26" t="str">
        <f t="array" ref="C552">IFERROR(INDEX('Patrimônio'!$C$7:$C$1003,MATCH($B552,'Patrimônio'!$A$7:$A$1003,0)),"")</f>
        <v/>
      </c>
      <c r="D552" s="17"/>
      <c r="E552" s="17"/>
      <c r="F552" s="15"/>
      <c r="G552" s="15"/>
      <c r="H552" s="17"/>
    </row>
    <row r="553" ht="15.0" customHeight="1">
      <c r="A553" s="19"/>
      <c r="B553" s="15"/>
      <c r="C553" s="26" t="str">
        <f t="array" ref="C553">IFERROR(INDEX('Patrimônio'!$C$7:$C$1003,MATCH($B553,'Patrimônio'!$A$7:$A$1003,0)),"")</f>
        <v/>
      </c>
      <c r="D553" s="17"/>
      <c r="E553" s="17"/>
      <c r="F553" s="15"/>
      <c r="G553" s="15"/>
      <c r="H553" s="17"/>
    </row>
    <row r="554" ht="15.0" customHeight="1">
      <c r="A554" s="19"/>
      <c r="B554" s="15"/>
      <c r="C554" s="26" t="str">
        <f t="array" ref="C554">IFERROR(INDEX('Patrimônio'!$C$7:$C$1003,MATCH($B554,'Patrimônio'!$A$7:$A$1003,0)),"")</f>
        <v/>
      </c>
      <c r="D554" s="17"/>
      <c r="E554" s="17"/>
      <c r="F554" s="15"/>
      <c r="G554" s="15"/>
      <c r="H554" s="17"/>
    </row>
    <row r="555" ht="15.0" customHeight="1">
      <c r="A555" s="19"/>
      <c r="B555" s="15"/>
      <c r="C555" s="26" t="str">
        <f t="array" ref="C555">IFERROR(INDEX('Patrimônio'!$C$7:$C$1003,MATCH($B555,'Patrimônio'!$A$7:$A$1003,0)),"")</f>
        <v/>
      </c>
      <c r="D555" s="17"/>
      <c r="E555" s="17"/>
      <c r="F555" s="15"/>
      <c r="G555" s="15"/>
      <c r="H555" s="17"/>
    </row>
    <row r="556" ht="15.0" customHeight="1">
      <c r="A556" s="19"/>
      <c r="B556" s="15"/>
      <c r="C556" s="26" t="str">
        <f t="array" ref="C556">IFERROR(INDEX('Patrimônio'!$C$7:$C$1003,MATCH($B556,'Patrimônio'!$A$7:$A$1003,0)),"")</f>
        <v/>
      </c>
      <c r="D556" s="17"/>
      <c r="E556" s="17"/>
      <c r="F556" s="15"/>
      <c r="G556" s="15"/>
      <c r="H556" s="17"/>
    </row>
    <row r="557" ht="15.0" customHeight="1">
      <c r="A557" s="19"/>
      <c r="B557" s="15"/>
      <c r="C557" s="26" t="str">
        <f t="array" ref="C557">IFERROR(INDEX('Patrimônio'!$C$7:$C$1003,MATCH($B557,'Patrimônio'!$A$7:$A$1003,0)),"")</f>
        <v/>
      </c>
      <c r="D557" s="17"/>
      <c r="E557" s="17"/>
      <c r="F557" s="15"/>
      <c r="G557" s="15"/>
      <c r="H557" s="17"/>
    </row>
    <row r="558" ht="15.0" customHeight="1">
      <c r="A558" s="19"/>
      <c r="B558" s="15"/>
      <c r="C558" s="26" t="str">
        <f t="array" ref="C558">IFERROR(INDEX('Patrimônio'!$C$7:$C$1003,MATCH($B558,'Patrimônio'!$A$7:$A$1003,0)),"")</f>
        <v/>
      </c>
      <c r="D558" s="17"/>
      <c r="E558" s="17"/>
      <c r="F558" s="15"/>
      <c r="G558" s="15"/>
      <c r="H558" s="17"/>
    </row>
    <row r="559" ht="15.0" customHeight="1">
      <c r="A559" s="19"/>
      <c r="B559" s="15"/>
      <c r="C559" s="26" t="str">
        <f t="array" ref="C559">IFERROR(INDEX('Patrimônio'!$C$7:$C$1003,MATCH($B559,'Patrimônio'!$A$7:$A$1003,0)),"")</f>
        <v/>
      </c>
      <c r="D559" s="17"/>
      <c r="E559" s="17"/>
      <c r="F559" s="15"/>
      <c r="G559" s="15"/>
      <c r="H559" s="17"/>
    </row>
    <row r="560" ht="15.0" customHeight="1">
      <c r="A560" s="19"/>
      <c r="B560" s="15"/>
      <c r="C560" s="26" t="str">
        <f t="array" ref="C560">IFERROR(INDEX('Patrimônio'!$C$7:$C$1003,MATCH($B560,'Patrimônio'!$A$7:$A$1003,0)),"")</f>
        <v/>
      </c>
      <c r="D560" s="17"/>
      <c r="E560" s="17"/>
      <c r="F560" s="15"/>
      <c r="G560" s="15"/>
      <c r="H560" s="17"/>
    </row>
    <row r="561" ht="15.0" customHeight="1">
      <c r="A561" s="19"/>
      <c r="B561" s="15"/>
      <c r="C561" s="26" t="str">
        <f t="array" ref="C561">IFERROR(INDEX('Patrimônio'!$C$7:$C$1003,MATCH($B561,'Patrimônio'!$A$7:$A$1003,0)),"")</f>
        <v/>
      </c>
      <c r="D561" s="17"/>
      <c r="E561" s="17"/>
      <c r="F561" s="15"/>
      <c r="G561" s="15"/>
      <c r="H561" s="17"/>
    </row>
    <row r="562" ht="15.0" customHeight="1">
      <c r="A562" s="19"/>
      <c r="B562" s="15"/>
      <c r="C562" s="26" t="str">
        <f t="array" ref="C562">IFERROR(INDEX('Patrimônio'!$C$7:$C$1003,MATCH($B562,'Patrimônio'!$A$7:$A$1003,0)),"")</f>
        <v/>
      </c>
      <c r="D562" s="17"/>
      <c r="E562" s="17"/>
      <c r="F562" s="15"/>
      <c r="G562" s="15"/>
      <c r="H562" s="17"/>
    </row>
    <row r="563" ht="15.0" customHeight="1">
      <c r="A563" s="19"/>
      <c r="B563" s="15"/>
      <c r="C563" s="26" t="str">
        <f t="array" ref="C563">IFERROR(INDEX('Patrimônio'!$C$7:$C$1003,MATCH($B563,'Patrimônio'!$A$7:$A$1003,0)),"")</f>
        <v/>
      </c>
      <c r="D563" s="17"/>
      <c r="E563" s="17"/>
      <c r="F563" s="15"/>
      <c r="G563" s="15"/>
      <c r="H563" s="17"/>
    </row>
    <row r="564" ht="15.0" customHeight="1">
      <c r="A564" s="19"/>
      <c r="B564" s="15"/>
      <c r="C564" s="26" t="str">
        <f t="array" ref="C564">IFERROR(INDEX('Patrimônio'!$C$7:$C$1003,MATCH($B564,'Patrimônio'!$A$7:$A$1003,0)),"")</f>
        <v/>
      </c>
      <c r="D564" s="17"/>
      <c r="E564" s="17"/>
      <c r="F564" s="15"/>
      <c r="G564" s="15"/>
      <c r="H564" s="17"/>
    </row>
    <row r="565" ht="15.0" customHeight="1">
      <c r="A565" s="19"/>
      <c r="B565" s="15"/>
      <c r="C565" s="26" t="str">
        <f t="array" ref="C565">IFERROR(INDEX('Patrimônio'!$C$7:$C$1003,MATCH($B565,'Patrimônio'!$A$7:$A$1003,0)),"")</f>
        <v/>
      </c>
      <c r="D565" s="17"/>
      <c r="E565" s="17"/>
      <c r="F565" s="15"/>
      <c r="G565" s="15"/>
      <c r="H565" s="17"/>
    </row>
    <row r="566" ht="15.0" customHeight="1">
      <c r="A566" s="19"/>
      <c r="B566" s="15"/>
      <c r="C566" s="26" t="str">
        <f t="array" ref="C566">IFERROR(INDEX('Patrimônio'!$C$7:$C$1003,MATCH($B566,'Patrimônio'!$A$7:$A$1003,0)),"")</f>
        <v/>
      </c>
      <c r="D566" s="17"/>
      <c r="E566" s="17"/>
      <c r="F566" s="15"/>
      <c r="G566" s="15"/>
      <c r="H566" s="17"/>
    </row>
    <row r="567" ht="15.0" customHeight="1">
      <c r="A567" s="19"/>
      <c r="B567" s="15"/>
      <c r="C567" s="26" t="str">
        <f t="array" ref="C567">IFERROR(INDEX('Patrimônio'!$C$7:$C$1003,MATCH($B567,'Patrimônio'!$A$7:$A$1003,0)),"")</f>
        <v/>
      </c>
      <c r="D567" s="17"/>
      <c r="E567" s="17"/>
      <c r="F567" s="15"/>
      <c r="G567" s="15"/>
      <c r="H567" s="17"/>
    </row>
    <row r="568" ht="15.0" customHeight="1">
      <c r="A568" s="19"/>
      <c r="B568" s="15"/>
      <c r="C568" s="26" t="str">
        <f t="array" ref="C568">IFERROR(INDEX('Patrimônio'!$C$7:$C$1003,MATCH($B568,'Patrimônio'!$A$7:$A$1003,0)),"")</f>
        <v/>
      </c>
      <c r="D568" s="17"/>
      <c r="E568" s="17"/>
      <c r="F568" s="15"/>
      <c r="G568" s="15"/>
      <c r="H568" s="17"/>
    </row>
    <row r="569" ht="15.0" customHeight="1">
      <c r="A569" s="19"/>
      <c r="B569" s="15"/>
      <c r="C569" s="26" t="str">
        <f t="array" ref="C569">IFERROR(INDEX('Patrimônio'!$C$7:$C$1003,MATCH($B569,'Patrimônio'!$A$7:$A$1003,0)),"")</f>
        <v/>
      </c>
      <c r="D569" s="17"/>
      <c r="E569" s="17"/>
      <c r="F569" s="15"/>
      <c r="G569" s="15"/>
      <c r="H569" s="17"/>
    </row>
    <row r="570" ht="15.0" customHeight="1">
      <c r="A570" s="19"/>
      <c r="B570" s="15"/>
      <c r="C570" s="26" t="str">
        <f t="array" ref="C570">IFERROR(INDEX('Patrimônio'!$C$7:$C$1003,MATCH($B570,'Patrimônio'!$A$7:$A$1003,0)),"")</f>
        <v/>
      </c>
      <c r="D570" s="17"/>
      <c r="E570" s="17"/>
      <c r="F570" s="15"/>
      <c r="G570" s="15"/>
      <c r="H570" s="17"/>
    </row>
    <row r="571" ht="15.0" customHeight="1">
      <c r="A571" s="19"/>
      <c r="B571" s="15"/>
      <c r="C571" s="26" t="str">
        <f t="array" ref="C571">IFERROR(INDEX('Patrimônio'!$C$7:$C$1003,MATCH($B571,'Patrimônio'!$A$7:$A$1003,0)),"")</f>
        <v/>
      </c>
      <c r="D571" s="17"/>
      <c r="E571" s="17"/>
      <c r="F571" s="15"/>
      <c r="G571" s="15"/>
      <c r="H571" s="17"/>
    </row>
    <row r="572" ht="15.0" customHeight="1">
      <c r="A572" s="19"/>
      <c r="B572" s="15"/>
      <c r="C572" s="26" t="str">
        <f t="array" ref="C572">IFERROR(INDEX('Patrimônio'!$C$7:$C$1003,MATCH($B572,'Patrimônio'!$A$7:$A$1003,0)),"")</f>
        <v/>
      </c>
      <c r="D572" s="17"/>
      <c r="E572" s="17"/>
      <c r="F572" s="15"/>
      <c r="G572" s="15"/>
      <c r="H572" s="17"/>
    </row>
    <row r="573" ht="15.0" customHeight="1">
      <c r="A573" s="19"/>
      <c r="B573" s="15"/>
      <c r="C573" s="26" t="str">
        <f t="array" ref="C573">IFERROR(INDEX('Patrimônio'!$C$7:$C$1003,MATCH($B573,'Patrimônio'!$A$7:$A$1003,0)),"")</f>
        <v/>
      </c>
      <c r="D573" s="17"/>
      <c r="E573" s="17"/>
      <c r="F573" s="15"/>
      <c r="G573" s="15"/>
      <c r="H573" s="17"/>
    </row>
    <row r="574" ht="15.0" customHeight="1">
      <c r="A574" s="19"/>
      <c r="B574" s="15"/>
      <c r="C574" s="26" t="str">
        <f t="array" ref="C574">IFERROR(INDEX('Patrimônio'!$C$7:$C$1003,MATCH($B574,'Patrimônio'!$A$7:$A$1003,0)),"")</f>
        <v/>
      </c>
      <c r="D574" s="17"/>
      <c r="E574" s="17"/>
      <c r="F574" s="15"/>
      <c r="G574" s="15"/>
      <c r="H574" s="17"/>
    </row>
    <row r="575" ht="15.0" customHeight="1">
      <c r="A575" s="19"/>
      <c r="B575" s="15"/>
      <c r="C575" s="26" t="str">
        <f t="array" ref="C575">IFERROR(INDEX('Patrimônio'!$C$7:$C$1003,MATCH($B575,'Patrimônio'!$A$7:$A$1003,0)),"")</f>
        <v/>
      </c>
      <c r="D575" s="17"/>
      <c r="E575" s="17"/>
      <c r="F575" s="15"/>
      <c r="G575" s="15"/>
      <c r="H575" s="17"/>
    </row>
    <row r="576" ht="15.0" customHeight="1">
      <c r="A576" s="19"/>
      <c r="B576" s="15"/>
      <c r="C576" s="26" t="str">
        <f t="array" ref="C576">IFERROR(INDEX('Patrimônio'!$C$7:$C$1003,MATCH($B576,'Patrimônio'!$A$7:$A$1003,0)),"")</f>
        <v/>
      </c>
      <c r="D576" s="17"/>
      <c r="E576" s="17"/>
      <c r="F576" s="15"/>
      <c r="G576" s="15"/>
      <c r="H576" s="17"/>
    </row>
    <row r="577" ht="15.0" customHeight="1">
      <c r="A577" s="19"/>
      <c r="B577" s="15"/>
      <c r="C577" s="26" t="str">
        <f t="array" ref="C577">IFERROR(INDEX('Patrimônio'!$C$7:$C$1003,MATCH($B577,'Patrimônio'!$A$7:$A$1003,0)),"")</f>
        <v/>
      </c>
      <c r="D577" s="17"/>
      <c r="E577" s="17"/>
      <c r="F577" s="15"/>
      <c r="G577" s="15"/>
      <c r="H577" s="17"/>
    </row>
    <row r="578" ht="15.0" customHeight="1">
      <c r="A578" s="19"/>
      <c r="B578" s="15"/>
      <c r="C578" s="26" t="str">
        <f t="array" ref="C578">IFERROR(INDEX('Patrimônio'!$C$7:$C$1003,MATCH($B578,'Patrimônio'!$A$7:$A$1003,0)),"")</f>
        <v/>
      </c>
      <c r="D578" s="17"/>
      <c r="E578" s="17"/>
      <c r="F578" s="15"/>
      <c r="G578" s="15"/>
      <c r="H578" s="17"/>
    </row>
    <row r="579" ht="15.0" customHeight="1">
      <c r="A579" s="19"/>
      <c r="B579" s="15"/>
      <c r="C579" s="26" t="str">
        <f t="array" ref="C579">IFERROR(INDEX('Patrimônio'!$C$7:$C$1003,MATCH($B579,'Patrimônio'!$A$7:$A$1003,0)),"")</f>
        <v/>
      </c>
      <c r="D579" s="17"/>
      <c r="E579" s="17"/>
      <c r="F579" s="15"/>
      <c r="G579" s="15"/>
      <c r="H579" s="17"/>
    </row>
    <row r="580" ht="15.0" customHeight="1">
      <c r="A580" s="19"/>
      <c r="B580" s="15"/>
      <c r="C580" s="26" t="str">
        <f t="array" ref="C580">IFERROR(INDEX('Patrimônio'!$C$7:$C$1003,MATCH($B580,'Patrimônio'!$A$7:$A$1003,0)),"")</f>
        <v/>
      </c>
      <c r="D580" s="17"/>
      <c r="E580" s="17"/>
      <c r="F580" s="15"/>
      <c r="G580" s="15"/>
      <c r="H580" s="17"/>
    </row>
    <row r="581" ht="15.0" customHeight="1">
      <c r="A581" s="19"/>
      <c r="B581" s="15"/>
      <c r="C581" s="26" t="str">
        <f t="array" ref="C581">IFERROR(INDEX('Patrimônio'!$C$7:$C$1003,MATCH($B581,'Patrimônio'!$A$7:$A$1003,0)),"")</f>
        <v/>
      </c>
      <c r="D581" s="17"/>
      <c r="E581" s="17"/>
      <c r="F581" s="15"/>
      <c r="G581" s="15"/>
      <c r="H581" s="17"/>
    </row>
    <row r="582" ht="15.0" customHeight="1">
      <c r="A582" s="19"/>
      <c r="B582" s="15"/>
      <c r="C582" s="26" t="str">
        <f t="array" ref="C582">IFERROR(INDEX('Patrimônio'!$C$7:$C$1003,MATCH($B582,'Patrimônio'!$A$7:$A$1003,0)),"")</f>
        <v/>
      </c>
      <c r="D582" s="17"/>
      <c r="E582" s="17"/>
      <c r="F582" s="15"/>
      <c r="G582" s="15"/>
      <c r="H582" s="17"/>
    </row>
    <row r="583" ht="15.0" customHeight="1">
      <c r="A583" s="19"/>
      <c r="B583" s="15"/>
      <c r="C583" s="26" t="str">
        <f t="array" ref="C583">IFERROR(INDEX('Patrimônio'!$C$7:$C$1003,MATCH($B583,'Patrimônio'!$A$7:$A$1003,0)),"")</f>
        <v/>
      </c>
      <c r="D583" s="17"/>
      <c r="E583" s="17"/>
      <c r="F583" s="15"/>
      <c r="G583" s="15"/>
      <c r="H583" s="17"/>
    </row>
    <row r="584" ht="15.0" customHeight="1">
      <c r="A584" s="19"/>
      <c r="B584" s="15"/>
      <c r="C584" s="26" t="str">
        <f t="array" ref="C584">IFERROR(INDEX('Patrimônio'!$C$7:$C$1003,MATCH($B584,'Patrimônio'!$A$7:$A$1003,0)),"")</f>
        <v/>
      </c>
      <c r="D584" s="17"/>
      <c r="E584" s="17"/>
      <c r="F584" s="15"/>
      <c r="G584" s="15"/>
      <c r="H584" s="17"/>
    </row>
    <row r="585" ht="15.0" customHeight="1">
      <c r="A585" s="19"/>
      <c r="B585" s="15"/>
      <c r="C585" s="26" t="str">
        <f t="array" ref="C585">IFERROR(INDEX('Patrimônio'!$C$7:$C$1003,MATCH($B585,'Patrimônio'!$A$7:$A$1003,0)),"")</f>
        <v/>
      </c>
      <c r="D585" s="17"/>
      <c r="E585" s="17"/>
      <c r="F585" s="15"/>
      <c r="G585" s="15"/>
      <c r="H585" s="17"/>
    </row>
    <row r="586" ht="15.0" customHeight="1">
      <c r="A586" s="19"/>
      <c r="B586" s="15"/>
      <c r="C586" s="26" t="str">
        <f t="array" ref="C586">IFERROR(INDEX('Patrimônio'!$C$7:$C$1003,MATCH($B586,'Patrimônio'!$A$7:$A$1003,0)),"")</f>
        <v/>
      </c>
      <c r="D586" s="17"/>
      <c r="E586" s="17"/>
      <c r="F586" s="15"/>
      <c r="G586" s="15"/>
      <c r="H586" s="17"/>
    </row>
    <row r="587" ht="15.0" customHeight="1">
      <c r="A587" s="19"/>
      <c r="B587" s="15"/>
      <c r="C587" s="26" t="str">
        <f t="array" ref="C587">IFERROR(INDEX('Patrimônio'!$C$7:$C$1003,MATCH($B587,'Patrimônio'!$A$7:$A$1003,0)),"")</f>
        <v/>
      </c>
      <c r="D587" s="17"/>
      <c r="E587" s="17"/>
      <c r="F587" s="15"/>
      <c r="G587" s="15"/>
      <c r="H587" s="17"/>
    </row>
    <row r="588" ht="15.0" customHeight="1">
      <c r="A588" s="19"/>
      <c r="B588" s="15"/>
      <c r="C588" s="26" t="str">
        <f t="array" ref="C588">IFERROR(INDEX('Patrimônio'!$C$7:$C$1003,MATCH($B588,'Patrimônio'!$A$7:$A$1003,0)),"")</f>
        <v/>
      </c>
      <c r="D588" s="17"/>
      <c r="E588" s="17"/>
      <c r="F588" s="15"/>
      <c r="G588" s="15"/>
      <c r="H588" s="17"/>
    </row>
    <row r="589" ht="15.0" customHeight="1">
      <c r="A589" s="19"/>
      <c r="B589" s="15"/>
      <c r="C589" s="26" t="str">
        <f t="array" ref="C589">IFERROR(INDEX('Patrimônio'!$C$7:$C$1003,MATCH($B589,'Patrimônio'!$A$7:$A$1003,0)),"")</f>
        <v/>
      </c>
      <c r="D589" s="17"/>
      <c r="E589" s="17"/>
      <c r="F589" s="15"/>
      <c r="G589" s="15"/>
      <c r="H589" s="17"/>
    </row>
    <row r="590" ht="15.0" customHeight="1">
      <c r="A590" s="19"/>
      <c r="B590" s="15"/>
      <c r="C590" s="26" t="str">
        <f t="array" ref="C590">IFERROR(INDEX('Patrimônio'!$C$7:$C$1003,MATCH($B590,'Patrimônio'!$A$7:$A$1003,0)),"")</f>
        <v/>
      </c>
      <c r="D590" s="17"/>
      <c r="E590" s="17"/>
      <c r="F590" s="15"/>
      <c r="G590" s="15"/>
      <c r="H590" s="17"/>
    </row>
    <row r="591" ht="15.0" customHeight="1">
      <c r="A591" s="19"/>
      <c r="B591" s="15"/>
      <c r="C591" s="26" t="str">
        <f t="array" ref="C591">IFERROR(INDEX('Patrimônio'!$C$7:$C$1003,MATCH($B591,'Patrimônio'!$A$7:$A$1003,0)),"")</f>
        <v/>
      </c>
      <c r="D591" s="17"/>
      <c r="E591" s="17"/>
      <c r="F591" s="15"/>
      <c r="G591" s="15"/>
      <c r="H591" s="17"/>
    </row>
    <row r="592" ht="15.0" customHeight="1">
      <c r="A592" s="19"/>
      <c r="B592" s="15"/>
      <c r="C592" s="26" t="str">
        <f t="array" ref="C592">IFERROR(INDEX('Patrimônio'!$C$7:$C$1003,MATCH($B592,'Patrimônio'!$A$7:$A$1003,0)),"")</f>
        <v/>
      </c>
      <c r="D592" s="17"/>
      <c r="E592" s="17"/>
      <c r="F592" s="15"/>
      <c r="G592" s="15"/>
      <c r="H592" s="17"/>
    </row>
    <row r="593" ht="15.0" customHeight="1">
      <c r="A593" s="19"/>
      <c r="B593" s="15"/>
      <c r="C593" s="26" t="str">
        <f t="array" ref="C593">IFERROR(INDEX('Patrimônio'!$C$7:$C$1003,MATCH($B593,'Patrimônio'!$A$7:$A$1003,0)),"")</f>
        <v/>
      </c>
      <c r="D593" s="17"/>
      <c r="E593" s="17"/>
      <c r="F593" s="15"/>
      <c r="G593" s="15"/>
      <c r="H593" s="17"/>
    </row>
    <row r="594" ht="15.0" customHeight="1">
      <c r="A594" s="19"/>
      <c r="B594" s="15"/>
      <c r="C594" s="26" t="str">
        <f t="array" ref="C594">IFERROR(INDEX('Patrimônio'!$C$7:$C$1003,MATCH($B594,'Patrimônio'!$A$7:$A$1003,0)),"")</f>
        <v/>
      </c>
      <c r="D594" s="17"/>
      <c r="E594" s="17"/>
      <c r="F594" s="15"/>
      <c r="G594" s="15"/>
      <c r="H594" s="17"/>
    </row>
    <row r="595" ht="15.0" customHeight="1">
      <c r="A595" s="19"/>
      <c r="B595" s="15"/>
      <c r="C595" s="26" t="str">
        <f t="array" ref="C595">IFERROR(INDEX('Patrimônio'!$C$7:$C$1003,MATCH($B595,'Patrimônio'!$A$7:$A$1003,0)),"")</f>
        <v/>
      </c>
      <c r="D595" s="17"/>
      <c r="E595" s="17"/>
      <c r="F595" s="15"/>
      <c r="G595" s="15"/>
      <c r="H595" s="17"/>
    </row>
    <row r="596" ht="15.0" customHeight="1">
      <c r="A596" s="19"/>
      <c r="B596" s="15"/>
      <c r="C596" s="26" t="str">
        <f t="array" ref="C596">IFERROR(INDEX('Patrimônio'!$C$7:$C$1003,MATCH($B596,'Patrimônio'!$A$7:$A$1003,0)),"")</f>
        <v/>
      </c>
      <c r="D596" s="17"/>
      <c r="E596" s="17"/>
      <c r="F596" s="15"/>
      <c r="G596" s="15"/>
      <c r="H596" s="17"/>
    </row>
    <row r="597" ht="15.0" customHeight="1">
      <c r="A597" s="19"/>
      <c r="B597" s="15"/>
      <c r="C597" s="26" t="str">
        <f t="array" ref="C597">IFERROR(INDEX('Patrimônio'!$C$7:$C$1003,MATCH($B597,'Patrimônio'!$A$7:$A$1003,0)),"")</f>
        <v/>
      </c>
      <c r="D597" s="17"/>
      <c r="E597" s="17"/>
      <c r="F597" s="15"/>
      <c r="G597" s="15"/>
      <c r="H597" s="17"/>
    </row>
    <row r="598" ht="15.0" customHeight="1">
      <c r="A598" s="19"/>
      <c r="B598" s="15"/>
      <c r="C598" s="26" t="str">
        <f t="array" ref="C598">IFERROR(INDEX('Patrimônio'!$C$7:$C$1003,MATCH($B598,'Patrimônio'!$A$7:$A$1003,0)),"")</f>
        <v/>
      </c>
      <c r="D598" s="17"/>
      <c r="E598" s="17"/>
      <c r="F598" s="15"/>
      <c r="G598" s="15"/>
      <c r="H598" s="17"/>
    </row>
    <row r="599" ht="15.0" customHeight="1">
      <c r="A599" s="19"/>
      <c r="B599" s="15"/>
      <c r="C599" s="26" t="str">
        <f t="array" ref="C599">IFERROR(INDEX('Patrimônio'!$C$7:$C$1003,MATCH($B599,'Patrimônio'!$A$7:$A$1003,0)),"")</f>
        <v/>
      </c>
      <c r="D599" s="17"/>
      <c r="E599" s="17"/>
      <c r="F599" s="15"/>
      <c r="G599" s="15"/>
      <c r="H599" s="17"/>
    </row>
    <row r="600" ht="15.0" customHeight="1">
      <c r="A600" s="19"/>
      <c r="B600" s="15"/>
      <c r="C600" s="26" t="str">
        <f t="array" ref="C600">IFERROR(INDEX('Patrimônio'!$C$7:$C$1003,MATCH($B600,'Patrimônio'!$A$7:$A$1003,0)),"")</f>
        <v/>
      </c>
      <c r="D600" s="17"/>
      <c r="E600" s="17"/>
      <c r="F600" s="15"/>
      <c r="G600" s="15"/>
      <c r="H600" s="17"/>
    </row>
    <row r="601" ht="15.0" customHeight="1">
      <c r="A601" s="19"/>
      <c r="B601" s="15"/>
      <c r="C601" s="26" t="str">
        <f t="array" ref="C601">IFERROR(INDEX('Patrimônio'!$C$7:$C$1003,MATCH($B601,'Patrimônio'!$A$7:$A$1003,0)),"")</f>
        <v/>
      </c>
      <c r="D601" s="17"/>
      <c r="E601" s="17"/>
      <c r="F601" s="15"/>
      <c r="G601" s="15"/>
      <c r="H601" s="17"/>
    </row>
    <row r="602" ht="15.0" customHeight="1">
      <c r="A602" s="19"/>
      <c r="B602" s="15"/>
      <c r="C602" s="26" t="str">
        <f t="array" ref="C602">IFERROR(INDEX('Patrimônio'!$C$7:$C$1003,MATCH($B602,'Patrimônio'!$A$7:$A$1003,0)),"")</f>
        <v/>
      </c>
      <c r="D602" s="17"/>
      <c r="E602" s="17"/>
      <c r="F602" s="15"/>
      <c r="G602" s="15"/>
      <c r="H602" s="17"/>
    </row>
    <row r="603" ht="15.0" customHeight="1">
      <c r="A603" s="19"/>
      <c r="B603" s="15"/>
      <c r="C603" s="26" t="str">
        <f t="array" ref="C603">IFERROR(INDEX('Patrimônio'!$C$7:$C$1003,MATCH($B603,'Patrimônio'!$A$7:$A$1003,0)),"")</f>
        <v/>
      </c>
      <c r="D603" s="17"/>
      <c r="E603" s="17"/>
      <c r="F603" s="15"/>
      <c r="G603" s="15"/>
      <c r="H603" s="17"/>
    </row>
    <row r="604" ht="15.0" customHeight="1">
      <c r="A604" s="19"/>
      <c r="B604" s="15"/>
      <c r="C604" s="26" t="str">
        <f t="array" ref="C604">IFERROR(INDEX('Patrimônio'!$C$7:$C$1003,MATCH($B604,'Patrimônio'!$A$7:$A$1003,0)),"")</f>
        <v/>
      </c>
      <c r="D604" s="17"/>
      <c r="E604" s="17"/>
      <c r="F604" s="15"/>
      <c r="G604" s="15"/>
      <c r="H604" s="17"/>
    </row>
    <row r="605" ht="15.0" customHeight="1">
      <c r="A605" s="19"/>
      <c r="B605" s="15"/>
      <c r="C605" s="26" t="str">
        <f t="array" ref="C605">IFERROR(INDEX('Patrimônio'!$C$7:$C$1003,MATCH($B605,'Patrimônio'!$A$7:$A$1003,0)),"")</f>
        <v/>
      </c>
      <c r="D605" s="17"/>
      <c r="E605" s="17"/>
      <c r="F605" s="15"/>
      <c r="G605" s="15"/>
      <c r="H605" s="17"/>
    </row>
    <row r="606" ht="15.0" customHeight="1">
      <c r="A606" s="19"/>
      <c r="B606" s="15"/>
      <c r="C606" s="26" t="str">
        <f t="array" ref="C606">IFERROR(INDEX('Patrimônio'!$C$7:$C$1003,MATCH($B606,'Patrimônio'!$A$7:$A$1003,0)),"")</f>
        <v/>
      </c>
      <c r="D606" s="17"/>
      <c r="E606" s="17"/>
      <c r="F606" s="15"/>
      <c r="G606" s="15"/>
      <c r="H606" s="17"/>
    </row>
    <row r="607" ht="15.0" customHeight="1">
      <c r="A607" s="19"/>
      <c r="B607" s="15"/>
      <c r="C607" s="26" t="str">
        <f t="array" ref="C607">IFERROR(INDEX('Patrimônio'!$C$7:$C$1003,MATCH($B607,'Patrimônio'!$A$7:$A$1003,0)),"")</f>
        <v/>
      </c>
      <c r="D607" s="17"/>
      <c r="E607" s="17"/>
      <c r="F607" s="15"/>
      <c r="G607" s="15"/>
      <c r="H607" s="17"/>
    </row>
    <row r="608" ht="15.0" customHeight="1">
      <c r="A608" s="19"/>
      <c r="B608" s="15"/>
      <c r="C608" s="26" t="str">
        <f t="array" ref="C608">IFERROR(INDEX('Patrimônio'!$C$7:$C$1003,MATCH($B608,'Patrimônio'!$A$7:$A$1003,0)),"")</f>
        <v/>
      </c>
      <c r="D608" s="17"/>
      <c r="E608" s="17"/>
      <c r="F608" s="15"/>
      <c r="G608" s="15"/>
      <c r="H608" s="17"/>
    </row>
    <row r="609" ht="15.0" customHeight="1">
      <c r="A609" s="19"/>
      <c r="B609" s="15"/>
      <c r="C609" s="26" t="str">
        <f t="array" ref="C609">IFERROR(INDEX('Patrimônio'!$C$7:$C$1003,MATCH($B609,'Patrimônio'!$A$7:$A$1003,0)),"")</f>
        <v/>
      </c>
      <c r="D609" s="17"/>
      <c r="E609" s="17"/>
      <c r="F609" s="15"/>
      <c r="G609" s="15"/>
      <c r="H609" s="17"/>
    </row>
    <row r="610" ht="15.0" customHeight="1">
      <c r="A610" s="19"/>
      <c r="B610" s="15"/>
      <c r="C610" s="26" t="str">
        <f t="array" ref="C610">IFERROR(INDEX('Patrimônio'!$C$7:$C$1003,MATCH($B610,'Patrimônio'!$A$7:$A$1003,0)),"")</f>
        <v/>
      </c>
      <c r="D610" s="17"/>
      <c r="E610" s="17"/>
      <c r="F610" s="15"/>
      <c r="G610" s="15"/>
      <c r="H610" s="17"/>
    </row>
    <row r="611" ht="15.0" customHeight="1">
      <c r="A611" s="19"/>
      <c r="B611" s="15"/>
      <c r="C611" s="26" t="str">
        <f t="array" ref="C611">IFERROR(INDEX('Patrimônio'!$C$7:$C$1003,MATCH($B611,'Patrimônio'!$A$7:$A$1003,0)),"")</f>
        <v/>
      </c>
      <c r="D611" s="17"/>
      <c r="E611" s="17"/>
      <c r="F611" s="15"/>
      <c r="G611" s="15"/>
      <c r="H611" s="17"/>
    </row>
    <row r="612" ht="15.0" customHeight="1">
      <c r="A612" s="19"/>
      <c r="B612" s="15"/>
      <c r="C612" s="26" t="str">
        <f t="array" ref="C612">IFERROR(INDEX('Patrimônio'!$C$7:$C$1003,MATCH($B612,'Patrimônio'!$A$7:$A$1003,0)),"")</f>
        <v/>
      </c>
      <c r="D612" s="17"/>
      <c r="E612" s="17"/>
      <c r="F612" s="15"/>
      <c r="G612" s="15"/>
      <c r="H612" s="17"/>
    </row>
    <row r="613" ht="15.0" customHeight="1">
      <c r="A613" s="19"/>
      <c r="B613" s="15"/>
      <c r="C613" s="26" t="str">
        <f t="array" ref="C613">IFERROR(INDEX('Patrimônio'!$C$7:$C$1003,MATCH($B613,'Patrimônio'!$A$7:$A$1003,0)),"")</f>
        <v/>
      </c>
      <c r="D613" s="17"/>
      <c r="E613" s="17"/>
      <c r="F613" s="15"/>
      <c r="G613" s="15"/>
      <c r="H613" s="17"/>
    </row>
    <row r="614" ht="15.0" customHeight="1">
      <c r="A614" s="19"/>
      <c r="B614" s="15"/>
      <c r="C614" s="26" t="str">
        <f t="array" ref="C614">IFERROR(INDEX('Patrimônio'!$C$7:$C$1003,MATCH($B614,'Patrimônio'!$A$7:$A$1003,0)),"")</f>
        <v/>
      </c>
      <c r="D614" s="17"/>
      <c r="E614" s="17"/>
      <c r="F614" s="15"/>
      <c r="G614" s="15"/>
      <c r="H614" s="17"/>
    </row>
    <row r="615" ht="15.0" customHeight="1">
      <c r="A615" s="19"/>
      <c r="B615" s="15"/>
      <c r="C615" s="26" t="str">
        <f t="array" ref="C615">IFERROR(INDEX('Patrimônio'!$C$7:$C$1003,MATCH($B615,'Patrimônio'!$A$7:$A$1003,0)),"")</f>
        <v/>
      </c>
      <c r="D615" s="17"/>
      <c r="E615" s="17"/>
      <c r="F615" s="15"/>
      <c r="G615" s="15"/>
      <c r="H615" s="17"/>
    </row>
    <row r="616" ht="15.0" customHeight="1">
      <c r="A616" s="19"/>
      <c r="B616" s="15"/>
      <c r="C616" s="26" t="str">
        <f t="array" ref="C616">IFERROR(INDEX('Patrimônio'!$C$7:$C$1003,MATCH($B616,'Patrimônio'!$A$7:$A$1003,0)),"")</f>
        <v/>
      </c>
      <c r="D616" s="17"/>
      <c r="E616" s="17"/>
      <c r="F616" s="15"/>
      <c r="G616" s="15"/>
      <c r="H616" s="17"/>
    </row>
    <row r="617" ht="15.0" customHeight="1">
      <c r="A617" s="19"/>
      <c r="B617" s="15"/>
      <c r="C617" s="26" t="str">
        <f t="array" ref="C617">IFERROR(INDEX('Patrimônio'!$C$7:$C$1003,MATCH($B617,'Patrimônio'!$A$7:$A$1003,0)),"")</f>
        <v/>
      </c>
      <c r="D617" s="17"/>
      <c r="E617" s="17"/>
      <c r="F617" s="15"/>
      <c r="G617" s="15"/>
      <c r="H617" s="17"/>
    </row>
    <row r="618" ht="15.0" customHeight="1">
      <c r="A618" s="19"/>
      <c r="B618" s="15"/>
      <c r="C618" s="26" t="str">
        <f t="array" ref="C618">IFERROR(INDEX('Patrimônio'!$C$7:$C$1003,MATCH($B618,'Patrimônio'!$A$7:$A$1003,0)),"")</f>
        <v/>
      </c>
      <c r="D618" s="17"/>
      <c r="E618" s="17"/>
      <c r="F618" s="15"/>
      <c r="G618" s="15"/>
      <c r="H618" s="17"/>
    </row>
    <row r="619" ht="15.0" customHeight="1">
      <c r="A619" s="19"/>
      <c r="B619" s="15"/>
      <c r="C619" s="26" t="str">
        <f t="array" ref="C619">IFERROR(INDEX('Patrimônio'!$C$7:$C$1003,MATCH($B619,'Patrimônio'!$A$7:$A$1003,0)),"")</f>
        <v/>
      </c>
      <c r="D619" s="17"/>
      <c r="E619" s="17"/>
      <c r="F619" s="15"/>
      <c r="G619" s="15"/>
      <c r="H619" s="17"/>
    </row>
    <row r="620" ht="15.0" customHeight="1">
      <c r="A620" s="19"/>
      <c r="B620" s="15"/>
      <c r="C620" s="26" t="str">
        <f t="array" ref="C620">IFERROR(INDEX('Patrimônio'!$C$7:$C$1003,MATCH($B620,'Patrimônio'!$A$7:$A$1003,0)),"")</f>
        <v/>
      </c>
      <c r="D620" s="17"/>
      <c r="E620" s="17"/>
      <c r="F620" s="15"/>
      <c r="G620" s="15"/>
      <c r="H620" s="17"/>
    </row>
    <row r="621" ht="15.0" customHeight="1">
      <c r="A621" s="19"/>
      <c r="B621" s="15"/>
      <c r="C621" s="26" t="str">
        <f t="array" ref="C621">IFERROR(INDEX('Patrimônio'!$C$7:$C$1003,MATCH($B621,'Patrimônio'!$A$7:$A$1003,0)),"")</f>
        <v/>
      </c>
      <c r="D621" s="17"/>
      <c r="E621" s="17"/>
      <c r="F621" s="15"/>
      <c r="G621" s="15"/>
      <c r="H621" s="17"/>
    </row>
    <row r="622" ht="15.0" customHeight="1">
      <c r="A622" s="19"/>
      <c r="B622" s="15"/>
      <c r="C622" s="26" t="str">
        <f t="array" ref="C622">IFERROR(INDEX('Patrimônio'!$C$7:$C$1003,MATCH($B622,'Patrimônio'!$A$7:$A$1003,0)),"")</f>
        <v/>
      </c>
      <c r="D622" s="17"/>
      <c r="E622" s="17"/>
      <c r="F622" s="15"/>
      <c r="G622" s="15"/>
      <c r="H622" s="17"/>
    </row>
    <row r="623" ht="15.0" customHeight="1">
      <c r="A623" s="19"/>
      <c r="B623" s="15"/>
      <c r="C623" s="26" t="str">
        <f t="array" ref="C623">IFERROR(INDEX('Patrimônio'!$C$7:$C$1003,MATCH($B623,'Patrimônio'!$A$7:$A$1003,0)),"")</f>
        <v/>
      </c>
      <c r="D623" s="17"/>
      <c r="E623" s="17"/>
      <c r="F623" s="15"/>
      <c r="G623" s="15"/>
      <c r="H623" s="17"/>
    </row>
    <row r="624" ht="15.0" customHeight="1">
      <c r="A624" s="19"/>
      <c r="B624" s="15"/>
      <c r="C624" s="26" t="str">
        <f t="array" ref="C624">IFERROR(INDEX('Patrimônio'!$C$7:$C$1003,MATCH($B624,'Patrimônio'!$A$7:$A$1003,0)),"")</f>
        <v/>
      </c>
      <c r="D624" s="17"/>
      <c r="E624" s="17"/>
      <c r="F624" s="15"/>
      <c r="G624" s="15"/>
      <c r="H624" s="17"/>
    </row>
    <row r="625" ht="15.0" customHeight="1">
      <c r="A625" s="19"/>
      <c r="B625" s="15"/>
      <c r="C625" s="26" t="str">
        <f t="array" ref="C625">IFERROR(INDEX('Patrimônio'!$C$7:$C$1003,MATCH($B625,'Patrimônio'!$A$7:$A$1003,0)),"")</f>
        <v/>
      </c>
      <c r="D625" s="17"/>
      <c r="E625" s="17"/>
      <c r="F625" s="15"/>
      <c r="G625" s="15"/>
      <c r="H625" s="17"/>
    </row>
    <row r="626" ht="15.0" customHeight="1">
      <c r="A626" s="19"/>
      <c r="B626" s="15"/>
      <c r="C626" s="26" t="str">
        <f t="array" ref="C626">IFERROR(INDEX('Patrimônio'!$C$7:$C$1003,MATCH($B626,'Patrimônio'!$A$7:$A$1003,0)),"")</f>
        <v/>
      </c>
      <c r="D626" s="17"/>
      <c r="E626" s="17"/>
      <c r="F626" s="15"/>
      <c r="G626" s="15"/>
      <c r="H626" s="17"/>
    </row>
    <row r="627" ht="15.0" customHeight="1">
      <c r="A627" s="19"/>
      <c r="B627" s="15"/>
      <c r="C627" s="26" t="str">
        <f t="array" ref="C627">IFERROR(INDEX('Patrimônio'!$C$7:$C$1003,MATCH($B627,'Patrimônio'!$A$7:$A$1003,0)),"")</f>
        <v/>
      </c>
      <c r="D627" s="17"/>
      <c r="E627" s="17"/>
      <c r="F627" s="15"/>
      <c r="G627" s="15"/>
      <c r="H627" s="17"/>
    </row>
    <row r="628" ht="15.0" customHeight="1">
      <c r="A628" s="19"/>
      <c r="B628" s="15"/>
      <c r="C628" s="26" t="str">
        <f t="array" ref="C628">IFERROR(INDEX('Patrimônio'!$C$7:$C$1003,MATCH($B628,'Patrimônio'!$A$7:$A$1003,0)),"")</f>
        <v/>
      </c>
      <c r="D628" s="17"/>
      <c r="E628" s="17"/>
      <c r="F628" s="15"/>
      <c r="G628" s="15"/>
      <c r="H628" s="17"/>
    </row>
    <row r="629" ht="15.0" customHeight="1">
      <c r="A629" s="19"/>
      <c r="B629" s="15"/>
      <c r="C629" s="26" t="str">
        <f t="array" ref="C629">IFERROR(INDEX('Patrimônio'!$C$7:$C$1003,MATCH($B629,'Patrimônio'!$A$7:$A$1003,0)),"")</f>
        <v/>
      </c>
      <c r="D629" s="17"/>
      <c r="E629" s="17"/>
      <c r="F629" s="15"/>
      <c r="G629" s="15"/>
      <c r="H629" s="17"/>
    </row>
    <row r="630" ht="15.0" customHeight="1">
      <c r="A630" s="19"/>
      <c r="B630" s="15"/>
      <c r="C630" s="26" t="str">
        <f t="array" ref="C630">IFERROR(INDEX('Patrimônio'!$C$7:$C$1003,MATCH($B630,'Patrimônio'!$A$7:$A$1003,0)),"")</f>
        <v/>
      </c>
      <c r="D630" s="17"/>
      <c r="E630" s="17"/>
      <c r="F630" s="15"/>
      <c r="G630" s="15"/>
      <c r="H630" s="17"/>
    </row>
    <row r="631" ht="15.0" customHeight="1">
      <c r="A631" s="19"/>
      <c r="B631" s="15"/>
      <c r="C631" s="26" t="str">
        <f t="array" ref="C631">IFERROR(INDEX('Patrimônio'!$C$7:$C$1003,MATCH($B631,'Patrimônio'!$A$7:$A$1003,0)),"")</f>
        <v/>
      </c>
      <c r="D631" s="17"/>
      <c r="E631" s="17"/>
      <c r="F631" s="15"/>
      <c r="G631" s="15"/>
      <c r="H631" s="17"/>
    </row>
    <row r="632" ht="15.0" customHeight="1">
      <c r="A632" s="19"/>
      <c r="B632" s="15"/>
      <c r="C632" s="26" t="str">
        <f t="array" ref="C632">IFERROR(INDEX('Patrimônio'!$C$7:$C$1003,MATCH($B632,'Patrimônio'!$A$7:$A$1003,0)),"")</f>
        <v/>
      </c>
      <c r="D632" s="17"/>
      <c r="E632" s="17"/>
      <c r="F632" s="15"/>
      <c r="G632" s="15"/>
      <c r="H632" s="17"/>
    </row>
    <row r="633" ht="15.0" customHeight="1">
      <c r="A633" s="19"/>
      <c r="B633" s="15"/>
      <c r="C633" s="26" t="str">
        <f t="array" ref="C633">IFERROR(INDEX('Patrimônio'!$C$7:$C$1003,MATCH($B633,'Patrimônio'!$A$7:$A$1003,0)),"")</f>
        <v/>
      </c>
      <c r="D633" s="17"/>
      <c r="E633" s="17"/>
      <c r="F633" s="15"/>
      <c r="G633" s="15"/>
      <c r="H633" s="17"/>
    </row>
    <row r="634" ht="15.0" customHeight="1">
      <c r="A634" s="19"/>
      <c r="B634" s="15"/>
      <c r="C634" s="26" t="str">
        <f t="array" ref="C634">IFERROR(INDEX('Patrimônio'!$C$7:$C$1003,MATCH($B634,'Patrimônio'!$A$7:$A$1003,0)),"")</f>
        <v/>
      </c>
      <c r="D634" s="17"/>
      <c r="E634" s="17"/>
      <c r="F634" s="15"/>
      <c r="G634" s="15"/>
      <c r="H634" s="17"/>
    </row>
    <row r="635" ht="15.0" customHeight="1">
      <c r="A635" s="19"/>
      <c r="B635" s="15"/>
      <c r="C635" s="26" t="str">
        <f t="array" ref="C635">IFERROR(INDEX('Patrimônio'!$C$7:$C$1003,MATCH($B635,'Patrimônio'!$A$7:$A$1003,0)),"")</f>
        <v/>
      </c>
      <c r="D635" s="17"/>
      <c r="E635" s="17"/>
      <c r="F635" s="15"/>
      <c r="G635" s="15"/>
      <c r="H635" s="17"/>
    </row>
    <row r="636" ht="15.0" customHeight="1">
      <c r="A636" s="19"/>
      <c r="B636" s="15"/>
      <c r="C636" s="26" t="str">
        <f t="array" ref="C636">IFERROR(INDEX('Patrimônio'!$C$7:$C$1003,MATCH($B636,'Patrimônio'!$A$7:$A$1003,0)),"")</f>
        <v/>
      </c>
      <c r="D636" s="17"/>
      <c r="E636" s="17"/>
      <c r="F636" s="15"/>
      <c r="G636" s="15"/>
      <c r="H636" s="17"/>
    </row>
    <row r="637" ht="15.0" customHeight="1">
      <c r="A637" s="19"/>
      <c r="B637" s="15"/>
      <c r="C637" s="26" t="str">
        <f t="array" ref="C637">IFERROR(INDEX('Patrimônio'!$C$7:$C$1003,MATCH($B637,'Patrimônio'!$A$7:$A$1003,0)),"")</f>
        <v/>
      </c>
      <c r="D637" s="17"/>
      <c r="E637" s="17"/>
      <c r="F637" s="15"/>
      <c r="G637" s="15"/>
      <c r="H637" s="17"/>
    </row>
    <row r="638" ht="15.0" customHeight="1">
      <c r="A638" s="19"/>
      <c r="B638" s="15"/>
      <c r="C638" s="26" t="str">
        <f t="array" ref="C638">IFERROR(INDEX('Patrimônio'!$C$7:$C$1003,MATCH($B638,'Patrimônio'!$A$7:$A$1003,0)),"")</f>
        <v/>
      </c>
      <c r="D638" s="17"/>
      <c r="E638" s="17"/>
      <c r="F638" s="15"/>
      <c r="G638" s="15"/>
      <c r="H638" s="17"/>
    </row>
    <row r="639" ht="15.0" customHeight="1">
      <c r="A639" s="19"/>
      <c r="B639" s="15"/>
      <c r="C639" s="26" t="str">
        <f t="array" ref="C639">IFERROR(INDEX('Patrimônio'!$C$7:$C$1003,MATCH($B639,'Patrimônio'!$A$7:$A$1003,0)),"")</f>
        <v/>
      </c>
      <c r="D639" s="17"/>
      <c r="E639" s="17"/>
      <c r="F639" s="15"/>
      <c r="G639" s="15"/>
      <c r="H639" s="17"/>
    </row>
    <row r="640" ht="15.0" customHeight="1">
      <c r="A640" s="19"/>
      <c r="B640" s="15"/>
      <c r="C640" s="26" t="str">
        <f t="array" ref="C640">IFERROR(INDEX('Patrimônio'!$C$7:$C$1003,MATCH($B640,'Patrimônio'!$A$7:$A$1003,0)),"")</f>
        <v/>
      </c>
      <c r="D640" s="17"/>
      <c r="E640" s="17"/>
      <c r="F640" s="15"/>
      <c r="G640" s="15"/>
      <c r="H640" s="17"/>
    </row>
    <row r="641" ht="15.0" customHeight="1">
      <c r="A641" s="19"/>
      <c r="B641" s="15"/>
      <c r="C641" s="26" t="str">
        <f t="array" ref="C641">IFERROR(INDEX('Patrimônio'!$C$7:$C$1003,MATCH($B641,'Patrimônio'!$A$7:$A$1003,0)),"")</f>
        <v/>
      </c>
      <c r="D641" s="17"/>
      <c r="E641" s="17"/>
      <c r="F641" s="15"/>
      <c r="G641" s="15"/>
      <c r="H641" s="17"/>
    </row>
    <row r="642" ht="15.0" customHeight="1">
      <c r="A642" s="19"/>
      <c r="B642" s="15"/>
      <c r="C642" s="26" t="str">
        <f t="array" ref="C642">IFERROR(INDEX('Patrimônio'!$C$7:$C$1003,MATCH($B642,'Patrimônio'!$A$7:$A$1003,0)),"")</f>
        <v/>
      </c>
      <c r="D642" s="17"/>
      <c r="E642" s="17"/>
      <c r="F642" s="15"/>
      <c r="G642" s="15"/>
      <c r="H642" s="17"/>
    </row>
    <row r="643" ht="15.0" customHeight="1">
      <c r="A643" s="19"/>
      <c r="B643" s="15"/>
      <c r="C643" s="26" t="str">
        <f t="array" ref="C643">IFERROR(INDEX('Patrimônio'!$C$7:$C$1003,MATCH($B643,'Patrimônio'!$A$7:$A$1003,0)),"")</f>
        <v/>
      </c>
      <c r="D643" s="17"/>
      <c r="E643" s="17"/>
      <c r="F643" s="15"/>
      <c r="G643" s="15"/>
      <c r="H643" s="17"/>
    </row>
    <row r="644" ht="15.0" customHeight="1">
      <c r="A644" s="19"/>
      <c r="B644" s="15"/>
      <c r="C644" s="26" t="str">
        <f t="array" ref="C644">IFERROR(INDEX('Patrimônio'!$C$7:$C$1003,MATCH($B644,'Patrimônio'!$A$7:$A$1003,0)),"")</f>
        <v/>
      </c>
      <c r="D644" s="17"/>
      <c r="E644" s="17"/>
      <c r="F644" s="15"/>
      <c r="G644" s="15"/>
      <c r="H644" s="17"/>
    </row>
    <row r="645" ht="15.0" customHeight="1">
      <c r="A645" s="19"/>
      <c r="B645" s="15"/>
      <c r="C645" s="26" t="str">
        <f t="array" ref="C645">IFERROR(INDEX('Patrimônio'!$C$7:$C$1003,MATCH($B645,'Patrimônio'!$A$7:$A$1003,0)),"")</f>
        <v/>
      </c>
      <c r="D645" s="17"/>
      <c r="E645" s="17"/>
      <c r="F645" s="15"/>
      <c r="G645" s="15"/>
      <c r="H645" s="17"/>
    </row>
    <row r="646" ht="15.0" customHeight="1">
      <c r="A646" s="19"/>
      <c r="B646" s="15"/>
      <c r="C646" s="26" t="str">
        <f t="array" ref="C646">IFERROR(INDEX('Patrimônio'!$C$7:$C$1003,MATCH($B646,'Patrimônio'!$A$7:$A$1003,0)),"")</f>
        <v/>
      </c>
      <c r="D646" s="17"/>
      <c r="E646" s="17"/>
      <c r="F646" s="15"/>
      <c r="G646" s="15"/>
      <c r="H646" s="17"/>
    </row>
    <row r="647" ht="15.0" customHeight="1">
      <c r="A647" s="19"/>
      <c r="B647" s="15"/>
      <c r="C647" s="26" t="str">
        <f t="array" ref="C647">IFERROR(INDEX('Patrimônio'!$C$7:$C$1003,MATCH($B647,'Patrimônio'!$A$7:$A$1003,0)),"")</f>
        <v/>
      </c>
      <c r="D647" s="17"/>
      <c r="E647" s="17"/>
      <c r="F647" s="15"/>
      <c r="G647" s="15"/>
      <c r="H647" s="17"/>
    </row>
    <row r="648" ht="15.0" customHeight="1">
      <c r="A648" s="19"/>
      <c r="B648" s="15"/>
      <c r="C648" s="26" t="str">
        <f t="array" ref="C648">IFERROR(INDEX('Patrimônio'!$C$7:$C$1003,MATCH($B648,'Patrimônio'!$A$7:$A$1003,0)),"")</f>
        <v/>
      </c>
      <c r="D648" s="17"/>
      <c r="E648" s="17"/>
      <c r="F648" s="15"/>
      <c r="G648" s="15"/>
      <c r="H648" s="17"/>
    </row>
    <row r="649" ht="15.0" customHeight="1">
      <c r="A649" s="19"/>
      <c r="B649" s="15"/>
      <c r="C649" s="26" t="str">
        <f t="array" ref="C649">IFERROR(INDEX('Patrimônio'!$C$7:$C$1003,MATCH($B649,'Patrimônio'!$A$7:$A$1003,0)),"")</f>
        <v/>
      </c>
      <c r="D649" s="17"/>
      <c r="E649" s="17"/>
      <c r="F649" s="15"/>
      <c r="G649" s="15"/>
      <c r="H649" s="17"/>
    </row>
    <row r="650" ht="15.0" customHeight="1">
      <c r="A650" s="19"/>
      <c r="B650" s="15"/>
      <c r="C650" s="26" t="str">
        <f t="array" ref="C650">IFERROR(INDEX('Patrimônio'!$C$7:$C$1003,MATCH($B650,'Patrimônio'!$A$7:$A$1003,0)),"")</f>
        <v/>
      </c>
      <c r="D650" s="17"/>
      <c r="E650" s="17"/>
      <c r="F650" s="15"/>
      <c r="G650" s="15"/>
      <c r="H650" s="17"/>
    </row>
    <row r="651" ht="15.0" customHeight="1">
      <c r="A651" s="19"/>
      <c r="B651" s="15"/>
      <c r="C651" s="26" t="str">
        <f t="array" ref="C651">IFERROR(INDEX('Patrimônio'!$C$7:$C$1003,MATCH($B651,'Patrimônio'!$A$7:$A$1003,0)),"")</f>
        <v/>
      </c>
      <c r="D651" s="17"/>
      <c r="E651" s="17"/>
      <c r="F651" s="15"/>
      <c r="G651" s="15"/>
      <c r="H651" s="17"/>
    </row>
    <row r="652" ht="15.0" customHeight="1">
      <c r="A652" s="19"/>
      <c r="B652" s="15"/>
      <c r="C652" s="26" t="str">
        <f t="array" ref="C652">IFERROR(INDEX('Patrimônio'!$C$7:$C$1003,MATCH($B652,'Patrimônio'!$A$7:$A$1003,0)),"")</f>
        <v/>
      </c>
      <c r="D652" s="17"/>
      <c r="E652" s="17"/>
      <c r="F652" s="15"/>
      <c r="G652" s="15"/>
      <c r="H652" s="17"/>
    </row>
    <row r="653" ht="15.0" customHeight="1">
      <c r="A653" s="19"/>
      <c r="B653" s="15"/>
      <c r="C653" s="26" t="str">
        <f t="array" ref="C653">IFERROR(INDEX('Patrimônio'!$C$7:$C$1003,MATCH($B653,'Patrimônio'!$A$7:$A$1003,0)),"")</f>
        <v/>
      </c>
      <c r="D653" s="17"/>
      <c r="E653" s="17"/>
      <c r="F653" s="15"/>
      <c r="G653" s="15"/>
      <c r="H653" s="17"/>
    </row>
    <row r="654" ht="15.0" customHeight="1">
      <c r="A654" s="19"/>
      <c r="B654" s="15"/>
      <c r="C654" s="26" t="str">
        <f t="array" ref="C654">IFERROR(INDEX('Patrimônio'!$C$7:$C$1003,MATCH($B654,'Patrimônio'!$A$7:$A$1003,0)),"")</f>
        <v/>
      </c>
      <c r="D654" s="17"/>
      <c r="E654" s="17"/>
      <c r="F654" s="15"/>
      <c r="G654" s="15"/>
      <c r="H654" s="17"/>
    </row>
    <row r="655" ht="15.0" customHeight="1">
      <c r="A655" s="19"/>
      <c r="B655" s="15"/>
      <c r="C655" s="26" t="str">
        <f t="array" ref="C655">IFERROR(INDEX('Patrimônio'!$C$7:$C$1003,MATCH($B655,'Patrimônio'!$A$7:$A$1003,0)),"")</f>
        <v/>
      </c>
      <c r="D655" s="17"/>
      <c r="E655" s="17"/>
      <c r="F655" s="15"/>
      <c r="G655" s="15"/>
      <c r="H655" s="17"/>
    </row>
    <row r="656" ht="15.0" customHeight="1">
      <c r="A656" s="19"/>
      <c r="B656" s="15"/>
      <c r="C656" s="26" t="str">
        <f t="array" ref="C656">IFERROR(INDEX('Patrimônio'!$C$7:$C$1003,MATCH($B656,'Patrimônio'!$A$7:$A$1003,0)),"")</f>
        <v/>
      </c>
      <c r="D656" s="17"/>
      <c r="E656" s="17"/>
      <c r="F656" s="15"/>
      <c r="G656" s="15"/>
      <c r="H656" s="17"/>
    </row>
    <row r="657" ht="15.0" customHeight="1">
      <c r="A657" s="19"/>
      <c r="B657" s="15"/>
      <c r="C657" s="26" t="str">
        <f t="array" ref="C657">IFERROR(INDEX('Patrimônio'!$C$7:$C$1003,MATCH($B657,'Patrimônio'!$A$7:$A$1003,0)),"")</f>
        <v/>
      </c>
      <c r="D657" s="17"/>
      <c r="E657" s="17"/>
      <c r="F657" s="15"/>
      <c r="G657" s="15"/>
      <c r="H657" s="17"/>
    </row>
    <row r="658" ht="15.0" customHeight="1">
      <c r="A658" s="19"/>
      <c r="B658" s="15"/>
      <c r="C658" s="26" t="str">
        <f t="array" ref="C658">IFERROR(INDEX('Patrimônio'!$C$7:$C$1003,MATCH($B658,'Patrimônio'!$A$7:$A$1003,0)),"")</f>
        <v/>
      </c>
      <c r="D658" s="17"/>
      <c r="E658" s="17"/>
      <c r="F658" s="15"/>
      <c r="G658" s="15"/>
      <c r="H658" s="17"/>
    </row>
    <row r="659" ht="15.0" customHeight="1">
      <c r="A659" s="19"/>
      <c r="B659" s="15"/>
      <c r="C659" s="26" t="str">
        <f t="array" ref="C659">IFERROR(INDEX('Patrimônio'!$C$7:$C$1003,MATCH($B659,'Patrimônio'!$A$7:$A$1003,0)),"")</f>
        <v/>
      </c>
      <c r="D659" s="17"/>
      <c r="E659" s="17"/>
      <c r="F659" s="15"/>
      <c r="G659" s="15"/>
      <c r="H659" s="17"/>
    </row>
    <row r="660" ht="15.0" customHeight="1">
      <c r="A660" s="19"/>
      <c r="B660" s="15"/>
      <c r="C660" s="26" t="str">
        <f t="array" ref="C660">IFERROR(INDEX('Patrimônio'!$C$7:$C$1003,MATCH($B660,'Patrimônio'!$A$7:$A$1003,0)),"")</f>
        <v/>
      </c>
      <c r="D660" s="17"/>
      <c r="E660" s="17"/>
      <c r="F660" s="15"/>
      <c r="G660" s="15"/>
      <c r="H660" s="17"/>
    </row>
    <row r="661" ht="15.0" customHeight="1">
      <c r="A661" s="19"/>
      <c r="B661" s="15"/>
      <c r="C661" s="26" t="str">
        <f t="array" ref="C661">IFERROR(INDEX('Patrimônio'!$C$7:$C$1003,MATCH($B661,'Patrimônio'!$A$7:$A$1003,0)),"")</f>
        <v/>
      </c>
      <c r="D661" s="17"/>
      <c r="E661" s="17"/>
      <c r="F661" s="15"/>
      <c r="G661" s="15"/>
      <c r="H661" s="17"/>
    </row>
    <row r="662" ht="15.0" customHeight="1">
      <c r="A662" s="19"/>
      <c r="B662" s="15"/>
      <c r="C662" s="26" t="str">
        <f t="array" ref="C662">IFERROR(INDEX('Patrimônio'!$C$7:$C$1003,MATCH($B662,'Patrimônio'!$A$7:$A$1003,0)),"")</f>
        <v/>
      </c>
      <c r="D662" s="17"/>
      <c r="E662" s="17"/>
      <c r="F662" s="15"/>
      <c r="G662" s="15"/>
      <c r="H662" s="17"/>
    </row>
    <row r="663" ht="15.0" customHeight="1">
      <c r="A663" s="19"/>
      <c r="B663" s="15"/>
      <c r="C663" s="26" t="str">
        <f t="array" ref="C663">IFERROR(INDEX('Patrimônio'!$C$7:$C$1003,MATCH($B663,'Patrimônio'!$A$7:$A$1003,0)),"")</f>
        <v/>
      </c>
      <c r="D663" s="17"/>
      <c r="E663" s="17"/>
      <c r="F663" s="15"/>
      <c r="G663" s="15"/>
      <c r="H663" s="17"/>
    </row>
    <row r="664" ht="15.0" customHeight="1">
      <c r="A664" s="19"/>
      <c r="B664" s="15"/>
      <c r="C664" s="26" t="str">
        <f t="array" ref="C664">IFERROR(INDEX('Patrimônio'!$C$7:$C$1003,MATCH($B664,'Patrimônio'!$A$7:$A$1003,0)),"")</f>
        <v/>
      </c>
      <c r="D664" s="17"/>
      <c r="E664" s="17"/>
      <c r="F664" s="15"/>
      <c r="G664" s="15"/>
      <c r="H664" s="17"/>
    </row>
    <row r="665" ht="15.0" customHeight="1">
      <c r="A665" s="19"/>
      <c r="B665" s="15"/>
      <c r="C665" s="26" t="str">
        <f t="array" ref="C665">IFERROR(INDEX('Patrimônio'!$C$7:$C$1003,MATCH($B665,'Patrimônio'!$A$7:$A$1003,0)),"")</f>
        <v/>
      </c>
      <c r="D665" s="17"/>
      <c r="E665" s="17"/>
      <c r="F665" s="15"/>
      <c r="G665" s="15"/>
      <c r="H665" s="17"/>
    </row>
    <row r="666" ht="15.0" customHeight="1">
      <c r="A666" s="19"/>
      <c r="B666" s="15"/>
      <c r="C666" s="26" t="str">
        <f t="array" ref="C666">IFERROR(INDEX('Patrimônio'!$C$7:$C$1003,MATCH($B666,'Patrimônio'!$A$7:$A$1003,0)),"")</f>
        <v/>
      </c>
      <c r="D666" s="17"/>
      <c r="E666" s="17"/>
      <c r="F666" s="15"/>
      <c r="G666" s="15"/>
      <c r="H666" s="17"/>
    </row>
    <row r="667" ht="15.0" customHeight="1">
      <c r="A667" s="19"/>
      <c r="B667" s="15"/>
      <c r="C667" s="26" t="str">
        <f t="array" ref="C667">IFERROR(INDEX('Patrimônio'!$C$7:$C$1003,MATCH($B667,'Patrimônio'!$A$7:$A$1003,0)),"")</f>
        <v/>
      </c>
      <c r="D667" s="17"/>
      <c r="E667" s="17"/>
      <c r="F667" s="15"/>
      <c r="G667" s="15"/>
      <c r="H667" s="17"/>
    </row>
    <row r="668" ht="15.0" customHeight="1">
      <c r="A668" s="19"/>
      <c r="B668" s="15"/>
      <c r="C668" s="26" t="str">
        <f t="array" ref="C668">IFERROR(INDEX('Patrimônio'!$C$7:$C$1003,MATCH($B668,'Patrimônio'!$A$7:$A$1003,0)),"")</f>
        <v/>
      </c>
      <c r="D668" s="17"/>
      <c r="E668" s="17"/>
      <c r="F668" s="15"/>
      <c r="G668" s="15"/>
      <c r="H668" s="17"/>
    </row>
    <row r="669" ht="15.0" customHeight="1">
      <c r="A669" s="19"/>
      <c r="B669" s="15"/>
      <c r="C669" s="26" t="str">
        <f t="array" ref="C669">IFERROR(INDEX('Patrimônio'!$C$7:$C$1003,MATCH($B669,'Patrimônio'!$A$7:$A$1003,0)),"")</f>
        <v/>
      </c>
      <c r="D669" s="17"/>
      <c r="E669" s="17"/>
      <c r="F669" s="15"/>
      <c r="G669" s="15"/>
      <c r="H669" s="17"/>
    </row>
    <row r="670" ht="15.0" customHeight="1">
      <c r="A670" s="19"/>
      <c r="B670" s="15"/>
      <c r="C670" s="26" t="str">
        <f t="array" ref="C670">IFERROR(INDEX('Patrimônio'!$C$7:$C$1003,MATCH($B670,'Patrimônio'!$A$7:$A$1003,0)),"")</f>
        <v/>
      </c>
      <c r="D670" s="17"/>
      <c r="E670" s="17"/>
      <c r="F670" s="15"/>
      <c r="G670" s="15"/>
      <c r="H670" s="17"/>
    </row>
    <row r="671" ht="15.0" customHeight="1">
      <c r="A671" s="19"/>
      <c r="B671" s="15"/>
      <c r="C671" s="26" t="str">
        <f t="array" ref="C671">IFERROR(INDEX('Patrimônio'!$C$7:$C$1003,MATCH($B671,'Patrimônio'!$A$7:$A$1003,0)),"")</f>
        <v/>
      </c>
      <c r="D671" s="17"/>
      <c r="E671" s="17"/>
      <c r="F671" s="15"/>
      <c r="G671" s="15"/>
      <c r="H671" s="17"/>
    </row>
    <row r="672" ht="15.0" customHeight="1">
      <c r="A672" s="19"/>
      <c r="B672" s="15"/>
      <c r="C672" s="26" t="str">
        <f t="array" ref="C672">IFERROR(INDEX('Patrimônio'!$C$7:$C$1003,MATCH($B672,'Patrimônio'!$A$7:$A$1003,0)),"")</f>
        <v/>
      </c>
      <c r="D672" s="17"/>
      <c r="E672" s="17"/>
      <c r="F672" s="15"/>
      <c r="G672" s="15"/>
      <c r="H672" s="17"/>
    </row>
    <row r="673" ht="15.0" customHeight="1">
      <c r="A673" s="19"/>
      <c r="B673" s="15"/>
      <c r="C673" s="26" t="str">
        <f t="array" ref="C673">IFERROR(INDEX('Patrimônio'!$C$7:$C$1003,MATCH($B673,'Patrimônio'!$A$7:$A$1003,0)),"")</f>
        <v/>
      </c>
      <c r="D673" s="17"/>
      <c r="E673" s="17"/>
      <c r="F673" s="15"/>
      <c r="G673" s="15"/>
      <c r="H673" s="17"/>
    </row>
    <row r="674" ht="15.0" customHeight="1">
      <c r="A674" s="19"/>
      <c r="B674" s="15"/>
      <c r="C674" s="26" t="str">
        <f t="array" ref="C674">IFERROR(INDEX('Patrimônio'!$C$7:$C$1003,MATCH($B674,'Patrimônio'!$A$7:$A$1003,0)),"")</f>
        <v/>
      </c>
      <c r="D674" s="17"/>
      <c r="E674" s="17"/>
      <c r="F674" s="15"/>
      <c r="G674" s="15"/>
      <c r="H674" s="17"/>
    </row>
    <row r="675" ht="15.0" customHeight="1">
      <c r="A675" s="19"/>
      <c r="B675" s="15"/>
      <c r="C675" s="26" t="str">
        <f t="array" ref="C675">IFERROR(INDEX('Patrimônio'!$C$7:$C$1003,MATCH($B675,'Patrimônio'!$A$7:$A$1003,0)),"")</f>
        <v/>
      </c>
      <c r="D675" s="17"/>
      <c r="E675" s="17"/>
      <c r="F675" s="15"/>
      <c r="G675" s="15"/>
      <c r="H675" s="17"/>
    </row>
    <row r="676" ht="15.0" customHeight="1">
      <c r="A676" s="19"/>
      <c r="B676" s="15"/>
      <c r="C676" s="26" t="str">
        <f t="array" ref="C676">IFERROR(INDEX('Patrimônio'!$C$7:$C$1003,MATCH($B676,'Patrimônio'!$A$7:$A$1003,0)),"")</f>
        <v/>
      </c>
      <c r="D676" s="17"/>
      <c r="E676" s="17"/>
      <c r="F676" s="15"/>
      <c r="G676" s="15"/>
      <c r="H676" s="17"/>
    </row>
    <row r="677" ht="15.0" customHeight="1">
      <c r="A677" s="19"/>
      <c r="B677" s="15"/>
      <c r="C677" s="26" t="str">
        <f t="array" ref="C677">IFERROR(INDEX('Patrimônio'!$C$7:$C$1003,MATCH($B677,'Patrimônio'!$A$7:$A$1003,0)),"")</f>
        <v/>
      </c>
      <c r="D677" s="17"/>
      <c r="E677" s="17"/>
      <c r="F677" s="15"/>
      <c r="G677" s="15"/>
      <c r="H677" s="17"/>
    </row>
    <row r="678" ht="15.0" customHeight="1">
      <c r="A678" s="19"/>
      <c r="B678" s="15"/>
      <c r="C678" s="26" t="str">
        <f t="array" ref="C678">IFERROR(INDEX('Patrimônio'!$C$7:$C$1003,MATCH($B678,'Patrimônio'!$A$7:$A$1003,0)),"")</f>
        <v/>
      </c>
      <c r="D678" s="17"/>
      <c r="E678" s="17"/>
      <c r="F678" s="15"/>
      <c r="G678" s="15"/>
      <c r="H678" s="17"/>
    </row>
    <row r="679" ht="15.0" customHeight="1">
      <c r="A679" s="19"/>
      <c r="B679" s="15"/>
      <c r="C679" s="26" t="str">
        <f t="array" ref="C679">IFERROR(INDEX('Patrimônio'!$C$7:$C$1003,MATCH($B679,'Patrimônio'!$A$7:$A$1003,0)),"")</f>
        <v/>
      </c>
      <c r="D679" s="17"/>
      <c r="E679" s="17"/>
      <c r="F679" s="15"/>
      <c r="G679" s="15"/>
      <c r="H679" s="17"/>
    </row>
    <row r="680" ht="15.0" customHeight="1">
      <c r="A680" s="19"/>
      <c r="B680" s="15"/>
      <c r="C680" s="26" t="str">
        <f t="array" ref="C680">IFERROR(INDEX('Patrimônio'!$C$7:$C$1003,MATCH($B680,'Patrimônio'!$A$7:$A$1003,0)),"")</f>
        <v/>
      </c>
      <c r="D680" s="17"/>
      <c r="E680" s="17"/>
      <c r="F680" s="15"/>
      <c r="G680" s="15"/>
      <c r="H680" s="17"/>
    </row>
    <row r="681" ht="15.0" customHeight="1">
      <c r="A681" s="19"/>
      <c r="B681" s="15"/>
      <c r="C681" s="26" t="str">
        <f t="array" ref="C681">IFERROR(INDEX('Patrimônio'!$C$7:$C$1003,MATCH($B681,'Patrimônio'!$A$7:$A$1003,0)),"")</f>
        <v/>
      </c>
      <c r="D681" s="17"/>
      <c r="E681" s="17"/>
      <c r="F681" s="15"/>
      <c r="G681" s="15"/>
      <c r="H681" s="17"/>
    </row>
    <row r="682" ht="15.0" customHeight="1">
      <c r="A682" s="19"/>
      <c r="B682" s="15"/>
      <c r="C682" s="26" t="str">
        <f t="array" ref="C682">IFERROR(INDEX('Patrimônio'!$C$7:$C$1003,MATCH($B682,'Patrimônio'!$A$7:$A$1003,0)),"")</f>
        <v/>
      </c>
      <c r="D682" s="17"/>
      <c r="E682" s="17"/>
      <c r="F682" s="15"/>
      <c r="G682" s="15"/>
      <c r="H682" s="17"/>
    </row>
    <row r="683" ht="15.0" customHeight="1">
      <c r="A683" s="19"/>
      <c r="B683" s="15"/>
      <c r="C683" s="26" t="str">
        <f t="array" ref="C683">IFERROR(INDEX('Patrimônio'!$C$7:$C$1003,MATCH($B683,'Patrimônio'!$A$7:$A$1003,0)),"")</f>
        <v/>
      </c>
      <c r="D683" s="17"/>
      <c r="E683" s="17"/>
      <c r="F683" s="15"/>
      <c r="G683" s="15"/>
      <c r="H683" s="17"/>
    </row>
    <row r="684" ht="15.0" customHeight="1">
      <c r="A684" s="19"/>
      <c r="B684" s="15"/>
      <c r="C684" s="26" t="str">
        <f t="array" ref="C684">IFERROR(INDEX('Patrimônio'!$C$7:$C$1003,MATCH($B684,'Patrimônio'!$A$7:$A$1003,0)),"")</f>
        <v/>
      </c>
      <c r="D684" s="17"/>
      <c r="E684" s="17"/>
      <c r="F684" s="15"/>
      <c r="G684" s="15"/>
      <c r="H684" s="17"/>
    </row>
    <row r="685" ht="15.0" customHeight="1">
      <c r="A685" s="19"/>
      <c r="B685" s="15"/>
      <c r="C685" s="26" t="str">
        <f t="array" ref="C685">IFERROR(INDEX('Patrimônio'!$C$7:$C$1003,MATCH($B685,'Patrimônio'!$A$7:$A$1003,0)),"")</f>
        <v/>
      </c>
      <c r="D685" s="17"/>
      <c r="E685" s="17"/>
      <c r="F685" s="15"/>
      <c r="G685" s="15"/>
      <c r="H685" s="17"/>
    </row>
    <row r="686" ht="15.0" customHeight="1">
      <c r="A686" s="19"/>
      <c r="B686" s="15"/>
      <c r="C686" s="26" t="str">
        <f t="array" ref="C686">IFERROR(INDEX('Patrimônio'!$C$7:$C$1003,MATCH($B686,'Patrimônio'!$A$7:$A$1003,0)),"")</f>
        <v/>
      </c>
      <c r="D686" s="17"/>
      <c r="E686" s="17"/>
      <c r="F686" s="15"/>
      <c r="G686" s="15"/>
      <c r="H686" s="17"/>
    </row>
    <row r="687" ht="15.0" customHeight="1">
      <c r="A687" s="19"/>
      <c r="B687" s="15"/>
      <c r="C687" s="26" t="str">
        <f t="array" ref="C687">IFERROR(INDEX('Patrimônio'!$C$7:$C$1003,MATCH($B687,'Patrimônio'!$A$7:$A$1003,0)),"")</f>
        <v/>
      </c>
      <c r="D687" s="17"/>
      <c r="E687" s="17"/>
      <c r="F687" s="15"/>
      <c r="G687" s="15"/>
      <c r="H687" s="17"/>
    </row>
    <row r="688" ht="15.0" customHeight="1">
      <c r="A688" s="19"/>
      <c r="B688" s="15"/>
      <c r="C688" s="26" t="str">
        <f t="array" ref="C688">IFERROR(INDEX('Patrimônio'!$C$7:$C$1003,MATCH($B688,'Patrimônio'!$A$7:$A$1003,0)),"")</f>
        <v/>
      </c>
      <c r="D688" s="17"/>
      <c r="E688" s="17"/>
      <c r="F688" s="15"/>
      <c r="G688" s="15"/>
      <c r="H688" s="17"/>
    </row>
    <row r="689" ht="15.0" customHeight="1">
      <c r="A689" s="19"/>
      <c r="B689" s="15"/>
      <c r="C689" s="26" t="str">
        <f t="array" ref="C689">IFERROR(INDEX('Patrimônio'!$C$7:$C$1003,MATCH($B689,'Patrimônio'!$A$7:$A$1003,0)),"")</f>
        <v/>
      </c>
      <c r="D689" s="17"/>
      <c r="E689" s="17"/>
      <c r="F689" s="15"/>
      <c r="G689" s="15"/>
      <c r="H689" s="17"/>
    </row>
    <row r="690" ht="15.0" customHeight="1">
      <c r="A690" s="19"/>
      <c r="B690" s="15"/>
      <c r="C690" s="26" t="str">
        <f t="array" ref="C690">IFERROR(INDEX('Patrimônio'!$C$7:$C$1003,MATCH($B690,'Patrimônio'!$A$7:$A$1003,0)),"")</f>
        <v/>
      </c>
      <c r="D690" s="17"/>
      <c r="E690" s="17"/>
      <c r="F690" s="15"/>
      <c r="G690" s="15"/>
      <c r="H690" s="17"/>
    </row>
    <row r="691" ht="15.0" customHeight="1">
      <c r="A691" s="19"/>
      <c r="B691" s="15"/>
      <c r="C691" s="26" t="str">
        <f t="array" ref="C691">IFERROR(INDEX('Patrimônio'!$C$7:$C$1003,MATCH($B691,'Patrimônio'!$A$7:$A$1003,0)),"")</f>
        <v/>
      </c>
      <c r="D691" s="17"/>
      <c r="E691" s="17"/>
      <c r="F691" s="15"/>
      <c r="G691" s="15"/>
      <c r="H691" s="17"/>
    </row>
    <row r="692" ht="15.0" customHeight="1">
      <c r="A692" s="19"/>
      <c r="B692" s="15"/>
      <c r="C692" s="26" t="str">
        <f t="array" ref="C692">IFERROR(INDEX('Patrimônio'!$C$7:$C$1003,MATCH($B692,'Patrimônio'!$A$7:$A$1003,0)),"")</f>
        <v/>
      </c>
      <c r="D692" s="17"/>
      <c r="E692" s="17"/>
      <c r="F692" s="15"/>
      <c r="G692" s="15"/>
      <c r="H692" s="17"/>
    </row>
    <row r="693" ht="15.0" customHeight="1">
      <c r="A693" s="19"/>
      <c r="B693" s="15"/>
      <c r="C693" s="26" t="str">
        <f t="array" ref="C693">IFERROR(INDEX('Patrimônio'!$C$7:$C$1003,MATCH($B693,'Patrimônio'!$A$7:$A$1003,0)),"")</f>
        <v/>
      </c>
      <c r="D693" s="17"/>
      <c r="E693" s="17"/>
      <c r="F693" s="15"/>
      <c r="G693" s="15"/>
      <c r="H693" s="17"/>
    </row>
    <row r="694" ht="15.0" customHeight="1">
      <c r="A694" s="19"/>
      <c r="B694" s="15"/>
      <c r="C694" s="26" t="str">
        <f t="array" ref="C694">IFERROR(INDEX('Patrimônio'!$C$7:$C$1003,MATCH($B694,'Patrimônio'!$A$7:$A$1003,0)),"")</f>
        <v/>
      </c>
      <c r="D694" s="17"/>
      <c r="E694" s="17"/>
      <c r="F694" s="15"/>
      <c r="G694" s="15"/>
      <c r="H694" s="17"/>
    </row>
    <row r="695" ht="15.0" customHeight="1">
      <c r="A695" s="19"/>
      <c r="B695" s="15"/>
      <c r="C695" s="26" t="str">
        <f t="array" ref="C695">IFERROR(INDEX('Patrimônio'!$C$7:$C$1003,MATCH($B695,'Patrimônio'!$A$7:$A$1003,0)),"")</f>
        <v/>
      </c>
      <c r="D695" s="17"/>
      <c r="E695" s="17"/>
      <c r="F695" s="15"/>
      <c r="G695" s="15"/>
      <c r="H695" s="17"/>
    </row>
    <row r="696" ht="15.0" customHeight="1">
      <c r="A696" s="19"/>
      <c r="B696" s="15"/>
      <c r="C696" s="26" t="str">
        <f t="array" ref="C696">IFERROR(INDEX('Patrimônio'!$C$7:$C$1003,MATCH($B696,'Patrimônio'!$A$7:$A$1003,0)),"")</f>
        <v/>
      </c>
      <c r="D696" s="17"/>
      <c r="E696" s="17"/>
      <c r="F696" s="15"/>
      <c r="G696" s="15"/>
      <c r="H696" s="17"/>
    </row>
    <row r="697" ht="15.0" customHeight="1">
      <c r="A697" s="19"/>
      <c r="B697" s="15"/>
      <c r="C697" s="26" t="str">
        <f t="array" ref="C697">IFERROR(INDEX('Patrimônio'!$C$7:$C$1003,MATCH($B697,'Patrimônio'!$A$7:$A$1003,0)),"")</f>
        <v/>
      </c>
      <c r="D697" s="17"/>
      <c r="E697" s="17"/>
      <c r="F697" s="15"/>
      <c r="G697" s="15"/>
      <c r="H697" s="17"/>
    </row>
    <row r="698" ht="15.0" customHeight="1">
      <c r="A698" s="19"/>
      <c r="B698" s="15"/>
      <c r="C698" s="26" t="str">
        <f t="array" ref="C698">IFERROR(INDEX('Patrimônio'!$C$7:$C$1003,MATCH($B698,'Patrimônio'!$A$7:$A$1003,0)),"")</f>
        <v/>
      </c>
      <c r="D698" s="17"/>
      <c r="E698" s="17"/>
      <c r="F698" s="15"/>
      <c r="G698" s="15"/>
      <c r="H698" s="17"/>
    </row>
    <row r="699" ht="15.0" customHeight="1">
      <c r="A699" s="19"/>
      <c r="B699" s="15"/>
      <c r="C699" s="26" t="str">
        <f t="array" ref="C699">IFERROR(INDEX('Patrimônio'!$C$7:$C$1003,MATCH($B699,'Patrimônio'!$A$7:$A$1003,0)),"")</f>
        <v/>
      </c>
      <c r="D699" s="17"/>
      <c r="E699" s="17"/>
      <c r="F699" s="15"/>
      <c r="G699" s="15"/>
      <c r="H699" s="17"/>
    </row>
    <row r="700" ht="15.0" customHeight="1">
      <c r="A700" s="19"/>
      <c r="B700" s="15"/>
      <c r="C700" s="26" t="str">
        <f t="array" ref="C700">IFERROR(INDEX('Patrimônio'!$C$7:$C$1003,MATCH($B700,'Patrimônio'!$A$7:$A$1003,0)),"")</f>
        <v/>
      </c>
      <c r="D700" s="17"/>
      <c r="E700" s="17"/>
      <c r="F700" s="15"/>
      <c r="G700" s="15"/>
      <c r="H700" s="17"/>
    </row>
    <row r="701" ht="15.0" customHeight="1">
      <c r="A701" s="19"/>
      <c r="B701" s="15"/>
      <c r="C701" s="26" t="str">
        <f t="array" ref="C701">IFERROR(INDEX('Patrimônio'!$C$7:$C$1003,MATCH($B701,'Patrimônio'!$A$7:$A$1003,0)),"")</f>
        <v/>
      </c>
      <c r="D701" s="17"/>
      <c r="E701" s="17"/>
      <c r="F701" s="15"/>
      <c r="G701" s="15"/>
      <c r="H701" s="17"/>
    </row>
    <row r="702" ht="15.0" customHeight="1">
      <c r="A702" s="19"/>
      <c r="B702" s="15"/>
      <c r="C702" s="26" t="str">
        <f t="array" ref="C702">IFERROR(INDEX('Patrimônio'!$C$7:$C$1003,MATCH($B702,'Patrimônio'!$A$7:$A$1003,0)),"")</f>
        <v/>
      </c>
      <c r="D702" s="17"/>
      <c r="E702" s="17"/>
      <c r="F702" s="15"/>
      <c r="G702" s="15"/>
      <c r="H702" s="17"/>
    </row>
    <row r="703" ht="15.0" customHeight="1">
      <c r="A703" s="19"/>
      <c r="B703" s="15"/>
      <c r="C703" s="26" t="str">
        <f t="array" ref="C703">IFERROR(INDEX('Patrimônio'!$C$7:$C$1003,MATCH($B703,'Patrimônio'!$A$7:$A$1003,0)),"")</f>
        <v/>
      </c>
      <c r="D703" s="17"/>
      <c r="E703" s="17"/>
      <c r="F703" s="15"/>
      <c r="G703" s="15"/>
      <c r="H703" s="17"/>
    </row>
    <row r="704" ht="15.0" customHeight="1">
      <c r="A704" s="19"/>
      <c r="B704" s="15"/>
      <c r="C704" s="26" t="str">
        <f t="array" ref="C704">IFERROR(INDEX('Patrimônio'!$C$7:$C$1003,MATCH($B704,'Patrimônio'!$A$7:$A$1003,0)),"")</f>
        <v/>
      </c>
      <c r="D704" s="17"/>
      <c r="E704" s="17"/>
      <c r="F704" s="15"/>
      <c r="G704" s="15"/>
      <c r="H704" s="17"/>
    </row>
    <row r="705" ht="15.0" customHeight="1">
      <c r="A705" s="19"/>
      <c r="B705" s="15"/>
      <c r="C705" s="26" t="str">
        <f t="array" ref="C705">IFERROR(INDEX('Patrimônio'!$C$7:$C$1003,MATCH($B705,'Patrimônio'!$A$7:$A$1003,0)),"")</f>
        <v/>
      </c>
      <c r="D705" s="17"/>
      <c r="E705" s="17"/>
      <c r="F705" s="15"/>
      <c r="G705" s="15"/>
      <c r="H705" s="17"/>
    </row>
    <row r="706" ht="15.0" customHeight="1">
      <c r="A706" s="19"/>
      <c r="B706" s="15"/>
      <c r="C706" s="26" t="str">
        <f t="array" ref="C706">IFERROR(INDEX('Patrimônio'!$C$7:$C$1003,MATCH($B706,'Patrimônio'!$A$7:$A$1003,0)),"")</f>
        <v/>
      </c>
      <c r="D706" s="17"/>
      <c r="E706" s="17"/>
      <c r="F706" s="15"/>
      <c r="G706" s="15"/>
      <c r="H706" s="17"/>
    </row>
    <row r="707" ht="15.0" customHeight="1">
      <c r="A707" s="19"/>
      <c r="B707" s="15"/>
      <c r="C707" s="26" t="str">
        <f t="array" ref="C707">IFERROR(INDEX('Patrimônio'!$C$7:$C$1003,MATCH($B707,'Patrimônio'!$A$7:$A$1003,0)),"")</f>
        <v/>
      </c>
      <c r="D707" s="17"/>
      <c r="E707" s="17"/>
      <c r="F707" s="15"/>
      <c r="G707" s="15"/>
      <c r="H707" s="17"/>
    </row>
    <row r="708" ht="15.0" customHeight="1">
      <c r="A708" s="19"/>
      <c r="B708" s="15"/>
      <c r="C708" s="26" t="str">
        <f t="array" ref="C708">IFERROR(INDEX('Patrimônio'!$C$7:$C$1003,MATCH($B708,'Patrimônio'!$A$7:$A$1003,0)),"")</f>
        <v/>
      </c>
      <c r="D708" s="17"/>
      <c r="E708" s="17"/>
      <c r="F708" s="15"/>
      <c r="G708" s="15"/>
      <c r="H708" s="17"/>
    </row>
    <row r="709" ht="15.0" customHeight="1">
      <c r="A709" s="19"/>
      <c r="B709" s="15"/>
      <c r="C709" s="26" t="str">
        <f t="array" ref="C709">IFERROR(INDEX('Patrimônio'!$C$7:$C$1003,MATCH($B709,'Patrimônio'!$A$7:$A$1003,0)),"")</f>
        <v/>
      </c>
      <c r="D709" s="17"/>
      <c r="E709" s="17"/>
      <c r="F709" s="15"/>
      <c r="G709" s="15"/>
      <c r="H709" s="17"/>
    </row>
    <row r="710" ht="15.0" customHeight="1">
      <c r="A710" s="19"/>
      <c r="B710" s="15"/>
      <c r="C710" s="26" t="str">
        <f t="array" ref="C710">IFERROR(INDEX('Patrimônio'!$C$7:$C$1003,MATCH($B710,'Patrimônio'!$A$7:$A$1003,0)),"")</f>
        <v/>
      </c>
      <c r="D710" s="17"/>
      <c r="E710" s="17"/>
      <c r="F710" s="15"/>
      <c r="G710" s="15"/>
      <c r="H710" s="17"/>
    </row>
    <row r="711" ht="15.0" customHeight="1">
      <c r="A711" s="19"/>
      <c r="B711" s="15"/>
      <c r="C711" s="26" t="str">
        <f t="array" ref="C711">IFERROR(INDEX('Patrimônio'!$C$7:$C$1003,MATCH($B711,'Patrimônio'!$A$7:$A$1003,0)),"")</f>
        <v/>
      </c>
      <c r="D711" s="17"/>
      <c r="E711" s="17"/>
      <c r="F711" s="15"/>
      <c r="G711" s="15"/>
      <c r="H711" s="17"/>
    </row>
    <row r="712" ht="15.0" customHeight="1">
      <c r="A712" s="19"/>
      <c r="B712" s="15"/>
      <c r="C712" s="26" t="str">
        <f t="array" ref="C712">IFERROR(INDEX('Patrimônio'!$C$7:$C$1003,MATCH($B712,'Patrimônio'!$A$7:$A$1003,0)),"")</f>
        <v/>
      </c>
      <c r="D712" s="17"/>
      <c r="E712" s="17"/>
      <c r="F712" s="15"/>
      <c r="G712" s="15"/>
      <c r="H712" s="17"/>
    </row>
    <row r="713" ht="15.0" customHeight="1">
      <c r="A713" s="19"/>
      <c r="B713" s="15"/>
      <c r="C713" s="26" t="str">
        <f t="array" ref="C713">IFERROR(INDEX('Patrimônio'!$C$7:$C$1003,MATCH($B713,'Patrimônio'!$A$7:$A$1003,0)),"")</f>
        <v/>
      </c>
      <c r="D713" s="17"/>
      <c r="E713" s="17"/>
      <c r="F713" s="15"/>
      <c r="G713" s="15"/>
      <c r="H713" s="17"/>
    </row>
    <row r="714" ht="15.0" customHeight="1">
      <c r="A714" s="19"/>
      <c r="B714" s="15"/>
      <c r="C714" s="26" t="str">
        <f t="array" ref="C714">IFERROR(INDEX('Patrimônio'!$C$7:$C$1003,MATCH($B714,'Patrimônio'!$A$7:$A$1003,0)),"")</f>
        <v/>
      </c>
      <c r="D714" s="17"/>
      <c r="E714" s="17"/>
      <c r="F714" s="15"/>
      <c r="G714" s="15"/>
      <c r="H714" s="17"/>
    </row>
    <row r="715" ht="15.0" customHeight="1">
      <c r="A715" s="19"/>
      <c r="B715" s="15"/>
      <c r="C715" s="26" t="str">
        <f t="array" ref="C715">IFERROR(INDEX('Patrimônio'!$C$7:$C$1003,MATCH($B715,'Patrimônio'!$A$7:$A$1003,0)),"")</f>
        <v/>
      </c>
      <c r="D715" s="17"/>
      <c r="E715" s="17"/>
      <c r="F715" s="15"/>
      <c r="G715" s="15"/>
      <c r="H715" s="17"/>
    </row>
    <row r="716" ht="15.0" customHeight="1">
      <c r="A716" s="19"/>
      <c r="B716" s="15"/>
      <c r="C716" s="26" t="str">
        <f t="array" ref="C716">IFERROR(INDEX('Patrimônio'!$C$7:$C$1003,MATCH($B716,'Patrimônio'!$A$7:$A$1003,0)),"")</f>
        <v/>
      </c>
      <c r="D716" s="17"/>
      <c r="E716" s="17"/>
      <c r="F716" s="15"/>
      <c r="G716" s="15"/>
      <c r="H716" s="17"/>
    </row>
    <row r="717" ht="15.0" customHeight="1">
      <c r="A717" s="19"/>
      <c r="B717" s="15"/>
      <c r="C717" s="26" t="str">
        <f t="array" ref="C717">IFERROR(INDEX('Patrimônio'!$C$7:$C$1003,MATCH($B717,'Patrimônio'!$A$7:$A$1003,0)),"")</f>
        <v/>
      </c>
      <c r="D717" s="17"/>
      <c r="E717" s="17"/>
      <c r="F717" s="15"/>
      <c r="G717" s="15"/>
      <c r="H717" s="17"/>
    </row>
    <row r="718" ht="15.0" customHeight="1">
      <c r="A718" s="19"/>
      <c r="B718" s="15"/>
      <c r="C718" s="26" t="str">
        <f t="array" ref="C718">IFERROR(INDEX('Patrimônio'!$C$7:$C$1003,MATCH($B718,'Patrimônio'!$A$7:$A$1003,0)),"")</f>
        <v/>
      </c>
      <c r="D718" s="17"/>
      <c r="E718" s="17"/>
      <c r="F718" s="15"/>
      <c r="G718" s="15"/>
      <c r="H718" s="17"/>
    </row>
    <row r="719" ht="15.0" customHeight="1">
      <c r="A719" s="19"/>
      <c r="B719" s="15"/>
      <c r="C719" s="26" t="str">
        <f t="array" ref="C719">IFERROR(INDEX('Patrimônio'!$C$7:$C$1003,MATCH($B719,'Patrimônio'!$A$7:$A$1003,0)),"")</f>
        <v/>
      </c>
      <c r="D719" s="17"/>
      <c r="E719" s="17"/>
      <c r="F719" s="15"/>
      <c r="G719" s="15"/>
      <c r="H719" s="17"/>
    </row>
    <row r="720" ht="15.0" customHeight="1">
      <c r="A720" s="19"/>
      <c r="B720" s="15"/>
      <c r="C720" s="26" t="str">
        <f t="array" ref="C720">IFERROR(INDEX('Patrimônio'!$C$7:$C$1003,MATCH($B720,'Patrimônio'!$A$7:$A$1003,0)),"")</f>
        <v/>
      </c>
      <c r="D720" s="17"/>
      <c r="E720" s="17"/>
      <c r="F720" s="15"/>
      <c r="G720" s="15"/>
      <c r="H720" s="17"/>
    </row>
    <row r="721" ht="15.0" customHeight="1">
      <c r="A721" s="19"/>
      <c r="B721" s="15"/>
      <c r="C721" s="26" t="str">
        <f t="array" ref="C721">IFERROR(INDEX('Patrimônio'!$C$7:$C$1003,MATCH($B721,'Patrimônio'!$A$7:$A$1003,0)),"")</f>
        <v/>
      </c>
      <c r="D721" s="17"/>
      <c r="E721" s="17"/>
      <c r="F721" s="15"/>
      <c r="G721" s="15"/>
      <c r="H721" s="17"/>
    </row>
    <row r="722" ht="15.0" customHeight="1">
      <c r="A722" s="19"/>
      <c r="B722" s="15"/>
      <c r="C722" s="26" t="str">
        <f t="array" ref="C722">IFERROR(INDEX('Patrimônio'!$C$7:$C$1003,MATCH($B722,'Patrimônio'!$A$7:$A$1003,0)),"")</f>
        <v/>
      </c>
      <c r="D722" s="17"/>
      <c r="E722" s="17"/>
      <c r="F722" s="15"/>
      <c r="G722" s="15"/>
      <c r="H722" s="17"/>
    </row>
    <row r="723" ht="15.0" customHeight="1">
      <c r="A723" s="19"/>
      <c r="B723" s="15"/>
      <c r="C723" s="26" t="str">
        <f t="array" ref="C723">IFERROR(INDEX('Patrimônio'!$C$7:$C$1003,MATCH($B723,'Patrimônio'!$A$7:$A$1003,0)),"")</f>
        <v/>
      </c>
      <c r="D723" s="17"/>
      <c r="E723" s="17"/>
      <c r="F723" s="15"/>
      <c r="G723" s="15"/>
      <c r="H723" s="17"/>
    </row>
    <row r="724" ht="15.0" customHeight="1">
      <c r="A724" s="19"/>
      <c r="B724" s="15"/>
      <c r="C724" s="26" t="str">
        <f t="array" ref="C724">IFERROR(INDEX('Patrimônio'!$C$7:$C$1003,MATCH($B724,'Patrimônio'!$A$7:$A$1003,0)),"")</f>
        <v/>
      </c>
      <c r="D724" s="17"/>
      <c r="E724" s="17"/>
      <c r="F724" s="15"/>
      <c r="G724" s="15"/>
      <c r="H724" s="17"/>
    </row>
    <row r="725" ht="15.0" customHeight="1">
      <c r="A725" s="19"/>
      <c r="B725" s="15"/>
      <c r="C725" s="26" t="str">
        <f t="array" ref="C725">IFERROR(INDEX('Patrimônio'!$C$7:$C$1003,MATCH($B725,'Patrimônio'!$A$7:$A$1003,0)),"")</f>
        <v/>
      </c>
      <c r="D725" s="17"/>
      <c r="E725" s="17"/>
      <c r="F725" s="15"/>
      <c r="G725" s="15"/>
      <c r="H725" s="17"/>
    </row>
    <row r="726" ht="15.0" customHeight="1">
      <c r="A726" s="19"/>
      <c r="B726" s="15"/>
      <c r="C726" s="26" t="str">
        <f t="array" ref="C726">IFERROR(INDEX('Patrimônio'!$C$7:$C$1003,MATCH($B726,'Patrimônio'!$A$7:$A$1003,0)),"")</f>
        <v/>
      </c>
      <c r="D726" s="17"/>
      <c r="E726" s="17"/>
      <c r="F726" s="15"/>
      <c r="G726" s="15"/>
      <c r="H726" s="17"/>
    </row>
    <row r="727" ht="15.0" customHeight="1">
      <c r="A727" s="19"/>
      <c r="B727" s="15"/>
      <c r="C727" s="26" t="str">
        <f t="array" ref="C727">IFERROR(INDEX('Patrimônio'!$C$7:$C$1003,MATCH($B727,'Patrimônio'!$A$7:$A$1003,0)),"")</f>
        <v/>
      </c>
      <c r="D727" s="17"/>
      <c r="E727" s="17"/>
      <c r="F727" s="15"/>
      <c r="G727" s="15"/>
      <c r="H727" s="17"/>
    </row>
    <row r="728" ht="15.0" customHeight="1">
      <c r="A728" s="19"/>
      <c r="B728" s="15"/>
      <c r="C728" s="26" t="str">
        <f t="array" ref="C728">IFERROR(INDEX('Patrimônio'!$C$7:$C$1003,MATCH($B728,'Patrimônio'!$A$7:$A$1003,0)),"")</f>
        <v/>
      </c>
      <c r="D728" s="17"/>
      <c r="E728" s="17"/>
      <c r="F728" s="15"/>
      <c r="G728" s="15"/>
      <c r="H728" s="17"/>
    </row>
    <row r="729" ht="15.0" customHeight="1">
      <c r="A729" s="19"/>
      <c r="B729" s="15"/>
      <c r="C729" s="26" t="str">
        <f t="array" ref="C729">IFERROR(INDEX('Patrimônio'!$C$7:$C$1003,MATCH($B729,'Patrimônio'!$A$7:$A$1003,0)),"")</f>
        <v/>
      </c>
      <c r="D729" s="17"/>
      <c r="E729" s="17"/>
      <c r="F729" s="15"/>
      <c r="G729" s="15"/>
      <c r="H729" s="17"/>
    </row>
    <row r="730" ht="15.0" customHeight="1">
      <c r="A730" s="19"/>
      <c r="B730" s="15"/>
      <c r="C730" s="26" t="str">
        <f t="array" ref="C730">IFERROR(INDEX('Patrimônio'!$C$7:$C$1003,MATCH($B730,'Patrimônio'!$A$7:$A$1003,0)),"")</f>
        <v/>
      </c>
      <c r="D730" s="17"/>
      <c r="E730" s="17"/>
      <c r="F730" s="15"/>
      <c r="G730" s="15"/>
      <c r="H730" s="17"/>
    </row>
    <row r="731" ht="15.0" customHeight="1">
      <c r="A731" s="19"/>
      <c r="B731" s="15"/>
      <c r="C731" s="26" t="str">
        <f t="array" ref="C731">IFERROR(INDEX('Patrimônio'!$C$7:$C$1003,MATCH($B731,'Patrimônio'!$A$7:$A$1003,0)),"")</f>
        <v/>
      </c>
      <c r="D731" s="17"/>
      <c r="E731" s="17"/>
      <c r="F731" s="15"/>
      <c r="G731" s="15"/>
      <c r="H731" s="17"/>
    </row>
    <row r="732" ht="15.0" customHeight="1">
      <c r="A732" s="19"/>
      <c r="B732" s="15"/>
      <c r="C732" s="26" t="str">
        <f t="array" ref="C732">IFERROR(INDEX('Patrimônio'!$C$7:$C$1003,MATCH($B732,'Patrimônio'!$A$7:$A$1003,0)),"")</f>
        <v/>
      </c>
      <c r="D732" s="17"/>
      <c r="E732" s="17"/>
      <c r="F732" s="15"/>
      <c r="G732" s="15"/>
      <c r="H732" s="17"/>
    </row>
    <row r="733" ht="15.0" customHeight="1">
      <c r="A733" s="19"/>
      <c r="B733" s="15"/>
      <c r="C733" s="26" t="str">
        <f t="array" ref="C733">IFERROR(INDEX('Patrimônio'!$C$7:$C$1003,MATCH($B733,'Patrimônio'!$A$7:$A$1003,0)),"")</f>
        <v/>
      </c>
      <c r="D733" s="17"/>
      <c r="E733" s="17"/>
      <c r="F733" s="15"/>
      <c r="G733" s="15"/>
      <c r="H733" s="17"/>
    </row>
    <row r="734" ht="15.0" customHeight="1">
      <c r="A734" s="19"/>
      <c r="B734" s="15"/>
      <c r="C734" s="26" t="str">
        <f t="array" ref="C734">IFERROR(INDEX('Patrimônio'!$C$7:$C$1003,MATCH($B734,'Patrimônio'!$A$7:$A$1003,0)),"")</f>
        <v/>
      </c>
      <c r="D734" s="17"/>
      <c r="E734" s="17"/>
      <c r="F734" s="15"/>
      <c r="G734" s="15"/>
      <c r="H734" s="17"/>
    </row>
    <row r="735" ht="15.0" customHeight="1">
      <c r="A735" s="19"/>
      <c r="B735" s="15"/>
      <c r="C735" s="26" t="str">
        <f t="array" ref="C735">IFERROR(INDEX('Patrimônio'!$C$7:$C$1003,MATCH($B735,'Patrimônio'!$A$7:$A$1003,0)),"")</f>
        <v/>
      </c>
      <c r="D735" s="17"/>
      <c r="E735" s="17"/>
      <c r="F735" s="15"/>
      <c r="G735" s="15"/>
      <c r="H735" s="17"/>
    </row>
    <row r="736" ht="15.0" customHeight="1">
      <c r="A736" s="19"/>
      <c r="B736" s="15"/>
      <c r="C736" s="26" t="str">
        <f t="array" ref="C736">IFERROR(INDEX('Patrimônio'!$C$7:$C$1003,MATCH($B736,'Patrimônio'!$A$7:$A$1003,0)),"")</f>
        <v/>
      </c>
      <c r="D736" s="17"/>
      <c r="E736" s="17"/>
      <c r="F736" s="15"/>
      <c r="G736" s="15"/>
      <c r="H736" s="17"/>
    </row>
    <row r="737" ht="15.0" customHeight="1">
      <c r="A737" s="19"/>
      <c r="B737" s="15"/>
      <c r="C737" s="26" t="str">
        <f t="array" ref="C737">IFERROR(INDEX('Patrimônio'!$C$7:$C$1003,MATCH($B737,'Patrimônio'!$A$7:$A$1003,0)),"")</f>
        <v/>
      </c>
      <c r="D737" s="17"/>
      <c r="E737" s="17"/>
      <c r="F737" s="15"/>
      <c r="G737" s="15"/>
      <c r="H737" s="17"/>
    </row>
    <row r="738" ht="15.0" customHeight="1">
      <c r="A738" s="19"/>
      <c r="B738" s="15"/>
      <c r="C738" s="26" t="str">
        <f t="array" ref="C738">IFERROR(INDEX('Patrimônio'!$C$7:$C$1003,MATCH($B738,'Patrimônio'!$A$7:$A$1003,0)),"")</f>
        <v/>
      </c>
      <c r="D738" s="17"/>
      <c r="E738" s="17"/>
      <c r="F738" s="15"/>
      <c r="G738" s="15"/>
      <c r="H738" s="17"/>
    </row>
    <row r="739" ht="15.0" customHeight="1">
      <c r="A739" s="19"/>
      <c r="B739" s="15"/>
      <c r="C739" s="26" t="str">
        <f t="array" ref="C739">IFERROR(INDEX('Patrimônio'!$C$7:$C$1003,MATCH($B739,'Patrimônio'!$A$7:$A$1003,0)),"")</f>
        <v/>
      </c>
      <c r="D739" s="17"/>
      <c r="E739" s="17"/>
      <c r="F739" s="15"/>
      <c r="G739" s="15"/>
      <c r="H739" s="17"/>
    </row>
    <row r="740" ht="15.0" customHeight="1">
      <c r="A740" s="19"/>
      <c r="B740" s="15"/>
      <c r="C740" s="26" t="str">
        <f t="array" ref="C740">IFERROR(INDEX('Patrimônio'!$C$7:$C$1003,MATCH($B740,'Patrimônio'!$A$7:$A$1003,0)),"")</f>
        <v/>
      </c>
      <c r="D740" s="17"/>
      <c r="E740" s="17"/>
      <c r="F740" s="15"/>
      <c r="G740" s="15"/>
      <c r="H740" s="17"/>
    </row>
    <row r="741" ht="15.0" customHeight="1">
      <c r="A741" s="19"/>
      <c r="B741" s="15"/>
      <c r="C741" s="26" t="str">
        <f t="array" ref="C741">IFERROR(INDEX('Patrimônio'!$C$7:$C$1003,MATCH($B741,'Patrimônio'!$A$7:$A$1003,0)),"")</f>
        <v/>
      </c>
      <c r="D741" s="17"/>
      <c r="E741" s="17"/>
      <c r="F741" s="15"/>
      <c r="G741" s="15"/>
      <c r="H741" s="17"/>
    </row>
    <row r="742" ht="15.0" customHeight="1">
      <c r="A742" s="19"/>
      <c r="B742" s="15"/>
      <c r="C742" s="26" t="str">
        <f t="array" ref="C742">IFERROR(INDEX('Patrimônio'!$C$7:$C$1003,MATCH($B742,'Patrimônio'!$A$7:$A$1003,0)),"")</f>
        <v/>
      </c>
      <c r="D742" s="17"/>
      <c r="E742" s="17"/>
      <c r="F742" s="15"/>
      <c r="G742" s="15"/>
      <c r="H742" s="17"/>
    </row>
    <row r="743" ht="15.0" customHeight="1">
      <c r="A743" s="19"/>
      <c r="B743" s="15"/>
      <c r="C743" s="26" t="str">
        <f t="array" ref="C743">IFERROR(INDEX('Patrimônio'!$C$7:$C$1003,MATCH($B743,'Patrimônio'!$A$7:$A$1003,0)),"")</f>
        <v/>
      </c>
      <c r="D743" s="17"/>
      <c r="E743" s="17"/>
      <c r="F743" s="15"/>
      <c r="G743" s="15"/>
      <c r="H743" s="17"/>
    </row>
    <row r="744" ht="15.0" customHeight="1">
      <c r="A744" s="19"/>
      <c r="B744" s="15"/>
      <c r="C744" s="26" t="str">
        <f t="array" ref="C744">IFERROR(INDEX('Patrimônio'!$C$7:$C$1003,MATCH($B744,'Patrimônio'!$A$7:$A$1003,0)),"")</f>
        <v/>
      </c>
      <c r="D744" s="17"/>
      <c r="E744" s="17"/>
      <c r="F744" s="15"/>
      <c r="G744" s="15"/>
      <c r="H744" s="17"/>
    </row>
    <row r="745" ht="15.0" customHeight="1">
      <c r="A745" s="19"/>
      <c r="B745" s="15"/>
      <c r="C745" s="26" t="str">
        <f t="array" ref="C745">IFERROR(INDEX('Patrimônio'!$C$7:$C$1003,MATCH($B745,'Patrimônio'!$A$7:$A$1003,0)),"")</f>
        <v/>
      </c>
      <c r="D745" s="17"/>
      <c r="E745" s="17"/>
      <c r="F745" s="15"/>
      <c r="G745" s="15"/>
      <c r="H745" s="17"/>
    </row>
    <row r="746" ht="15.0" customHeight="1">
      <c r="A746" s="19"/>
      <c r="B746" s="15"/>
      <c r="C746" s="26" t="str">
        <f t="array" ref="C746">IFERROR(INDEX('Patrimônio'!$C$7:$C$1003,MATCH($B746,'Patrimônio'!$A$7:$A$1003,0)),"")</f>
        <v/>
      </c>
      <c r="D746" s="17"/>
      <c r="E746" s="17"/>
      <c r="F746" s="15"/>
      <c r="G746" s="15"/>
      <c r="H746" s="17"/>
    </row>
    <row r="747" ht="15.0" customHeight="1">
      <c r="A747" s="19"/>
      <c r="B747" s="15"/>
      <c r="C747" s="26" t="str">
        <f t="array" ref="C747">IFERROR(INDEX('Patrimônio'!$C$7:$C$1003,MATCH($B747,'Patrimônio'!$A$7:$A$1003,0)),"")</f>
        <v/>
      </c>
      <c r="D747" s="17"/>
      <c r="E747" s="17"/>
      <c r="F747" s="15"/>
      <c r="G747" s="15"/>
      <c r="H747" s="17"/>
    </row>
    <row r="748" ht="15.0" customHeight="1">
      <c r="A748" s="19"/>
      <c r="B748" s="15"/>
      <c r="C748" s="26" t="str">
        <f t="array" ref="C748">IFERROR(INDEX('Patrimônio'!$C$7:$C$1003,MATCH($B748,'Patrimônio'!$A$7:$A$1003,0)),"")</f>
        <v/>
      </c>
      <c r="D748" s="17"/>
      <c r="E748" s="17"/>
      <c r="F748" s="15"/>
      <c r="G748" s="15"/>
      <c r="H748" s="17"/>
    </row>
    <row r="749" ht="15.0" customHeight="1">
      <c r="A749" s="19"/>
      <c r="B749" s="15"/>
      <c r="C749" s="26" t="str">
        <f t="array" ref="C749">IFERROR(INDEX('Patrimônio'!$C$7:$C$1003,MATCH($B749,'Patrimônio'!$A$7:$A$1003,0)),"")</f>
        <v/>
      </c>
      <c r="D749" s="17"/>
      <c r="E749" s="17"/>
      <c r="F749" s="15"/>
      <c r="G749" s="15"/>
      <c r="H749" s="17"/>
    </row>
    <row r="750" ht="15.0" customHeight="1">
      <c r="A750" s="19"/>
      <c r="B750" s="15"/>
      <c r="C750" s="26" t="str">
        <f t="array" ref="C750">IFERROR(INDEX('Patrimônio'!$C$7:$C$1003,MATCH($B750,'Patrimônio'!$A$7:$A$1003,0)),"")</f>
        <v/>
      </c>
      <c r="D750" s="17"/>
      <c r="E750" s="17"/>
      <c r="F750" s="15"/>
      <c r="G750" s="15"/>
      <c r="H750" s="17"/>
    </row>
    <row r="751" ht="15.0" customHeight="1">
      <c r="A751" s="19"/>
      <c r="B751" s="15"/>
      <c r="C751" s="26" t="str">
        <f t="array" ref="C751">IFERROR(INDEX('Patrimônio'!$C$7:$C$1003,MATCH($B751,'Patrimônio'!$A$7:$A$1003,0)),"")</f>
        <v/>
      </c>
      <c r="D751" s="17"/>
      <c r="E751" s="17"/>
      <c r="F751" s="15"/>
      <c r="G751" s="15"/>
      <c r="H751" s="17"/>
    </row>
    <row r="752" ht="15.0" customHeight="1">
      <c r="A752" s="19"/>
      <c r="B752" s="15"/>
      <c r="C752" s="26" t="str">
        <f t="array" ref="C752">IFERROR(INDEX('Patrimônio'!$C$7:$C$1003,MATCH($B752,'Patrimônio'!$A$7:$A$1003,0)),"")</f>
        <v/>
      </c>
      <c r="D752" s="17"/>
      <c r="E752" s="17"/>
      <c r="F752" s="15"/>
      <c r="G752" s="15"/>
      <c r="H752" s="17"/>
    </row>
    <row r="753" ht="15.0" customHeight="1">
      <c r="A753" s="19"/>
      <c r="B753" s="15"/>
      <c r="C753" s="26" t="str">
        <f t="array" ref="C753">IFERROR(INDEX('Patrimônio'!$C$7:$C$1003,MATCH($B753,'Patrimônio'!$A$7:$A$1003,0)),"")</f>
        <v/>
      </c>
      <c r="D753" s="17"/>
      <c r="E753" s="17"/>
      <c r="F753" s="15"/>
      <c r="G753" s="15"/>
      <c r="H753" s="17"/>
    </row>
    <row r="754" ht="15.0" customHeight="1">
      <c r="A754" s="19"/>
      <c r="B754" s="15"/>
      <c r="C754" s="26" t="str">
        <f t="array" ref="C754">IFERROR(INDEX('Patrimônio'!$C$7:$C$1003,MATCH($B754,'Patrimônio'!$A$7:$A$1003,0)),"")</f>
        <v/>
      </c>
      <c r="D754" s="17"/>
      <c r="E754" s="17"/>
      <c r="F754" s="15"/>
      <c r="G754" s="15"/>
      <c r="H754" s="17"/>
    </row>
    <row r="755" ht="15.0" customHeight="1">
      <c r="A755" s="19"/>
      <c r="B755" s="15"/>
      <c r="C755" s="26" t="str">
        <f t="array" ref="C755">IFERROR(INDEX('Patrimônio'!$C$7:$C$1003,MATCH($B755,'Patrimônio'!$A$7:$A$1003,0)),"")</f>
        <v/>
      </c>
      <c r="D755" s="17"/>
      <c r="E755" s="17"/>
      <c r="F755" s="15"/>
      <c r="G755" s="15"/>
      <c r="H755" s="17"/>
    </row>
    <row r="756" ht="15.0" customHeight="1">
      <c r="A756" s="19"/>
      <c r="B756" s="15"/>
      <c r="C756" s="26" t="str">
        <f t="array" ref="C756">IFERROR(INDEX('Patrimônio'!$C$7:$C$1003,MATCH($B756,'Patrimônio'!$A$7:$A$1003,0)),"")</f>
        <v/>
      </c>
      <c r="D756" s="17"/>
      <c r="E756" s="17"/>
      <c r="F756" s="15"/>
      <c r="G756" s="15"/>
      <c r="H756" s="17"/>
    </row>
    <row r="757" ht="15.0" customHeight="1">
      <c r="A757" s="19"/>
      <c r="B757" s="15"/>
      <c r="C757" s="26" t="str">
        <f t="array" ref="C757">IFERROR(INDEX('Patrimônio'!$C$7:$C$1003,MATCH($B757,'Patrimônio'!$A$7:$A$1003,0)),"")</f>
        <v/>
      </c>
      <c r="D757" s="17"/>
      <c r="E757" s="17"/>
      <c r="F757" s="15"/>
      <c r="G757" s="15"/>
      <c r="H757" s="17"/>
    </row>
    <row r="758" ht="15.0" customHeight="1">
      <c r="A758" s="19"/>
      <c r="B758" s="15"/>
      <c r="C758" s="26" t="str">
        <f t="array" ref="C758">IFERROR(INDEX('Patrimônio'!$C$7:$C$1003,MATCH($B758,'Patrimônio'!$A$7:$A$1003,0)),"")</f>
        <v/>
      </c>
      <c r="D758" s="17"/>
      <c r="E758" s="17"/>
      <c r="F758" s="15"/>
      <c r="G758" s="15"/>
      <c r="H758" s="17"/>
    </row>
    <row r="759" ht="15.0" customHeight="1">
      <c r="A759" s="19"/>
      <c r="B759" s="15"/>
      <c r="C759" s="26" t="str">
        <f t="array" ref="C759">IFERROR(INDEX('Patrimônio'!$C$7:$C$1003,MATCH($B759,'Patrimônio'!$A$7:$A$1003,0)),"")</f>
        <v/>
      </c>
      <c r="D759" s="17"/>
      <c r="E759" s="17"/>
      <c r="F759" s="15"/>
      <c r="G759" s="15"/>
      <c r="H759" s="17"/>
    </row>
    <row r="760" ht="15.0" customHeight="1">
      <c r="A760" s="19"/>
      <c r="B760" s="15"/>
      <c r="C760" s="26" t="str">
        <f t="array" ref="C760">IFERROR(INDEX('Patrimônio'!$C$7:$C$1003,MATCH($B760,'Patrimônio'!$A$7:$A$1003,0)),"")</f>
        <v/>
      </c>
      <c r="D760" s="17"/>
      <c r="E760" s="17"/>
      <c r="F760" s="15"/>
      <c r="G760" s="15"/>
      <c r="H760" s="17"/>
    </row>
    <row r="761" ht="15.0" customHeight="1">
      <c r="A761" s="19"/>
      <c r="B761" s="15"/>
      <c r="C761" s="26" t="str">
        <f t="array" ref="C761">IFERROR(INDEX('Patrimônio'!$C$7:$C$1003,MATCH($B761,'Patrimônio'!$A$7:$A$1003,0)),"")</f>
        <v/>
      </c>
      <c r="D761" s="17"/>
      <c r="E761" s="17"/>
      <c r="F761" s="15"/>
      <c r="G761" s="15"/>
      <c r="H761" s="17"/>
    </row>
    <row r="762" ht="15.0" customHeight="1">
      <c r="A762" s="19"/>
      <c r="B762" s="15"/>
      <c r="C762" s="26" t="str">
        <f t="array" ref="C762">IFERROR(INDEX('Patrimônio'!$C$7:$C$1003,MATCH($B762,'Patrimônio'!$A$7:$A$1003,0)),"")</f>
        <v/>
      </c>
      <c r="D762" s="17"/>
      <c r="E762" s="17"/>
      <c r="F762" s="15"/>
      <c r="G762" s="15"/>
      <c r="H762" s="17"/>
    </row>
    <row r="763" ht="15.0" customHeight="1">
      <c r="A763" s="19"/>
      <c r="B763" s="15"/>
      <c r="C763" s="26" t="str">
        <f t="array" ref="C763">IFERROR(INDEX('Patrimônio'!$C$7:$C$1003,MATCH($B763,'Patrimônio'!$A$7:$A$1003,0)),"")</f>
        <v/>
      </c>
      <c r="D763" s="17"/>
      <c r="E763" s="17"/>
      <c r="F763" s="15"/>
      <c r="G763" s="15"/>
      <c r="H763" s="17"/>
    </row>
    <row r="764" ht="15.0" customHeight="1">
      <c r="A764" s="19"/>
      <c r="B764" s="15"/>
      <c r="C764" s="26" t="str">
        <f t="array" ref="C764">IFERROR(INDEX('Patrimônio'!$C$7:$C$1003,MATCH($B764,'Patrimônio'!$A$7:$A$1003,0)),"")</f>
        <v/>
      </c>
      <c r="D764" s="17"/>
      <c r="E764" s="17"/>
      <c r="F764" s="15"/>
      <c r="G764" s="15"/>
      <c r="H764" s="17"/>
    </row>
    <row r="765" ht="15.0" customHeight="1">
      <c r="A765" s="19"/>
      <c r="B765" s="15"/>
      <c r="C765" s="26" t="str">
        <f t="array" ref="C765">IFERROR(INDEX('Patrimônio'!$C$7:$C$1003,MATCH($B765,'Patrimônio'!$A$7:$A$1003,0)),"")</f>
        <v/>
      </c>
      <c r="D765" s="17"/>
      <c r="E765" s="17"/>
      <c r="F765" s="15"/>
      <c r="G765" s="15"/>
      <c r="H765" s="17"/>
    </row>
    <row r="766" ht="15.0" customHeight="1">
      <c r="A766" s="19"/>
      <c r="B766" s="15"/>
      <c r="C766" s="26" t="str">
        <f t="array" ref="C766">IFERROR(INDEX('Patrimônio'!$C$7:$C$1003,MATCH($B766,'Patrimônio'!$A$7:$A$1003,0)),"")</f>
        <v/>
      </c>
      <c r="D766" s="17"/>
      <c r="E766" s="17"/>
      <c r="F766" s="15"/>
      <c r="G766" s="15"/>
      <c r="H766" s="17"/>
    </row>
    <row r="767" ht="15.0" customHeight="1">
      <c r="A767" s="19"/>
      <c r="B767" s="15"/>
      <c r="C767" s="26" t="str">
        <f t="array" ref="C767">IFERROR(INDEX('Patrimônio'!$C$7:$C$1003,MATCH($B767,'Patrimônio'!$A$7:$A$1003,0)),"")</f>
        <v/>
      </c>
      <c r="D767" s="17"/>
      <c r="E767" s="17"/>
      <c r="F767" s="15"/>
      <c r="G767" s="15"/>
      <c r="H767" s="17"/>
    </row>
    <row r="768" ht="15.0" customHeight="1">
      <c r="A768" s="19"/>
      <c r="B768" s="15"/>
      <c r="C768" s="26" t="str">
        <f t="array" ref="C768">IFERROR(INDEX('Patrimônio'!$C$7:$C$1003,MATCH($B768,'Patrimônio'!$A$7:$A$1003,0)),"")</f>
        <v/>
      </c>
      <c r="D768" s="17"/>
      <c r="E768" s="17"/>
      <c r="F768" s="15"/>
      <c r="G768" s="15"/>
      <c r="H768" s="17"/>
    </row>
    <row r="769" ht="15.0" customHeight="1">
      <c r="A769" s="19"/>
      <c r="B769" s="15"/>
      <c r="C769" s="26" t="str">
        <f t="array" ref="C769">IFERROR(INDEX('Patrimônio'!$C$7:$C$1003,MATCH($B769,'Patrimônio'!$A$7:$A$1003,0)),"")</f>
        <v/>
      </c>
      <c r="D769" s="17"/>
      <c r="E769" s="17"/>
      <c r="F769" s="15"/>
      <c r="G769" s="15"/>
      <c r="H769" s="17"/>
    </row>
    <row r="770" ht="15.0" customHeight="1">
      <c r="A770" s="19"/>
      <c r="B770" s="15"/>
      <c r="C770" s="26" t="str">
        <f t="array" ref="C770">IFERROR(INDEX('Patrimônio'!$C$7:$C$1003,MATCH($B770,'Patrimônio'!$A$7:$A$1003,0)),"")</f>
        <v/>
      </c>
      <c r="D770" s="17"/>
      <c r="E770" s="17"/>
      <c r="F770" s="15"/>
      <c r="G770" s="15"/>
      <c r="H770" s="17"/>
    </row>
    <row r="771" ht="15.0" customHeight="1">
      <c r="A771" s="19"/>
      <c r="B771" s="15"/>
      <c r="C771" s="26" t="str">
        <f t="array" ref="C771">IFERROR(INDEX('Patrimônio'!$C$7:$C$1003,MATCH($B771,'Patrimônio'!$A$7:$A$1003,0)),"")</f>
        <v/>
      </c>
      <c r="D771" s="17"/>
      <c r="E771" s="17"/>
      <c r="F771" s="15"/>
      <c r="G771" s="15"/>
      <c r="H771" s="17"/>
    </row>
    <row r="772" ht="15.0" customHeight="1">
      <c r="A772" s="19"/>
      <c r="B772" s="15"/>
      <c r="C772" s="26" t="str">
        <f t="array" ref="C772">IFERROR(INDEX('Patrimônio'!$C$7:$C$1003,MATCH($B772,'Patrimônio'!$A$7:$A$1003,0)),"")</f>
        <v/>
      </c>
      <c r="D772" s="17"/>
      <c r="E772" s="17"/>
      <c r="F772" s="15"/>
      <c r="G772" s="15"/>
      <c r="H772" s="17"/>
    </row>
    <row r="773" ht="15.0" customHeight="1">
      <c r="A773" s="19"/>
      <c r="B773" s="15"/>
      <c r="C773" s="26" t="str">
        <f t="array" ref="C773">IFERROR(INDEX('Patrimônio'!$C$7:$C$1003,MATCH($B773,'Patrimônio'!$A$7:$A$1003,0)),"")</f>
        <v/>
      </c>
      <c r="D773" s="17"/>
      <c r="E773" s="17"/>
      <c r="F773" s="15"/>
      <c r="G773" s="15"/>
      <c r="H773" s="17"/>
    </row>
    <row r="774" ht="15.0" customHeight="1">
      <c r="A774" s="19"/>
      <c r="B774" s="15"/>
      <c r="C774" s="26" t="str">
        <f t="array" ref="C774">IFERROR(INDEX('Patrimônio'!$C$7:$C$1003,MATCH($B774,'Patrimônio'!$A$7:$A$1003,0)),"")</f>
        <v/>
      </c>
      <c r="D774" s="17"/>
      <c r="E774" s="17"/>
      <c r="F774" s="15"/>
      <c r="G774" s="15"/>
      <c r="H774" s="17"/>
    </row>
    <row r="775" ht="15.0" customHeight="1">
      <c r="A775" s="19"/>
      <c r="B775" s="15"/>
      <c r="C775" s="26" t="str">
        <f t="array" ref="C775">IFERROR(INDEX('Patrimônio'!$C$7:$C$1003,MATCH($B775,'Patrimônio'!$A$7:$A$1003,0)),"")</f>
        <v/>
      </c>
      <c r="D775" s="17"/>
      <c r="E775" s="17"/>
      <c r="F775" s="15"/>
      <c r="G775" s="15"/>
      <c r="H775" s="17"/>
    </row>
    <row r="776" ht="15.0" customHeight="1">
      <c r="A776" s="19"/>
      <c r="B776" s="15"/>
      <c r="C776" s="26" t="str">
        <f t="array" ref="C776">IFERROR(INDEX('Patrimônio'!$C$7:$C$1003,MATCH($B776,'Patrimônio'!$A$7:$A$1003,0)),"")</f>
        <v/>
      </c>
      <c r="D776" s="17"/>
      <c r="E776" s="17"/>
      <c r="F776" s="15"/>
      <c r="G776" s="15"/>
      <c r="H776" s="17"/>
    </row>
    <row r="777" ht="15.0" customHeight="1">
      <c r="A777" s="19"/>
      <c r="B777" s="15"/>
      <c r="C777" s="26" t="str">
        <f t="array" ref="C777">IFERROR(INDEX('Patrimônio'!$C$7:$C$1003,MATCH($B777,'Patrimônio'!$A$7:$A$1003,0)),"")</f>
        <v/>
      </c>
      <c r="D777" s="17"/>
      <c r="E777" s="17"/>
      <c r="F777" s="15"/>
      <c r="G777" s="15"/>
      <c r="H777" s="17"/>
    </row>
    <row r="778" ht="15.0" customHeight="1">
      <c r="A778" s="19"/>
      <c r="B778" s="15"/>
      <c r="C778" s="26" t="str">
        <f t="array" ref="C778">IFERROR(INDEX('Patrimônio'!$C$7:$C$1003,MATCH($B778,'Patrimônio'!$A$7:$A$1003,0)),"")</f>
        <v/>
      </c>
      <c r="D778" s="17"/>
      <c r="E778" s="17"/>
      <c r="F778" s="15"/>
      <c r="G778" s="15"/>
      <c r="H778" s="17"/>
    </row>
    <row r="779" ht="15.0" customHeight="1">
      <c r="A779" s="19"/>
      <c r="B779" s="15"/>
      <c r="C779" s="26" t="str">
        <f t="array" ref="C779">IFERROR(INDEX('Patrimônio'!$C$7:$C$1003,MATCH($B779,'Patrimônio'!$A$7:$A$1003,0)),"")</f>
        <v/>
      </c>
      <c r="D779" s="17"/>
      <c r="E779" s="17"/>
      <c r="F779" s="15"/>
      <c r="G779" s="15"/>
      <c r="H779" s="17"/>
    </row>
    <row r="780" ht="15.0" customHeight="1">
      <c r="A780" s="19"/>
      <c r="B780" s="15"/>
      <c r="C780" s="26" t="str">
        <f t="array" ref="C780">IFERROR(INDEX('Patrimônio'!$C$7:$C$1003,MATCH($B780,'Patrimônio'!$A$7:$A$1003,0)),"")</f>
        <v/>
      </c>
      <c r="D780" s="17"/>
      <c r="E780" s="17"/>
      <c r="F780" s="15"/>
      <c r="G780" s="15"/>
      <c r="H780" s="17"/>
    </row>
    <row r="781" ht="15.0" customHeight="1">
      <c r="A781" s="19"/>
      <c r="B781" s="15"/>
      <c r="C781" s="26" t="str">
        <f t="array" ref="C781">IFERROR(INDEX('Patrimônio'!$C$7:$C$1003,MATCH($B781,'Patrimônio'!$A$7:$A$1003,0)),"")</f>
        <v/>
      </c>
      <c r="D781" s="17"/>
      <c r="E781" s="17"/>
      <c r="F781" s="15"/>
      <c r="G781" s="15"/>
      <c r="H781" s="17"/>
    </row>
    <row r="782" ht="15.0" customHeight="1">
      <c r="A782" s="19"/>
      <c r="B782" s="15"/>
      <c r="C782" s="26" t="str">
        <f t="array" ref="C782">IFERROR(INDEX('Patrimônio'!$C$7:$C$1003,MATCH($B782,'Patrimônio'!$A$7:$A$1003,0)),"")</f>
        <v/>
      </c>
      <c r="D782" s="17"/>
      <c r="E782" s="17"/>
      <c r="F782" s="15"/>
      <c r="G782" s="15"/>
      <c r="H782" s="17"/>
    </row>
    <row r="783" ht="15.0" customHeight="1">
      <c r="A783" s="19"/>
      <c r="B783" s="15"/>
      <c r="C783" s="26" t="str">
        <f t="array" ref="C783">IFERROR(INDEX('Patrimônio'!$C$7:$C$1003,MATCH($B783,'Patrimônio'!$A$7:$A$1003,0)),"")</f>
        <v/>
      </c>
      <c r="D783" s="17"/>
      <c r="E783" s="17"/>
      <c r="F783" s="15"/>
      <c r="G783" s="15"/>
      <c r="H783" s="17"/>
    </row>
    <row r="784" ht="15.0" customHeight="1">
      <c r="A784" s="19"/>
      <c r="B784" s="15"/>
      <c r="C784" s="26" t="str">
        <f t="array" ref="C784">IFERROR(INDEX('Patrimônio'!$C$7:$C$1003,MATCH($B784,'Patrimônio'!$A$7:$A$1003,0)),"")</f>
        <v/>
      </c>
      <c r="D784" s="17"/>
      <c r="E784" s="17"/>
      <c r="F784" s="15"/>
      <c r="G784" s="15"/>
      <c r="H784" s="17"/>
    </row>
    <row r="785" ht="15.0" customHeight="1">
      <c r="A785" s="19"/>
      <c r="B785" s="15"/>
      <c r="C785" s="26" t="str">
        <f t="array" ref="C785">IFERROR(INDEX('Patrimônio'!$C$7:$C$1003,MATCH($B785,'Patrimônio'!$A$7:$A$1003,0)),"")</f>
        <v/>
      </c>
      <c r="D785" s="17"/>
      <c r="E785" s="17"/>
      <c r="F785" s="15"/>
      <c r="G785" s="15"/>
      <c r="H785" s="17"/>
    </row>
    <row r="786" ht="15.0" customHeight="1">
      <c r="A786" s="19"/>
      <c r="B786" s="15"/>
      <c r="C786" s="26" t="str">
        <f t="array" ref="C786">IFERROR(INDEX('Patrimônio'!$C$7:$C$1003,MATCH($B786,'Patrimônio'!$A$7:$A$1003,0)),"")</f>
        <v/>
      </c>
      <c r="D786" s="17"/>
      <c r="E786" s="17"/>
      <c r="F786" s="15"/>
      <c r="G786" s="15"/>
      <c r="H786" s="17"/>
    </row>
    <row r="787" ht="15.0" customHeight="1">
      <c r="A787" s="19"/>
      <c r="B787" s="15"/>
      <c r="C787" s="26" t="str">
        <f t="array" ref="C787">IFERROR(INDEX('Patrimônio'!$C$7:$C$1003,MATCH($B787,'Patrimônio'!$A$7:$A$1003,0)),"")</f>
        <v/>
      </c>
      <c r="D787" s="17"/>
      <c r="E787" s="17"/>
      <c r="F787" s="15"/>
      <c r="G787" s="15"/>
      <c r="H787" s="17"/>
    </row>
    <row r="788" ht="15.0" customHeight="1">
      <c r="A788" s="19"/>
      <c r="B788" s="15"/>
      <c r="C788" s="26" t="str">
        <f t="array" ref="C788">IFERROR(INDEX('Patrimônio'!$C$7:$C$1003,MATCH($B788,'Patrimônio'!$A$7:$A$1003,0)),"")</f>
        <v/>
      </c>
      <c r="D788" s="17"/>
      <c r="E788" s="17"/>
      <c r="F788" s="15"/>
      <c r="G788" s="15"/>
      <c r="H788" s="17"/>
    </row>
    <row r="789" ht="15.0" customHeight="1">
      <c r="A789" s="19"/>
      <c r="B789" s="15"/>
      <c r="C789" s="26" t="str">
        <f t="array" ref="C789">IFERROR(INDEX('Patrimônio'!$C$7:$C$1003,MATCH($B789,'Patrimônio'!$A$7:$A$1003,0)),"")</f>
        <v/>
      </c>
      <c r="D789" s="17"/>
      <c r="E789" s="17"/>
      <c r="F789" s="15"/>
      <c r="G789" s="15"/>
      <c r="H789" s="17"/>
    </row>
    <row r="790" ht="15.0" customHeight="1">
      <c r="A790" s="19"/>
      <c r="B790" s="15"/>
      <c r="C790" s="26" t="str">
        <f t="array" ref="C790">IFERROR(INDEX('Patrimônio'!$C$7:$C$1003,MATCH($B790,'Patrimônio'!$A$7:$A$1003,0)),"")</f>
        <v/>
      </c>
      <c r="D790" s="17"/>
      <c r="E790" s="17"/>
      <c r="F790" s="15"/>
      <c r="G790" s="15"/>
      <c r="H790" s="17"/>
    </row>
    <row r="791" ht="15.0" customHeight="1">
      <c r="A791" s="19"/>
      <c r="B791" s="15"/>
      <c r="C791" s="26" t="str">
        <f t="array" ref="C791">IFERROR(INDEX('Patrimônio'!$C$7:$C$1003,MATCH($B791,'Patrimônio'!$A$7:$A$1003,0)),"")</f>
        <v/>
      </c>
      <c r="D791" s="17"/>
      <c r="E791" s="17"/>
      <c r="F791" s="15"/>
      <c r="G791" s="15"/>
      <c r="H791" s="17"/>
    </row>
    <row r="792" ht="15.0" customHeight="1">
      <c r="A792" s="19"/>
      <c r="B792" s="15"/>
      <c r="C792" s="26" t="str">
        <f t="array" ref="C792">IFERROR(INDEX('Patrimônio'!$C$7:$C$1003,MATCH($B792,'Patrimônio'!$A$7:$A$1003,0)),"")</f>
        <v/>
      </c>
      <c r="D792" s="17"/>
      <c r="E792" s="17"/>
      <c r="F792" s="15"/>
      <c r="G792" s="15"/>
      <c r="H792" s="17"/>
    </row>
    <row r="793" ht="15.0" customHeight="1">
      <c r="A793" s="19"/>
      <c r="B793" s="15"/>
      <c r="C793" s="26" t="str">
        <f t="array" ref="C793">IFERROR(INDEX('Patrimônio'!$C$7:$C$1003,MATCH($B793,'Patrimônio'!$A$7:$A$1003,0)),"")</f>
        <v/>
      </c>
      <c r="D793" s="17"/>
      <c r="E793" s="17"/>
      <c r="F793" s="15"/>
      <c r="G793" s="15"/>
      <c r="H793" s="17"/>
    </row>
    <row r="794" ht="15.0" customHeight="1">
      <c r="A794" s="19"/>
      <c r="B794" s="15"/>
      <c r="C794" s="26" t="str">
        <f t="array" ref="C794">IFERROR(INDEX('Patrimônio'!$C$7:$C$1003,MATCH($B794,'Patrimônio'!$A$7:$A$1003,0)),"")</f>
        <v/>
      </c>
      <c r="D794" s="17"/>
      <c r="E794" s="17"/>
      <c r="F794" s="15"/>
      <c r="G794" s="15"/>
      <c r="H794" s="17"/>
    </row>
    <row r="795" ht="15.0" customHeight="1">
      <c r="A795" s="19"/>
      <c r="B795" s="15"/>
      <c r="C795" s="26" t="str">
        <f t="array" ref="C795">IFERROR(INDEX('Patrimônio'!$C$7:$C$1003,MATCH($B795,'Patrimônio'!$A$7:$A$1003,0)),"")</f>
        <v/>
      </c>
      <c r="D795" s="17"/>
      <c r="E795" s="17"/>
      <c r="F795" s="15"/>
      <c r="G795" s="15"/>
      <c r="H795" s="17"/>
    </row>
    <row r="796" ht="15.0" customHeight="1">
      <c r="A796" s="19"/>
      <c r="B796" s="15"/>
      <c r="C796" s="26" t="str">
        <f t="array" ref="C796">IFERROR(INDEX('Patrimônio'!$C$7:$C$1003,MATCH($B796,'Patrimônio'!$A$7:$A$1003,0)),"")</f>
        <v/>
      </c>
      <c r="D796" s="17"/>
      <c r="E796" s="17"/>
      <c r="F796" s="15"/>
      <c r="G796" s="15"/>
      <c r="H796" s="17"/>
    </row>
    <row r="797" ht="15.0" customHeight="1">
      <c r="A797" s="19"/>
      <c r="B797" s="15"/>
      <c r="C797" s="26" t="str">
        <f t="array" ref="C797">IFERROR(INDEX('Patrimônio'!$C$7:$C$1003,MATCH($B797,'Patrimônio'!$A$7:$A$1003,0)),"")</f>
        <v/>
      </c>
      <c r="D797" s="17"/>
      <c r="E797" s="17"/>
      <c r="F797" s="15"/>
      <c r="G797" s="15"/>
      <c r="H797" s="17"/>
    </row>
    <row r="798" ht="15.0" customHeight="1">
      <c r="A798" s="19"/>
      <c r="B798" s="15"/>
      <c r="C798" s="26" t="str">
        <f t="array" ref="C798">IFERROR(INDEX('Patrimônio'!$C$7:$C$1003,MATCH($B798,'Patrimônio'!$A$7:$A$1003,0)),"")</f>
        <v/>
      </c>
      <c r="D798" s="17"/>
      <c r="E798" s="17"/>
      <c r="F798" s="15"/>
      <c r="G798" s="15"/>
      <c r="H798" s="17"/>
    </row>
    <row r="799" ht="15.0" customHeight="1">
      <c r="A799" s="19"/>
      <c r="B799" s="15"/>
      <c r="C799" s="26" t="str">
        <f t="array" ref="C799">IFERROR(INDEX('Patrimônio'!$C$7:$C$1003,MATCH($B799,'Patrimônio'!$A$7:$A$1003,0)),"")</f>
        <v/>
      </c>
      <c r="D799" s="17"/>
      <c r="E799" s="17"/>
      <c r="F799" s="15"/>
      <c r="G799" s="15"/>
      <c r="H799" s="17"/>
    </row>
    <row r="800" ht="15.0" customHeight="1">
      <c r="A800" s="19"/>
      <c r="B800" s="15"/>
      <c r="C800" s="26" t="str">
        <f t="array" ref="C800">IFERROR(INDEX('Patrimônio'!$C$7:$C$1003,MATCH($B800,'Patrimônio'!$A$7:$A$1003,0)),"")</f>
        <v/>
      </c>
      <c r="D800" s="17"/>
      <c r="E800" s="17"/>
      <c r="F800" s="15"/>
      <c r="G800" s="15"/>
      <c r="H800" s="17"/>
    </row>
    <row r="801" ht="15.0" customHeight="1">
      <c r="A801" s="19"/>
      <c r="B801" s="15"/>
      <c r="C801" s="26" t="str">
        <f t="array" ref="C801">IFERROR(INDEX('Patrimônio'!$C$7:$C$1003,MATCH($B801,'Patrimônio'!$A$7:$A$1003,0)),"")</f>
        <v/>
      </c>
      <c r="D801" s="17"/>
      <c r="E801" s="17"/>
      <c r="F801" s="15"/>
      <c r="G801" s="15"/>
      <c r="H801" s="17"/>
    </row>
    <row r="802" ht="15.0" customHeight="1">
      <c r="A802" s="19"/>
      <c r="B802" s="15"/>
      <c r="C802" s="26" t="str">
        <f t="array" ref="C802">IFERROR(INDEX('Patrimônio'!$C$7:$C$1003,MATCH($B802,'Patrimônio'!$A$7:$A$1003,0)),"")</f>
        <v/>
      </c>
      <c r="D802" s="17"/>
      <c r="E802" s="17"/>
      <c r="F802" s="15"/>
      <c r="G802" s="15"/>
      <c r="H802" s="17"/>
    </row>
    <row r="803" ht="15.0" customHeight="1">
      <c r="A803" s="19"/>
      <c r="B803" s="15"/>
      <c r="C803" s="26" t="str">
        <f t="array" ref="C803">IFERROR(INDEX('Patrimônio'!$C$7:$C$1003,MATCH($B803,'Patrimônio'!$A$7:$A$1003,0)),"")</f>
        <v/>
      </c>
      <c r="D803" s="17"/>
      <c r="E803" s="17"/>
      <c r="F803" s="15"/>
      <c r="G803" s="15"/>
      <c r="H803" s="17"/>
    </row>
    <row r="804" ht="15.0" customHeight="1">
      <c r="A804" s="19"/>
      <c r="B804" s="15"/>
      <c r="C804" s="26" t="str">
        <f t="array" ref="C804">IFERROR(INDEX('Patrimônio'!$C$7:$C$1003,MATCH($B804,'Patrimônio'!$A$7:$A$1003,0)),"")</f>
        <v/>
      </c>
      <c r="D804" s="17"/>
      <c r="E804" s="17"/>
      <c r="F804" s="15"/>
      <c r="G804" s="15"/>
      <c r="H804" s="17"/>
    </row>
    <row r="805" ht="15.0" customHeight="1">
      <c r="A805" s="19"/>
      <c r="B805" s="15"/>
      <c r="C805" s="26" t="str">
        <f t="array" ref="C805">IFERROR(INDEX('Patrimônio'!$C$7:$C$1003,MATCH($B805,'Patrimônio'!$A$7:$A$1003,0)),"")</f>
        <v/>
      </c>
      <c r="D805" s="17"/>
      <c r="E805" s="17"/>
      <c r="F805" s="15"/>
      <c r="G805" s="15"/>
      <c r="H805" s="17"/>
    </row>
    <row r="806" ht="15.0" customHeight="1">
      <c r="A806" s="19"/>
      <c r="B806" s="15"/>
      <c r="C806" s="26" t="str">
        <f t="array" ref="C806">IFERROR(INDEX('Patrimônio'!$C$7:$C$1003,MATCH($B806,'Patrimônio'!$A$7:$A$1003,0)),"")</f>
        <v/>
      </c>
      <c r="D806" s="17"/>
      <c r="E806" s="17"/>
      <c r="F806" s="15"/>
      <c r="G806" s="15"/>
      <c r="H806" s="17"/>
    </row>
    <row r="807" ht="15.0" customHeight="1">
      <c r="A807" s="19"/>
      <c r="B807" s="15"/>
      <c r="C807" s="26" t="str">
        <f t="array" ref="C807">IFERROR(INDEX('Patrimônio'!$C$7:$C$1003,MATCH($B807,'Patrimônio'!$A$7:$A$1003,0)),"")</f>
        <v/>
      </c>
      <c r="D807" s="17"/>
      <c r="E807" s="17"/>
      <c r="F807" s="15"/>
      <c r="G807" s="15"/>
      <c r="H807" s="17"/>
    </row>
    <row r="808" ht="15.0" customHeight="1">
      <c r="A808" s="19"/>
      <c r="B808" s="15"/>
      <c r="C808" s="26" t="str">
        <f t="array" ref="C808">IFERROR(INDEX('Patrimônio'!$C$7:$C$1003,MATCH($B808,'Patrimônio'!$A$7:$A$1003,0)),"")</f>
        <v/>
      </c>
      <c r="D808" s="17"/>
      <c r="E808" s="17"/>
      <c r="F808" s="15"/>
      <c r="G808" s="15"/>
      <c r="H808" s="17"/>
    </row>
    <row r="809" ht="15.0" customHeight="1">
      <c r="A809" s="19"/>
      <c r="B809" s="15"/>
      <c r="C809" s="26" t="str">
        <f t="array" ref="C809">IFERROR(INDEX('Patrimônio'!$C$7:$C$1003,MATCH($B809,'Patrimônio'!$A$7:$A$1003,0)),"")</f>
        <v/>
      </c>
      <c r="D809" s="17"/>
      <c r="E809" s="17"/>
      <c r="F809" s="15"/>
      <c r="G809" s="15"/>
      <c r="H809" s="17"/>
    </row>
    <row r="810" ht="15.0" customHeight="1">
      <c r="A810" s="19"/>
      <c r="B810" s="15"/>
      <c r="C810" s="26" t="str">
        <f t="array" ref="C810">IFERROR(INDEX('Patrimônio'!$C$7:$C$1003,MATCH($B810,'Patrimônio'!$A$7:$A$1003,0)),"")</f>
        <v/>
      </c>
      <c r="D810" s="17"/>
      <c r="E810" s="17"/>
      <c r="F810" s="15"/>
      <c r="G810" s="15"/>
      <c r="H810" s="17"/>
    </row>
    <row r="811" ht="15.0" customHeight="1">
      <c r="A811" s="19"/>
      <c r="B811" s="15"/>
      <c r="C811" s="26" t="str">
        <f t="array" ref="C811">IFERROR(INDEX('Patrimônio'!$C$7:$C$1003,MATCH($B811,'Patrimônio'!$A$7:$A$1003,0)),"")</f>
        <v/>
      </c>
      <c r="D811" s="17"/>
      <c r="E811" s="17"/>
      <c r="F811" s="15"/>
      <c r="G811" s="15"/>
      <c r="H811" s="17"/>
    </row>
    <row r="812" ht="15.0" customHeight="1">
      <c r="A812" s="19"/>
      <c r="B812" s="15"/>
      <c r="C812" s="26" t="str">
        <f t="array" ref="C812">IFERROR(INDEX('Patrimônio'!$C$7:$C$1003,MATCH($B812,'Patrimônio'!$A$7:$A$1003,0)),"")</f>
        <v/>
      </c>
      <c r="D812" s="17"/>
      <c r="E812" s="17"/>
      <c r="F812" s="15"/>
      <c r="G812" s="15"/>
      <c r="H812" s="17"/>
    </row>
    <row r="813" ht="15.0" customHeight="1">
      <c r="A813" s="19"/>
      <c r="B813" s="15"/>
      <c r="C813" s="26" t="str">
        <f t="array" ref="C813">IFERROR(INDEX('Patrimônio'!$C$7:$C$1003,MATCH($B813,'Patrimônio'!$A$7:$A$1003,0)),"")</f>
        <v/>
      </c>
      <c r="D813" s="17"/>
      <c r="E813" s="17"/>
      <c r="F813" s="15"/>
      <c r="G813" s="15"/>
      <c r="H813" s="17"/>
    </row>
    <row r="814" ht="15.0" customHeight="1">
      <c r="A814" s="19"/>
      <c r="B814" s="15"/>
      <c r="C814" s="26" t="str">
        <f t="array" ref="C814">IFERROR(INDEX('Patrimônio'!$C$7:$C$1003,MATCH($B814,'Patrimônio'!$A$7:$A$1003,0)),"")</f>
        <v/>
      </c>
      <c r="D814" s="17"/>
      <c r="E814" s="17"/>
      <c r="F814" s="15"/>
      <c r="G814" s="15"/>
      <c r="H814" s="17"/>
    </row>
    <row r="815" ht="15.0" customHeight="1">
      <c r="A815" s="19"/>
      <c r="B815" s="15"/>
      <c r="C815" s="26" t="str">
        <f t="array" ref="C815">IFERROR(INDEX('Patrimônio'!$C$7:$C$1003,MATCH($B815,'Patrimônio'!$A$7:$A$1003,0)),"")</f>
        <v/>
      </c>
      <c r="D815" s="17"/>
      <c r="E815" s="17"/>
      <c r="F815" s="15"/>
      <c r="G815" s="15"/>
      <c r="H815" s="17"/>
    </row>
    <row r="816" ht="15.0" customHeight="1">
      <c r="A816" s="19"/>
      <c r="B816" s="15"/>
      <c r="C816" s="26" t="str">
        <f t="array" ref="C816">IFERROR(INDEX('Patrimônio'!$C$7:$C$1003,MATCH($B816,'Patrimônio'!$A$7:$A$1003,0)),"")</f>
        <v/>
      </c>
      <c r="D816" s="17"/>
      <c r="E816" s="17"/>
      <c r="F816" s="15"/>
      <c r="G816" s="15"/>
      <c r="H816" s="17"/>
    </row>
    <row r="817" ht="15.0" customHeight="1">
      <c r="A817" s="19"/>
      <c r="B817" s="15"/>
      <c r="C817" s="26" t="str">
        <f t="array" ref="C817">IFERROR(INDEX('Patrimônio'!$C$7:$C$1003,MATCH($B817,'Patrimônio'!$A$7:$A$1003,0)),"")</f>
        <v/>
      </c>
      <c r="D817" s="17"/>
      <c r="E817" s="17"/>
      <c r="F817" s="15"/>
      <c r="G817" s="15"/>
      <c r="H817" s="17"/>
    </row>
    <row r="818" ht="15.0" customHeight="1">
      <c r="A818" s="19"/>
      <c r="B818" s="15"/>
      <c r="C818" s="26" t="str">
        <f t="array" ref="C818">IFERROR(INDEX('Patrimônio'!$C$7:$C$1003,MATCH($B818,'Patrimônio'!$A$7:$A$1003,0)),"")</f>
        <v/>
      </c>
      <c r="D818" s="17"/>
      <c r="E818" s="17"/>
      <c r="F818" s="15"/>
      <c r="G818" s="15"/>
      <c r="H818" s="17"/>
    </row>
    <row r="819" ht="15.0" customHeight="1">
      <c r="A819" s="19"/>
      <c r="B819" s="15"/>
      <c r="C819" s="26" t="str">
        <f t="array" ref="C819">IFERROR(INDEX('Patrimônio'!$C$7:$C$1003,MATCH($B819,'Patrimônio'!$A$7:$A$1003,0)),"")</f>
        <v/>
      </c>
      <c r="D819" s="17"/>
      <c r="E819" s="17"/>
      <c r="F819" s="15"/>
      <c r="G819" s="15"/>
      <c r="H819" s="17"/>
    </row>
    <row r="820" ht="15.0" customHeight="1">
      <c r="A820" s="19"/>
      <c r="B820" s="15"/>
      <c r="C820" s="26" t="str">
        <f t="array" ref="C820">IFERROR(INDEX('Patrimônio'!$C$7:$C$1003,MATCH($B820,'Patrimônio'!$A$7:$A$1003,0)),"")</f>
        <v/>
      </c>
      <c r="D820" s="17"/>
      <c r="E820" s="17"/>
      <c r="F820" s="15"/>
      <c r="G820" s="15"/>
      <c r="H820" s="17"/>
    </row>
    <row r="821" ht="15.0" customHeight="1">
      <c r="A821" s="19"/>
      <c r="B821" s="15"/>
      <c r="C821" s="26" t="str">
        <f t="array" ref="C821">IFERROR(INDEX('Patrimônio'!$C$7:$C$1003,MATCH($B821,'Patrimônio'!$A$7:$A$1003,0)),"")</f>
        <v/>
      </c>
      <c r="D821" s="17"/>
      <c r="E821" s="17"/>
      <c r="F821" s="15"/>
      <c r="G821" s="15"/>
      <c r="H821" s="17"/>
    </row>
    <row r="822" ht="15.0" customHeight="1">
      <c r="A822" s="19"/>
      <c r="B822" s="15"/>
      <c r="C822" s="26" t="str">
        <f t="array" ref="C822">IFERROR(INDEX('Patrimônio'!$C$7:$C$1003,MATCH($B822,'Patrimônio'!$A$7:$A$1003,0)),"")</f>
        <v/>
      </c>
      <c r="D822" s="17"/>
      <c r="E822" s="17"/>
      <c r="F822" s="15"/>
      <c r="G822" s="15"/>
      <c r="H822" s="17"/>
    </row>
    <row r="823" ht="15.0" customHeight="1">
      <c r="A823" s="19"/>
      <c r="B823" s="15"/>
      <c r="C823" s="26" t="str">
        <f t="array" ref="C823">IFERROR(INDEX('Patrimônio'!$C$7:$C$1003,MATCH($B823,'Patrimônio'!$A$7:$A$1003,0)),"")</f>
        <v/>
      </c>
      <c r="D823" s="17"/>
      <c r="E823" s="17"/>
      <c r="F823" s="15"/>
      <c r="G823" s="15"/>
      <c r="H823" s="17"/>
    </row>
    <row r="824" ht="15.0" customHeight="1">
      <c r="A824" s="19"/>
      <c r="B824" s="15"/>
      <c r="C824" s="26" t="str">
        <f t="array" ref="C824">IFERROR(INDEX('Patrimônio'!$C$7:$C$1003,MATCH($B824,'Patrimônio'!$A$7:$A$1003,0)),"")</f>
        <v/>
      </c>
      <c r="D824" s="17"/>
      <c r="E824" s="17"/>
      <c r="F824" s="15"/>
      <c r="G824" s="15"/>
      <c r="H824" s="17"/>
    </row>
    <row r="825" ht="15.0" customHeight="1">
      <c r="A825" s="19"/>
      <c r="B825" s="15"/>
      <c r="C825" s="26" t="str">
        <f t="array" ref="C825">IFERROR(INDEX('Patrimônio'!$C$7:$C$1003,MATCH($B825,'Patrimônio'!$A$7:$A$1003,0)),"")</f>
        <v/>
      </c>
      <c r="D825" s="17"/>
      <c r="E825" s="17"/>
      <c r="F825" s="15"/>
      <c r="G825" s="15"/>
      <c r="H825" s="17"/>
    </row>
    <row r="826" ht="15.0" customHeight="1">
      <c r="A826" s="19"/>
      <c r="B826" s="15"/>
      <c r="C826" s="26" t="str">
        <f t="array" ref="C826">IFERROR(INDEX('Patrimônio'!$C$7:$C$1003,MATCH($B826,'Patrimônio'!$A$7:$A$1003,0)),"")</f>
        <v/>
      </c>
      <c r="D826" s="17"/>
      <c r="E826" s="17"/>
      <c r="F826" s="15"/>
      <c r="G826" s="15"/>
      <c r="H826" s="17"/>
    </row>
    <row r="827" ht="15.0" customHeight="1">
      <c r="A827" s="19"/>
      <c r="B827" s="15"/>
      <c r="C827" s="26" t="str">
        <f t="array" ref="C827">IFERROR(INDEX('Patrimônio'!$C$7:$C$1003,MATCH($B827,'Patrimônio'!$A$7:$A$1003,0)),"")</f>
        <v/>
      </c>
      <c r="D827" s="17"/>
      <c r="E827" s="17"/>
      <c r="F827" s="15"/>
      <c r="G827" s="15"/>
      <c r="H827" s="17"/>
    </row>
    <row r="828" ht="15.0" customHeight="1">
      <c r="A828" s="19"/>
      <c r="B828" s="15"/>
      <c r="C828" s="26" t="str">
        <f t="array" ref="C828">IFERROR(INDEX('Patrimônio'!$C$7:$C$1003,MATCH($B828,'Patrimônio'!$A$7:$A$1003,0)),"")</f>
        <v/>
      </c>
      <c r="D828" s="17"/>
      <c r="E828" s="17"/>
      <c r="F828" s="15"/>
      <c r="G828" s="15"/>
      <c r="H828" s="17"/>
    </row>
    <row r="829" ht="15.0" customHeight="1">
      <c r="A829" s="19"/>
      <c r="B829" s="15"/>
      <c r="C829" s="26" t="str">
        <f t="array" ref="C829">IFERROR(INDEX('Patrimônio'!$C$7:$C$1003,MATCH($B829,'Patrimônio'!$A$7:$A$1003,0)),"")</f>
        <v/>
      </c>
      <c r="D829" s="17"/>
      <c r="E829" s="17"/>
      <c r="F829" s="15"/>
      <c r="G829" s="15"/>
      <c r="H829" s="17"/>
    </row>
    <row r="830" ht="15.0" customHeight="1">
      <c r="A830" s="19"/>
      <c r="B830" s="15"/>
      <c r="C830" s="26" t="str">
        <f t="array" ref="C830">IFERROR(INDEX('Patrimônio'!$C$7:$C$1003,MATCH($B830,'Patrimônio'!$A$7:$A$1003,0)),"")</f>
        <v/>
      </c>
      <c r="D830" s="17"/>
      <c r="E830" s="17"/>
      <c r="F830" s="15"/>
      <c r="G830" s="15"/>
      <c r="H830" s="17"/>
    </row>
    <row r="831" ht="15.0" customHeight="1">
      <c r="A831" s="19"/>
      <c r="B831" s="15"/>
      <c r="C831" s="26" t="str">
        <f t="array" ref="C831">IFERROR(INDEX('Patrimônio'!$C$7:$C$1003,MATCH($B831,'Patrimônio'!$A$7:$A$1003,0)),"")</f>
        <v/>
      </c>
      <c r="D831" s="17"/>
      <c r="E831" s="17"/>
      <c r="F831" s="15"/>
      <c r="G831" s="15"/>
      <c r="H831" s="17"/>
    </row>
    <row r="832" ht="15.0" customHeight="1">
      <c r="A832" s="19"/>
      <c r="B832" s="15"/>
      <c r="C832" s="26" t="str">
        <f t="array" ref="C832">IFERROR(INDEX('Patrimônio'!$C$7:$C$1003,MATCH($B832,'Patrimônio'!$A$7:$A$1003,0)),"")</f>
        <v/>
      </c>
      <c r="D832" s="17"/>
      <c r="E832" s="17"/>
      <c r="F832" s="15"/>
      <c r="G832" s="15"/>
      <c r="H832" s="17"/>
    </row>
    <row r="833" ht="15.0" customHeight="1">
      <c r="A833" s="19"/>
      <c r="B833" s="15"/>
      <c r="C833" s="26" t="str">
        <f t="array" ref="C833">IFERROR(INDEX('Patrimônio'!$C$7:$C$1003,MATCH($B833,'Patrimônio'!$A$7:$A$1003,0)),"")</f>
        <v/>
      </c>
      <c r="D833" s="17"/>
      <c r="E833" s="17"/>
      <c r="F833" s="15"/>
      <c r="G833" s="15"/>
      <c r="H833" s="17"/>
    </row>
    <row r="834" ht="15.0" customHeight="1">
      <c r="A834" s="19"/>
      <c r="B834" s="15"/>
      <c r="C834" s="26" t="str">
        <f t="array" ref="C834">IFERROR(INDEX('Patrimônio'!$C$7:$C$1003,MATCH($B834,'Patrimônio'!$A$7:$A$1003,0)),"")</f>
        <v/>
      </c>
      <c r="D834" s="17"/>
      <c r="E834" s="17"/>
      <c r="F834" s="15"/>
      <c r="G834" s="15"/>
      <c r="H834" s="17"/>
    </row>
    <row r="835" ht="15.0" customHeight="1">
      <c r="A835" s="19"/>
      <c r="B835" s="15"/>
      <c r="C835" s="26" t="str">
        <f t="array" ref="C835">IFERROR(INDEX('Patrimônio'!$C$7:$C$1003,MATCH($B835,'Patrimônio'!$A$7:$A$1003,0)),"")</f>
        <v/>
      </c>
      <c r="D835" s="17"/>
      <c r="E835" s="17"/>
      <c r="F835" s="15"/>
      <c r="G835" s="15"/>
      <c r="H835" s="17"/>
    </row>
    <row r="836" ht="15.0" customHeight="1">
      <c r="A836" s="19"/>
      <c r="B836" s="15"/>
      <c r="C836" s="26" t="str">
        <f t="array" ref="C836">IFERROR(INDEX('Patrimônio'!$C$7:$C$1003,MATCH($B836,'Patrimônio'!$A$7:$A$1003,0)),"")</f>
        <v/>
      </c>
      <c r="D836" s="17"/>
      <c r="E836" s="17"/>
      <c r="F836" s="15"/>
      <c r="G836" s="15"/>
      <c r="H836" s="17"/>
    </row>
    <row r="837" ht="15.0" customHeight="1">
      <c r="A837" s="19"/>
      <c r="B837" s="15"/>
      <c r="C837" s="26" t="str">
        <f t="array" ref="C837">IFERROR(INDEX('Patrimônio'!$C$7:$C$1003,MATCH($B837,'Patrimônio'!$A$7:$A$1003,0)),"")</f>
        <v/>
      </c>
      <c r="D837" s="17"/>
      <c r="E837" s="17"/>
      <c r="F837" s="15"/>
      <c r="G837" s="15"/>
      <c r="H837" s="17"/>
    </row>
    <row r="838" ht="15.0" customHeight="1">
      <c r="A838" s="19"/>
      <c r="B838" s="15"/>
      <c r="C838" s="26" t="str">
        <f t="array" ref="C838">IFERROR(INDEX('Patrimônio'!$C$7:$C$1003,MATCH($B838,'Patrimônio'!$A$7:$A$1003,0)),"")</f>
        <v/>
      </c>
      <c r="D838" s="17"/>
      <c r="E838" s="17"/>
      <c r="F838" s="15"/>
      <c r="G838" s="15"/>
      <c r="H838" s="17"/>
    </row>
    <row r="839" ht="15.0" customHeight="1">
      <c r="A839" s="19"/>
      <c r="B839" s="15"/>
      <c r="C839" s="26" t="str">
        <f t="array" ref="C839">IFERROR(INDEX('Patrimônio'!$C$7:$C$1003,MATCH($B839,'Patrimônio'!$A$7:$A$1003,0)),"")</f>
        <v/>
      </c>
      <c r="D839" s="17"/>
      <c r="E839" s="17"/>
      <c r="F839" s="15"/>
      <c r="G839" s="15"/>
      <c r="H839" s="17"/>
    </row>
    <row r="840" ht="15.0" customHeight="1">
      <c r="A840" s="19"/>
      <c r="B840" s="15"/>
      <c r="C840" s="26" t="str">
        <f t="array" ref="C840">IFERROR(INDEX('Patrimônio'!$C$7:$C$1003,MATCH($B840,'Patrimônio'!$A$7:$A$1003,0)),"")</f>
        <v/>
      </c>
      <c r="D840" s="17"/>
      <c r="E840" s="17"/>
      <c r="F840" s="15"/>
      <c r="G840" s="15"/>
      <c r="H840" s="17"/>
    </row>
    <row r="841" ht="15.0" customHeight="1">
      <c r="A841" s="19"/>
      <c r="B841" s="15"/>
      <c r="C841" s="26" t="str">
        <f t="array" ref="C841">IFERROR(INDEX('Patrimônio'!$C$7:$C$1003,MATCH($B841,'Patrimônio'!$A$7:$A$1003,0)),"")</f>
        <v/>
      </c>
      <c r="D841" s="17"/>
      <c r="E841" s="17"/>
      <c r="F841" s="15"/>
      <c r="G841" s="15"/>
      <c r="H841" s="17"/>
    </row>
    <row r="842" ht="15.0" customHeight="1">
      <c r="A842" s="19"/>
      <c r="B842" s="15"/>
      <c r="C842" s="26" t="str">
        <f t="array" ref="C842">IFERROR(INDEX('Patrimônio'!$C$7:$C$1003,MATCH($B842,'Patrimônio'!$A$7:$A$1003,0)),"")</f>
        <v/>
      </c>
      <c r="D842" s="17"/>
      <c r="E842" s="17"/>
      <c r="F842" s="15"/>
      <c r="G842" s="15"/>
      <c r="H842" s="17"/>
    </row>
    <row r="843" ht="15.0" customHeight="1">
      <c r="A843" s="19"/>
      <c r="B843" s="15"/>
      <c r="C843" s="26" t="str">
        <f t="array" ref="C843">IFERROR(INDEX('Patrimônio'!$C$7:$C$1003,MATCH($B843,'Patrimônio'!$A$7:$A$1003,0)),"")</f>
        <v/>
      </c>
      <c r="D843" s="17"/>
      <c r="E843" s="17"/>
      <c r="F843" s="15"/>
      <c r="G843" s="15"/>
      <c r="H843" s="17"/>
    </row>
    <row r="844" ht="15.0" customHeight="1">
      <c r="A844" s="19"/>
      <c r="B844" s="15"/>
      <c r="C844" s="26" t="str">
        <f t="array" ref="C844">IFERROR(INDEX('Patrimônio'!$C$7:$C$1003,MATCH($B844,'Patrimônio'!$A$7:$A$1003,0)),"")</f>
        <v/>
      </c>
      <c r="D844" s="17"/>
      <c r="E844" s="17"/>
      <c r="F844" s="15"/>
      <c r="G844" s="15"/>
      <c r="H844" s="17"/>
    </row>
    <row r="845" ht="15.0" customHeight="1">
      <c r="A845" s="19"/>
      <c r="B845" s="15"/>
      <c r="C845" s="26" t="str">
        <f t="array" ref="C845">IFERROR(INDEX('Patrimônio'!$C$7:$C$1003,MATCH($B845,'Patrimônio'!$A$7:$A$1003,0)),"")</f>
        <v/>
      </c>
      <c r="D845" s="17"/>
      <c r="E845" s="17"/>
      <c r="F845" s="15"/>
      <c r="G845" s="15"/>
      <c r="H845" s="17"/>
    </row>
    <row r="846" ht="15.0" customHeight="1">
      <c r="A846" s="19"/>
      <c r="B846" s="15"/>
      <c r="C846" s="26" t="str">
        <f t="array" ref="C846">IFERROR(INDEX('Patrimônio'!$C$7:$C$1003,MATCH($B846,'Patrimônio'!$A$7:$A$1003,0)),"")</f>
        <v/>
      </c>
      <c r="D846" s="17"/>
      <c r="E846" s="17"/>
      <c r="F846" s="15"/>
      <c r="G846" s="15"/>
      <c r="H846" s="17"/>
    </row>
    <row r="847" ht="15.0" customHeight="1">
      <c r="A847" s="19"/>
      <c r="B847" s="15"/>
      <c r="C847" s="26" t="str">
        <f t="array" ref="C847">IFERROR(INDEX('Patrimônio'!$C$7:$C$1003,MATCH($B847,'Patrimônio'!$A$7:$A$1003,0)),"")</f>
        <v/>
      </c>
      <c r="D847" s="17"/>
      <c r="E847" s="17"/>
      <c r="F847" s="15"/>
      <c r="G847" s="15"/>
      <c r="H847" s="17"/>
    </row>
    <row r="848" ht="15.0" customHeight="1">
      <c r="A848" s="19"/>
      <c r="B848" s="15"/>
      <c r="C848" s="26" t="str">
        <f t="array" ref="C848">IFERROR(INDEX('Patrimônio'!$C$7:$C$1003,MATCH($B848,'Patrimônio'!$A$7:$A$1003,0)),"")</f>
        <v/>
      </c>
      <c r="D848" s="17"/>
      <c r="E848" s="17"/>
      <c r="F848" s="15"/>
      <c r="G848" s="15"/>
      <c r="H848" s="17"/>
    </row>
    <row r="849" ht="15.0" customHeight="1">
      <c r="A849" s="19"/>
      <c r="B849" s="15"/>
      <c r="C849" s="26" t="str">
        <f t="array" ref="C849">IFERROR(INDEX('Patrimônio'!$C$7:$C$1003,MATCH($B849,'Patrimônio'!$A$7:$A$1003,0)),"")</f>
        <v/>
      </c>
      <c r="D849" s="17"/>
      <c r="E849" s="17"/>
      <c r="F849" s="15"/>
      <c r="G849" s="15"/>
      <c r="H849" s="17"/>
    </row>
    <row r="850" ht="15.0" customHeight="1">
      <c r="A850" s="19"/>
      <c r="B850" s="15"/>
      <c r="C850" s="26" t="str">
        <f t="array" ref="C850">IFERROR(INDEX('Patrimônio'!$C$7:$C$1003,MATCH($B850,'Patrimônio'!$A$7:$A$1003,0)),"")</f>
        <v/>
      </c>
      <c r="D850" s="17"/>
      <c r="E850" s="17"/>
      <c r="F850" s="15"/>
      <c r="G850" s="15"/>
      <c r="H850" s="17"/>
    </row>
    <row r="851" ht="15.0" customHeight="1">
      <c r="A851" s="19"/>
      <c r="B851" s="15"/>
      <c r="C851" s="26" t="str">
        <f t="array" ref="C851">IFERROR(INDEX('Patrimônio'!$C$7:$C$1003,MATCH($B851,'Patrimônio'!$A$7:$A$1003,0)),"")</f>
        <v/>
      </c>
      <c r="D851" s="17"/>
      <c r="E851" s="17"/>
      <c r="F851" s="15"/>
      <c r="G851" s="15"/>
      <c r="H851" s="17"/>
    </row>
    <row r="852" ht="15.0" customHeight="1">
      <c r="A852" s="19"/>
      <c r="B852" s="15"/>
      <c r="C852" s="26" t="str">
        <f t="array" ref="C852">IFERROR(INDEX('Patrimônio'!$C$7:$C$1003,MATCH($B852,'Patrimônio'!$A$7:$A$1003,0)),"")</f>
        <v/>
      </c>
      <c r="D852" s="17"/>
      <c r="E852" s="17"/>
      <c r="F852" s="15"/>
      <c r="G852" s="15"/>
      <c r="H852" s="17"/>
    </row>
    <row r="853" ht="15.0" customHeight="1">
      <c r="A853" s="19"/>
      <c r="B853" s="15"/>
      <c r="C853" s="26" t="str">
        <f t="array" ref="C853">IFERROR(INDEX('Patrimônio'!$C$7:$C$1003,MATCH($B853,'Patrimônio'!$A$7:$A$1003,0)),"")</f>
        <v/>
      </c>
      <c r="D853" s="17"/>
      <c r="E853" s="17"/>
      <c r="F853" s="15"/>
      <c r="G853" s="15"/>
      <c r="H853" s="17"/>
    </row>
    <row r="854" ht="15.0" customHeight="1">
      <c r="A854" s="19"/>
      <c r="B854" s="15"/>
      <c r="C854" s="26" t="str">
        <f t="array" ref="C854">IFERROR(INDEX('Patrimônio'!$C$7:$C$1003,MATCH($B854,'Patrimônio'!$A$7:$A$1003,0)),"")</f>
        <v/>
      </c>
      <c r="D854" s="17"/>
      <c r="E854" s="17"/>
      <c r="F854" s="15"/>
      <c r="G854" s="15"/>
      <c r="H854" s="17"/>
    </row>
    <row r="855" ht="15.0" customHeight="1">
      <c r="A855" s="19"/>
      <c r="B855" s="15"/>
      <c r="C855" s="26" t="str">
        <f t="array" ref="C855">IFERROR(INDEX('Patrimônio'!$C$7:$C$1003,MATCH($B855,'Patrimônio'!$A$7:$A$1003,0)),"")</f>
        <v/>
      </c>
      <c r="D855" s="17"/>
      <c r="E855" s="17"/>
      <c r="F855" s="15"/>
      <c r="G855" s="15"/>
      <c r="H855" s="17"/>
    </row>
    <row r="856" ht="15.0" customHeight="1">
      <c r="A856" s="19"/>
      <c r="B856" s="15"/>
      <c r="C856" s="26" t="str">
        <f t="array" ref="C856">IFERROR(INDEX('Patrimônio'!$C$7:$C$1003,MATCH($B856,'Patrimônio'!$A$7:$A$1003,0)),"")</f>
        <v/>
      </c>
      <c r="D856" s="17"/>
      <c r="E856" s="17"/>
      <c r="F856" s="15"/>
      <c r="G856" s="15"/>
      <c r="H856" s="17"/>
    </row>
    <row r="857" ht="15.0" customHeight="1">
      <c r="A857" s="19"/>
      <c r="B857" s="15"/>
      <c r="C857" s="26" t="str">
        <f t="array" ref="C857">IFERROR(INDEX('Patrimônio'!$C$7:$C$1003,MATCH($B857,'Patrimônio'!$A$7:$A$1003,0)),"")</f>
        <v/>
      </c>
      <c r="D857" s="17"/>
      <c r="E857" s="17"/>
      <c r="F857" s="15"/>
      <c r="G857" s="15"/>
      <c r="H857" s="17"/>
    </row>
    <row r="858" ht="15.0" customHeight="1">
      <c r="A858" s="19"/>
      <c r="B858" s="15"/>
      <c r="C858" s="26" t="str">
        <f t="array" ref="C858">IFERROR(INDEX('Patrimônio'!$C$7:$C$1003,MATCH($B858,'Patrimônio'!$A$7:$A$1003,0)),"")</f>
        <v/>
      </c>
      <c r="D858" s="17"/>
      <c r="E858" s="17"/>
      <c r="F858" s="15"/>
      <c r="G858" s="15"/>
      <c r="H858" s="17"/>
    </row>
    <row r="859" ht="15.0" customHeight="1">
      <c r="A859" s="19"/>
      <c r="B859" s="15"/>
      <c r="C859" s="26" t="str">
        <f t="array" ref="C859">IFERROR(INDEX('Patrimônio'!$C$7:$C$1003,MATCH($B859,'Patrimônio'!$A$7:$A$1003,0)),"")</f>
        <v/>
      </c>
      <c r="D859" s="17"/>
      <c r="E859" s="17"/>
      <c r="F859" s="15"/>
      <c r="G859" s="15"/>
      <c r="H859" s="17"/>
    </row>
    <row r="860" ht="15.0" customHeight="1">
      <c r="A860" s="19"/>
      <c r="B860" s="15"/>
      <c r="C860" s="26" t="str">
        <f t="array" ref="C860">IFERROR(INDEX('Patrimônio'!$C$7:$C$1003,MATCH($B860,'Patrimônio'!$A$7:$A$1003,0)),"")</f>
        <v/>
      </c>
      <c r="D860" s="17"/>
      <c r="E860" s="17"/>
      <c r="F860" s="15"/>
      <c r="G860" s="15"/>
      <c r="H860" s="17"/>
    </row>
    <row r="861" ht="15.0" customHeight="1">
      <c r="A861" s="19"/>
      <c r="B861" s="15"/>
      <c r="C861" s="26" t="str">
        <f t="array" ref="C861">IFERROR(INDEX('Patrimônio'!$C$7:$C$1003,MATCH($B861,'Patrimônio'!$A$7:$A$1003,0)),"")</f>
        <v/>
      </c>
      <c r="D861" s="17"/>
      <c r="E861" s="17"/>
      <c r="F861" s="15"/>
      <c r="G861" s="15"/>
      <c r="H861" s="17"/>
    </row>
    <row r="862" ht="15.0" customHeight="1">
      <c r="A862" s="19"/>
      <c r="B862" s="15"/>
      <c r="C862" s="26" t="str">
        <f t="array" ref="C862">IFERROR(INDEX('Patrimônio'!$C$7:$C$1003,MATCH($B862,'Patrimônio'!$A$7:$A$1003,0)),"")</f>
        <v/>
      </c>
      <c r="D862" s="17"/>
      <c r="E862" s="17"/>
      <c r="F862" s="15"/>
      <c r="G862" s="15"/>
      <c r="H862" s="17"/>
    </row>
    <row r="863" ht="15.0" customHeight="1">
      <c r="A863" s="19"/>
      <c r="B863" s="15"/>
      <c r="C863" s="26" t="str">
        <f t="array" ref="C863">IFERROR(INDEX('Patrimônio'!$C$7:$C$1003,MATCH($B863,'Patrimônio'!$A$7:$A$1003,0)),"")</f>
        <v/>
      </c>
      <c r="D863" s="17"/>
      <c r="E863" s="17"/>
      <c r="F863" s="15"/>
      <c r="G863" s="15"/>
      <c r="H863" s="17"/>
    </row>
    <row r="864" ht="15.0" customHeight="1">
      <c r="A864" s="19"/>
      <c r="B864" s="15"/>
      <c r="C864" s="26" t="str">
        <f t="array" ref="C864">IFERROR(INDEX('Patrimônio'!$C$7:$C$1003,MATCH($B864,'Patrimônio'!$A$7:$A$1003,0)),"")</f>
        <v/>
      </c>
      <c r="D864" s="17"/>
      <c r="E864" s="17"/>
      <c r="F864" s="15"/>
      <c r="G864" s="15"/>
      <c r="H864" s="17"/>
    </row>
    <row r="865" ht="15.0" customHeight="1">
      <c r="A865" s="19"/>
      <c r="B865" s="15"/>
      <c r="C865" s="26" t="str">
        <f t="array" ref="C865">IFERROR(INDEX('Patrimônio'!$C$7:$C$1003,MATCH($B865,'Patrimônio'!$A$7:$A$1003,0)),"")</f>
        <v/>
      </c>
      <c r="D865" s="17"/>
      <c r="E865" s="17"/>
      <c r="F865" s="15"/>
      <c r="G865" s="15"/>
      <c r="H865" s="17"/>
    </row>
    <row r="866" ht="15.0" customHeight="1">
      <c r="A866" s="19"/>
      <c r="B866" s="15"/>
      <c r="C866" s="26" t="str">
        <f t="array" ref="C866">IFERROR(INDEX('Patrimônio'!$C$7:$C$1003,MATCH($B866,'Patrimônio'!$A$7:$A$1003,0)),"")</f>
        <v/>
      </c>
      <c r="D866" s="17"/>
      <c r="E866" s="17"/>
      <c r="F866" s="15"/>
      <c r="G866" s="15"/>
      <c r="H866" s="17"/>
    </row>
    <row r="867" ht="15.0" customHeight="1">
      <c r="A867" s="19"/>
      <c r="B867" s="15"/>
      <c r="C867" s="26" t="str">
        <f t="array" ref="C867">IFERROR(INDEX('Patrimônio'!$C$7:$C$1003,MATCH($B867,'Patrimônio'!$A$7:$A$1003,0)),"")</f>
        <v/>
      </c>
      <c r="D867" s="17"/>
      <c r="E867" s="17"/>
      <c r="F867" s="15"/>
      <c r="G867" s="15"/>
      <c r="H867" s="17"/>
    </row>
    <row r="868" ht="15.0" customHeight="1">
      <c r="A868" s="19"/>
      <c r="B868" s="15"/>
      <c r="C868" s="26" t="str">
        <f t="array" ref="C868">IFERROR(INDEX('Patrimônio'!$C$7:$C$1003,MATCH($B868,'Patrimônio'!$A$7:$A$1003,0)),"")</f>
        <v/>
      </c>
      <c r="D868" s="17"/>
      <c r="E868" s="17"/>
      <c r="F868" s="15"/>
      <c r="G868" s="15"/>
      <c r="H868" s="17"/>
    </row>
    <row r="869" ht="15.0" customHeight="1">
      <c r="A869" s="19"/>
      <c r="B869" s="15"/>
      <c r="C869" s="26" t="str">
        <f t="array" ref="C869">IFERROR(INDEX('Patrimônio'!$C$7:$C$1003,MATCH($B869,'Patrimônio'!$A$7:$A$1003,0)),"")</f>
        <v/>
      </c>
      <c r="D869" s="17"/>
      <c r="E869" s="17"/>
      <c r="F869" s="15"/>
      <c r="G869" s="15"/>
      <c r="H869" s="17"/>
    </row>
    <row r="870" ht="15.0" customHeight="1">
      <c r="A870" s="19"/>
      <c r="B870" s="15"/>
      <c r="C870" s="26" t="str">
        <f t="array" ref="C870">IFERROR(INDEX('Patrimônio'!$C$7:$C$1003,MATCH($B870,'Patrimônio'!$A$7:$A$1003,0)),"")</f>
        <v/>
      </c>
      <c r="D870" s="17"/>
      <c r="E870" s="17"/>
      <c r="F870" s="15"/>
      <c r="G870" s="15"/>
      <c r="H870" s="17"/>
    </row>
    <row r="871" ht="15.0" customHeight="1">
      <c r="A871" s="19"/>
      <c r="B871" s="15"/>
      <c r="C871" s="26" t="str">
        <f t="array" ref="C871">IFERROR(INDEX('Patrimônio'!$C$7:$C$1003,MATCH($B871,'Patrimônio'!$A$7:$A$1003,0)),"")</f>
        <v/>
      </c>
      <c r="D871" s="17"/>
      <c r="E871" s="17"/>
      <c r="F871" s="15"/>
      <c r="G871" s="15"/>
      <c r="H871" s="17"/>
    </row>
    <row r="872" ht="15.0" customHeight="1">
      <c r="A872" s="19"/>
      <c r="B872" s="15"/>
      <c r="C872" s="26" t="str">
        <f t="array" ref="C872">IFERROR(INDEX('Patrimônio'!$C$7:$C$1003,MATCH($B872,'Patrimônio'!$A$7:$A$1003,0)),"")</f>
        <v/>
      </c>
      <c r="D872" s="17"/>
      <c r="E872" s="17"/>
      <c r="F872" s="15"/>
      <c r="G872" s="15"/>
      <c r="H872" s="17"/>
    </row>
    <row r="873" ht="15.0" customHeight="1">
      <c r="A873" s="19"/>
      <c r="B873" s="15"/>
      <c r="C873" s="26" t="str">
        <f t="array" ref="C873">IFERROR(INDEX('Patrimônio'!$C$7:$C$1003,MATCH($B873,'Patrimônio'!$A$7:$A$1003,0)),"")</f>
        <v/>
      </c>
      <c r="D873" s="17"/>
      <c r="E873" s="17"/>
      <c r="F873" s="15"/>
      <c r="G873" s="15"/>
      <c r="H873" s="17"/>
    </row>
    <row r="874" ht="15.0" customHeight="1">
      <c r="A874" s="19"/>
      <c r="B874" s="15"/>
      <c r="C874" s="26" t="str">
        <f t="array" ref="C874">IFERROR(INDEX('Patrimônio'!$C$7:$C$1003,MATCH($B874,'Patrimônio'!$A$7:$A$1003,0)),"")</f>
        <v/>
      </c>
      <c r="D874" s="17"/>
      <c r="E874" s="17"/>
      <c r="F874" s="15"/>
      <c r="G874" s="15"/>
      <c r="H874" s="17"/>
    </row>
    <row r="875" ht="15.0" customHeight="1">
      <c r="A875" s="19"/>
      <c r="B875" s="15"/>
      <c r="C875" s="26" t="str">
        <f t="array" ref="C875">IFERROR(INDEX('Patrimônio'!$C$7:$C$1003,MATCH($B875,'Patrimônio'!$A$7:$A$1003,0)),"")</f>
        <v/>
      </c>
      <c r="D875" s="17"/>
      <c r="E875" s="17"/>
      <c r="F875" s="15"/>
      <c r="G875" s="15"/>
      <c r="H875" s="17"/>
    </row>
    <row r="876" ht="15.0" customHeight="1">
      <c r="A876" s="19"/>
      <c r="B876" s="15"/>
      <c r="C876" s="26" t="str">
        <f t="array" ref="C876">IFERROR(INDEX('Patrimônio'!$C$7:$C$1003,MATCH($B876,'Patrimônio'!$A$7:$A$1003,0)),"")</f>
        <v/>
      </c>
      <c r="D876" s="17"/>
      <c r="E876" s="17"/>
      <c r="F876" s="15"/>
      <c r="G876" s="15"/>
      <c r="H876" s="17"/>
    </row>
    <row r="877" ht="15.0" customHeight="1">
      <c r="A877" s="19"/>
      <c r="B877" s="15"/>
      <c r="C877" s="26" t="str">
        <f t="array" ref="C877">IFERROR(INDEX('Patrimônio'!$C$7:$C$1003,MATCH($B877,'Patrimônio'!$A$7:$A$1003,0)),"")</f>
        <v/>
      </c>
      <c r="D877" s="17"/>
      <c r="E877" s="17"/>
      <c r="F877" s="15"/>
      <c r="G877" s="15"/>
      <c r="H877" s="17"/>
    </row>
    <row r="878" ht="15.0" customHeight="1">
      <c r="A878" s="19"/>
      <c r="B878" s="15"/>
      <c r="C878" s="26" t="str">
        <f t="array" ref="C878">IFERROR(INDEX('Patrimônio'!$C$7:$C$1003,MATCH($B878,'Patrimônio'!$A$7:$A$1003,0)),"")</f>
        <v/>
      </c>
      <c r="D878" s="17"/>
      <c r="E878" s="17"/>
      <c r="F878" s="15"/>
      <c r="G878" s="15"/>
      <c r="H878" s="17"/>
    </row>
    <row r="879" ht="15.0" customHeight="1">
      <c r="A879" s="19"/>
      <c r="B879" s="15"/>
      <c r="C879" s="26" t="str">
        <f t="array" ref="C879">IFERROR(INDEX('Patrimônio'!$C$7:$C$1003,MATCH($B879,'Patrimônio'!$A$7:$A$1003,0)),"")</f>
        <v/>
      </c>
      <c r="D879" s="17"/>
      <c r="E879" s="17"/>
      <c r="F879" s="15"/>
      <c r="G879" s="15"/>
      <c r="H879" s="17"/>
    </row>
    <row r="880" ht="15.0" customHeight="1">
      <c r="A880" s="19"/>
      <c r="B880" s="15"/>
      <c r="C880" s="26" t="str">
        <f t="array" ref="C880">IFERROR(INDEX('Patrimônio'!$C$7:$C$1003,MATCH($B880,'Patrimônio'!$A$7:$A$1003,0)),"")</f>
        <v/>
      </c>
      <c r="D880" s="17"/>
      <c r="E880" s="17"/>
      <c r="F880" s="15"/>
      <c r="G880" s="15"/>
      <c r="H880" s="17"/>
    </row>
    <row r="881" ht="15.0" customHeight="1">
      <c r="A881" s="19"/>
      <c r="B881" s="15"/>
      <c r="C881" s="26" t="str">
        <f t="array" ref="C881">IFERROR(INDEX('Patrimônio'!$C$7:$C$1003,MATCH($B881,'Patrimônio'!$A$7:$A$1003,0)),"")</f>
        <v/>
      </c>
      <c r="D881" s="17"/>
      <c r="E881" s="17"/>
      <c r="F881" s="15"/>
      <c r="G881" s="15"/>
      <c r="H881" s="17"/>
    </row>
    <row r="882" ht="15.0" customHeight="1">
      <c r="A882" s="19"/>
      <c r="B882" s="15"/>
      <c r="C882" s="26" t="str">
        <f t="array" ref="C882">IFERROR(INDEX('Patrimônio'!$C$7:$C$1003,MATCH($B882,'Patrimônio'!$A$7:$A$1003,0)),"")</f>
        <v/>
      </c>
      <c r="D882" s="17"/>
      <c r="E882" s="17"/>
      <c r="F882" s="15"/>
      <c r="G882" s="15"/>
      <c r="H882" s="17"/>
    </row>
    <row r="883" ht="15.0" customHeight="1">
      <c r="A883" s="19"/>
      <c r="B883" s="15"/>
      <c r="C883" s="26" t="str">
        <f t="array" ref="C883">IFERROR(INDEX('Patrimônio'!$C$7:$C$1003,MATCH($B883,'Patrimônio'!$A$7:$A$1003,0)),"")</f>
        <v/>
      </c>
      <c r="D883" s="17"/>
      <c r="E883" s="17"/>
      <c r="F883" s="15"/>
      <c r="G883" s="15"/>
      <c r="H883" s="17"/>
    </row>
    <row r="884" ht="15.0" customHeight="1">
      <c r="A884" s="19"/>
      <c r="B884" s="15"/>
      <c r="C884" s="26" t="str">
        <f t="array" ref="C884">IFERROR(INDEX('Patrimônio'!$C$7:$C$1003,MATCH($B884,'Patrimônio'!$A$7:$A$1003,0)),"")</f>
        <v/>
      </c>
      <c r="D884" s="17"/>
      <c r="E884" s="17"/>
      <c r="F884" s="15"/>
      <c r="G884" s="15"/>
      <c r="H884" s="17"/>
    </row>
    <row r="885" ht="15.0" customHeight="1">
      <c r="A885" s="19"/>
      <c r="B885" s="15"/>
      <c r="C885" s="26" t="str">
        <f t="array" ref="C885">IFERROR(INDEX('Patrimônio'!$C$7:$C$1003,MATCH($B885,'Patrimônio'!$A$7:$A$1003,0)),"")</f>
        <v/>
      </c>
      <c r="D885" s="17"/>
      <c r="E885" s="17"/>
      <c r="F885" s="15"/>
      <c r="G885" s="15"/>
      <c r="H885" s="17"/>
    </row>
    <row r="886" ht="15.0" customHeight="1">
      <c r="A886" s="19"/>
      <c r="B886" s="15"/>
      <c r="C886" s="26" t="str">
        <f t="array" ref="C886">IFERROR(INDEX('Patrimônio'!$C$7:$C$1003,MATCH($B886,'Patrimônio'!$A$7:$A$1003,0)),"")</f>
        <v/>
      </c>
      <c r="D886" s="17"/>
      <c r="E886" s="17"/>
      <c r="F886" s="15"/>
      <c r="G886" s="15"/>
      <c r="H886" s="17"/>
    </row>
    <row r="887" ht="15.0" customHeight="1">
      <c r="A887" s="19"/>
      <c r="B887" s="15"/>
      <c r="C887" s="26" t="str">
        <f t="array" ref="C887">IFERROR(INDEX('Patrimônio'!$C$7:$C$1003,MATCH($B887,'Patrimônio'!$A$7:$A$1003,0)),"")</f>
        <v/>
      </c>
      <c r="D887" s="17"/>
      <c r="E887" s="17"/>
      <c r="F887" s="15"/>
      <c r="G887" s="15"/>
      <c r="H887" s="17"/>
    </row>
    <row r="888" ht="15.0" customHeight="1">
      <c r="A888" s="19"/>
      <c r="B888" s="15"/>
      <c r="C888" s="26" t="str">
        <f t="array" ref="C888">IFERROR(INDEX('Patrimônio'!$C$7:$C$1003,MATCH($B888,'Patrimônio'!$A$7:$A$1003,0)),"")</f>
        <v/>
      </c>
      <c r="D888" s="17"/>
      <c r="E888" s="17"/>
      <c r="F888" s="15"/>
      <c r="G888" s="15"/>
      <c r="H888" s="17"/>
    </row>
    <row r="889" ht="15.0" customHeight="1">
      <c r="A889" s="19"/>
      <c r="B889" s="15"/>
      <c r="C889" s="26" t="str">
        <f t="array" ref="C889">IFERROR(INDEX('Patrimônio'!$C$7:$C$1003,MATCH($B889,'Patrimônio'!$A$7:$A$1003,0)),"")</f>
        <v/>
      </c>
      <c r="D889" s="17"/>
      <c r="E889" s="17"/>
      <c r="F889" s="15"/>
      <c r="G889" s="15"/>
      <c r="H889" s="17"/>
    </row>
    <row r="890" ht="15.0" customHeight="1">
      <c r="A890" s="19"/>
      <c r="B890" s="15"/>
      <c r="C890" s="26" t="str">
        <f t="array" ref="C890">IFERROR(INDEX('Patrimônio'!$C$7:$C$1003,MATCH($B890,'Patrimônio'!$A$7:$A$1003,0)),"")</f>
        <v/>
      </c>
      <c r="D890" s="17"/>
      <c r="E890" s="17"/>
      <c r="F890" s="15"/>
      <c r="G890" s="15"/>
      <c r="H890" s="17"/>
    </row>
    <row r="891" ht="15.0" customHeight="1">
      <c r="A891" s="19"/>
      <c r="B891" s="15"/>
      <c r="C891" s="26" t="str">
        <f t="array" ref="C891">IFERROR(INDEX('Patrimônio'!$C$7:$C$1003,MATCH($B891,'Patrimônio'!$A$7:$A$1003,0)),"")</f>
        <v/>
      </c>
      <c r="D891" s="17"/>
      <c r="E891" s="17"/>
      <c r="F891" s="15"/>
      <c r="G891" s="15"/>
      <c r="H891" s="17"/>
    </row>
    <row r="892" ht="15.0" customHeight="1">
      <c r="A892" s="19"/>
      <c r="B892" s="15"/>
      <c r="C892" s="26" t="str">
        <f t="array" ref="C892">IFERROR(INDEX('Patrimônio'!$C$7:$C$1003,MATCH($B892,'Patrimônio'!$A$7:$A$1003,0)),"")</f>
        <v/>
      </c>
      <c r="D892" s="17"/>
      <c r="E892" s="17"/>
      <c r="F892" s="15"/>
      <c r="G892" s="15"/>
      <c r="H892" s="17"/>
    </row>
    <row r="893" ht="15.0" customHeight="1">
      <c r="A893" s="19"/>
      <c r="B893" s="15"/>
      <c r="C893" s="26" t="str">
        <f t="array" ref="C893">IFERROR(INDEX('Patrimônio'!$C$7:$C$1003,MATCH($B893,'Patrimônio'!$A$7:$A$1003,0)),"")</f>
        <v/>
      </c>
      <c r="D893" s="17"/>
      <c r="E893" s="17"/>
      <c r="F893" s="15"/>
      <c r="G893" s="15"/>
      <c r="H893" s="17"/>
    </row>
    <row r="894" ht="15.0" customHeight="1">
      <c r="A894" s="19"/>
      <c r="B894" s="15"/>
      <c r="C894" s="26" t="str">
        <f t="array" ref="C894">IFERROR(INDEX('Patrimônio'!$C$7:$C$1003,MATCH($B894,'Patrimônio'!$A$7:$A$1003,0)),"")</f>
        <v/>
      </c>
      <c r="D894" s="17"/>
      <c r="E894" s="17"/>
      <c r="F894" s="15"/>
      <c r="G894" s="15"/>
      <c r="H894" s="17"/>
    </row>
    <row r="895" ht="15.0" customHeight="1">
      <c r="A895" s="19"/>
      <c r="B895" s="15"/>
      <c r="C895" s="26" t="str">
        <f t="array" ref="C895">IFERROR(INDEX('Patrimônio'!$C$7:$C$1003,MATCH($B895,'Patrimônio'!$A$7:$A$1003,0)),"")</f>
        <v/>
      </c>
      <c r="D895" s="17"/>
      <c r="E895" s="17"/>
      <c r="F895" s="15"/>
      <c r="G895" s="15"/>
      <c r="H895" s="17"/>
    </row>
    <row r="896" ht="15.0" customHeight="1">
      <c r="A896" s="19"/>
      <c r="B896" s="15"/>
      <c r="C896" s="26" t="str">
        <f t="array" ref="C896">IFERROR(INDEX('Patrimônio'!$C$7:$C$1003,MATCH($B896,'Patrimônio'!$A$7:$A$1003,0)),"")</f>
        <v/>
      </c>
      <c r="D896" s="17"/>
      <c r="E896" s="17"/>
      <c r="F896" s="15"/>
      <c r="G896" s="15"/>
      <c r="H896" s="17"/>
    </row>
    <row r="897" ht="15.0" customHeight="1">
      <c r="A897" s="19"/>
      <c r="B897" s="15"/>
      <c r="C897" s="26" t="str">
        <f t="array" ref="C897">IFERROR(INDEX('Patrimônio'!$C$7:$C$1003,MATCH($B897,'Patrimônio'!$A$7:$A$1003,0)),"")</f>
        <v/>
      </c>
      <c r="D897" s="17"/>
      <c r="E897" s="17"/>
      <c r="F897" s="15"/>
      <c r="G897" s="15"/>
      <c r="H897" s="17"/>
    </row>
    <row r="898" ht="15.0" customHeight="1">
      <c r="A898" s="19"/>
      <c r="B898" s="15"/>
      <c r="C898" s="26" t="str">
        <f t="array" ref="C898">IFERROR(INDEX('Patrimônio'!$C$7:$C$1003,MATCH($B898,'Patrimônio'!$A$7:$A$1003,0)),"")</f>
        <v/>
      </c>
      <c r="D898" s="17"/>
      <c r="E898" s="17"/>
      <c r="F898" s="15"/>
      <c r="G898" s="15"/>
      <c r="H898" s="17"/>
    </row>
    <row r="899" ht="15.0" customHeight="1">
      <c r="A899" s="19"/>
      <c r="B899" s="15"/>
      <c r="C899" s="26" t="str">
        <f t="array" ref="C899">IFERROR(INDEX('Patrimônio'!$C$7:$C$1003,MATCH($B899,'Patrimônio'!$A$7:$A$1003,0)),"")</f>
        <v/>
      </c>
      <c r="D899" s="17"/>
      <c r="E899" s="17"/>
      <c r="F899" s="15"/>
      <c r="G899" s="15"/>
      <c r="H899" s="17"/>
    </row>
    <row r="900" ht="15.0" customHeight="1">
      <c r="A900" s="19"/>
      <c r="B900" s="15"/>
      <c r="C900" s="26" t="str">
        <f t="array" ref="C900">IFERROR(INDEX('Patrimônio'!$C$7:$C$1003,MATCH($B900,'Patrimônio'!$A$7:$A$1003,0)),"")</f>
        <v/>
      </c>
      <c r="D900" s="17"/>
      <c r="E900" s="17"/>
      <c r="F900" s="15"/>
      <c r="G900" s="15"/>
      <c r="H900" s="17"/>
    </row>
    <row r="901" ht="15.0" customHeight="1">
      <c r="A901" s="19"/>
      <c r="B901" s="15"/>
      <c r="C901" s="26" t="str">
        <f t="array" ref="C901">IFERROR(INDEX('Patrimônio'!$C$7:$C$1003,MATCH($B901,'Patrimônio'!$A$7:$A$1003,0)),"")</f>
        <v/>
      </c>
      <c r="D901" s="17"/>
      <c r="E901" s="17"/>
      <c r="F901" s="15"/>
      <c r="G901" s="15"/>
      <c r="H901" s="17"/>
    </row>
    <row r="902" ht="15.0" customHeight="1">
      <c r="A902" s="19"/>
      <c r="B902" s="15"/>
      <c r="C902" s="26" t="str">
        <f t="array" ref="C902">IFERROR(INDEX('Patrimônio'!$C$7:$C$1003,MATCH($B902,'Patrimônio'!$A$7:$A$1003,0)),"")</f>
        <v/>
      </c>
      <c r="D902" s="17"/>
      <c r="E902" s="17"/>
      <c r="F902" s="15"/>
      <c r="G902" s="15"/>
      <c r="H902" s="17"/>
    </row>
    <row r="903" ht="15.0" customHeight="1">
      <c r="A903" s="19"/>
      <c r="B903" s="15"/>
      <c r="C903" s="26" t="str">
        <f t="array" ref="C903">IFERROR(INDEX('Patrimônio'!$C$7:$C$1003,MATCH($B903,'Patrimônio'!$A$7:$A$1003,0)),"")</f>
        <v/>
      </c>
      <c r="D903" s="17"/>
      <c r="E903" s="17"/>
      <c r="F903" s="15"/>
      <c r="G903" s="15"/>
      <c r="H903" s="17"/>
    </row>
    <row r="904" ht="15.0" customHeight="1">
      <c r="A904" s="19"/>
      <c r="B904" s="15"/>
      <c r="C904" s="26" t="str">
        <f t="array" ref="C904">IFERROR(INDEX('Patrimônio'!$C$7:$C$1003,MATCH($B904,'Patrimônio'!$A$7:$A$1003,0)),"")</f>
        <v/>
      </c>
      <c r="D904" s="17"/>
      <c r="E904" s="17"/>
      <c r="F904" s="15"/>
      <c r="G904" s="15"/>
      <c r="H904" s="17"/>
    </row>
    <row r="905" ht="15.0" customHeight="1">
      <c r="A905" s="19"/>
      <c r="B905" s="15"/>
      <c r="C905" s="26" t="str">
        <f t="array" ref="C905">IFERROR(INDEX('Patrimônio'!$C$7:$C$1003,MATCH($B905,'Patrimônio'!$A$7:$A$1003,0)),"")</f>
        <v/>
      </c>
      <c r="D905" s="17"/>
      <c r="E905" s="17"/>
      <c r="F905" s="15"/>
      <c r="G905" s="15"/>
      <c r="H905" s="17"/>
    </row>
    <row r="906" ht="15.0" customHeight="1">
      <c r="A906" s="19"/>
      <c r="B906" s="15"/>
      <c r="C906" s="26" t="str">
        <f t="array" ref="C906">IFERROR(INDEX('Patrimônio'!$C$7:$C$1003,MATCH($B906,'Patrimônio'!$A$7:$A$1003,0)),"")</f>
        <v/>
      </c>
      <c r="D906" s="17"/>
      <c r="E906" s="17"/>
      <c r="F906" s="15"/>
      <c r="G906" s="15"/>
      <c r="H906" s="17"/>
    </row>
    <row r="907" ht="15.0" customHeight="1">
      <c r="A907" s="19"/>
      <c r="B907" s="15"/>
      <c r="C907" s="26" t="str">
        <f t="array" ref="C907">IFERROR(INDEX('Patrimônio'!$C$7:$C$1003,MATCH($B907,'Patrimônio'!$A$7:$A$1003,0)),"")</f>
        <v/>
      </c>
      <c r="D907" s="17"/>
      <c r="E907" s="17"/>
      <c r="F907" s="15"/>
      <c r="G907" s="15"/>
      <c r="H907" s="17"/>
    </row>
    <row r="908" ht="15.0" customHeight="1">
      <c r="A908" s="19"/>
      <c r="B908" s="15"/>
      <c r="C908" s="26" t="str">
        <f t="array" ref="C908">IFERROR(INDEX('Patrimônio'!$C$7:$C$1003,MATCH($B908,'Patrimônio'!$A$7:$A$1003,0)),"")</f>
        <v/>
      </c>
      <c r="D908" s="17"/>
      <c r="E908" s="17"/>
      <c r="F908" s="15"/>
      <c r="G908" s="15"/>
      <c r="H908" s="17"/>
    </row>
    <row r="909" ht="15.0" customHeight="1">
      <c r="A909" s="19"/>
      <c r="B909" s="15"/>
      <c r="C909" s="26" t="str">
        <f t="array" ref="C909">IFERROR(INDEX('Patrimônio'!$C$7:$C$1003,MATCH($B909,'Patrimônio'!$A$7:$A$1003,0)),"")</f>
        <v/>
      </c>
      <c r="D909" s="17"/>
      <c r="E909" s="17"/>
      <c r="F909" s="15"/>
      <c r="G909" s="15"/>
      <c r="H909" s="17"/>
    </row>
    <row r="910" ht="15.0" customHeight="1">
      <c r="A910" s="19"/>
      <c r="B910" s="15"/>
      <c r="C910" s="26" t="str">
        <f t="array" ref="C910">IFERROR(INDEX('Patrimônio'!$C$7:$C$1003,MATCH($B910,'Patrimônio'!$A$7:$A$1003,0)),"")</f>
        <v/>
      </c>
      <c r="D910" s="17"/>
      <c r="E910" s="17"/>
      <c r="F910" s="15"/>
      <c r="G910" s="15"/>
      <c r="H910" s="17"/>
    </row>
    <row r="911" ht="15.0" customHeight="1">
      <c r="A911" s="19"/>
      <c r="B911" s="15"/>
      <c r="C911" s="26" t="str">
        <f t="array" ref="C911">IFERROR(INDEX('Patrimônio'!$C$7:$C$1003,MATCH($B911,'Patrimônio'!$A$7:$A$1003,0)),"")</f>
        <v/>
      </c>
      <c r="D911" s="17"/>
      <c r="E911" s="17"/>
      <c r="F911" s="15"/>
      <c r="G911" s="15"/>
      <c r="H911" s="17"/>
    </row>
    <row r="912" ht="15.0" customHeight="1">
      <c r="A912" s="19"/>
      <c r="B912" s="15"/>
      <c r="C912" s="26" t="str">
        <f t="array" ref="C912">IFERROR(INDEX('Patrimônio'!$C$7:$C$1003,MATCH($B912,'Patrimônio'!$A$7:$A$1003,0)),"")</f>
        <v/>
      </c>
      <c r="D912" s="17"/>
      <c r="E912" s="17"/>
      <c r="F912" s="15"/>
      <c r="G912" s="15"/>
      <c r="H912" s="17"/>
    </row>
    <row r="913" ht="15.0" customHeight="1">
      <c r="A913" s="19"/>
      <c r="B913" s="15"/>
      <c r="C913" s="26" t="str">
        <f t="array" ref="C913">IFERROR(INDEX('Patrimônio'!$C$7:$C$1003,MATCH($B913,'Patrimônio'!$A$7:$A$1003,0)),"")</f>
        <v/>
      </c>
      <c r="D913" s="17"/>
      <c r="E913" s="17"/>
      <c r="F913" s="15"/>
      <c r="G913" s="15"/>
      <c r="H913" s="17"/>
    </row>
    <row r="914" ht="15.0" customHeight="1">
      <c r="A914" s="19"/>
      <c r="B914" s="15"/>
      <c r="C914" s="26" t="str">
        <f t="array" ref="C914">IFERROR(INDEX('Patrimônio'!$C$7:$C$1003,MATCH($B914,'Patrimônio'!$A$7:$A$1003,0)),"")</f>
        <v/>
      </c>
      <c r="D914" s="17"/>
      <c r="E914" s="17"/>
      <c r="F914" s="15"/>
      <c r="G914" s="15"/>
      <c r="H914" s="17"/>
    </row>
    <row r="915" ht="15.0" customHeight="1">
      <c r="A915" s="19"/>
      <c r="B915" s="15"/>
      <c r="C915" s="26" t="str">
        <f t="array" ref="C915">IFERROR(INDEX('Patrimônio'!$C$7:$C$1003,MATCH($B915,'Patrimônio'!$A$7:$A$1003,0)),"")</f>
        <v/>
      </c>
      <c r="D915" s="17"/>
      <c r="E915" s="17"/>
      <c r="F915" s="15"/>
      <c r="G915" s="15"/>
      <c r="H915" s="17"/>
    </row>
    <row r="916" ht="15.0" customHeight="1">
      <c r="A916" s="19"/>
      <c r="B916" s="15"/>
      <c r="C916" s="26" t="str">
        <f t="array" ref="C916">IFERROR(INDEX('Patrimônio'!$C$7:$C$1003,MATCH($B916,'Patrimônio'!$A$7:$A$1003,0)),"")</f>
        <v/>
      </c>
      <c r="D916" s="17"/>
      <c r="E916" s="17"/>
      <c r="F916" s="15"/>
      <c r="G916" s="15"/>
      <c r="H916" s="17"/>
    </row>
    <row r="917" ht="15.0" customHeight="1">
      <c r="A917" s="19"/>
      <c r="B917" s="15"/>
      <c r="C917" s="26" t="str">
        <f t="array" ref="C917">IFERROR(INDEX('Patrimônio'!$C$7:$C$1003,MATCH($B917,'Patrimônio'!$A$7:$A$1003,0)),"")</f>
        <v/>
      </c>
      <c r="D917" s="17"/>
      <c r="E917" s="17"/>
      <c r="F917" s="15"/>
      <c r="G917" s="15"/>
      <c r="H917" s="17"/>
    </row>
    <row r="918" ht="15.0" customHeight="1">
      <c r="A918" s="19"/>
      <c r="B918" s="15"/>
      <c r="C918" s="26" t="str">
        <f t="array" ref="C918">IFERROR(INDEX('Patrimônio'!$C$7:$C$1003,MATCH($B918,'Patrimônio'!$A$7:$A$1003,0)),"")</f>
        <v/>
      </c>
      <c r="D918" s="17"/>
      <c r="E918" s="17"/>
      <c r="F918" s="15"/>
      <c r="G918" s="15"/>
      <c r="H918" s="17"/>
    </row>
    <row r="919" ht="15.0" customHeight="1">
      <c r="A919" s="19"/>
      <c r="B919" s="15"/>
      <c r="C919" s="26" t="str">
        <f t="array" ref="C919">IFERROR(INDEX('Patrimônio'!$C$7:$C$1003,MATCH($B919,'Patrimônio'!$A$7:$A$1003,0)),"")</f>
        <v/>
      </c>
      <c r="D919" s="17"/>
      <c r="E919" s="17"/>
      <c r="F919" s="15"/>
      <c r="G919" s="15"/>
      <c r="H919" s="17"/>
    </row>
    <row r="920" ht="15.0" customHeight="1">
      <c r="A920" s="19"/>
      <c r="B920" s="15"/>
      <c r="C920" s="26" t="str">
        <f t="array" ref="C920">IFERROR(INDEX('Patrimônio'!$C$7:$C$1003,MATCH($B920,'Patrimônio'!$A$7:$A$1003,0)),"")</f>
        <v/>
      </c>
      <c r="D920" s="17"/>
      <c r="E920" s="17"/>
      <c r="F920" s="15"/>
      <c r="G920" s="15"/>
      <c r="H920" s="17"/>
    </row>
    <row r="921" ht="15.0" customHeight="1">
      <c r="A921" s="19"/>
      <c r="B921" s="15"/>
      <c r="C921" s="26" t="str">
        <f t="array" ref="C921">IFERROR(INDEX('Patrimônio'!$C$7:$C$1003,MATCH($B921,'Patrimônio'!$A$7:$A$1003,0)),"")</f>
        <v/>
      </c>
      <c r="D921" s="17"/>
      <c r="E921" s="17"/>
      <c r="F921" s="15"/>
      <c r="G921" s="15"/>
      <c r="H921" s="17"/>
    </row>
    <row r="922" ht="15.0" customHeight="1">
      <c r="A922" s="19"/>
      <c r="B922" s="15"/>
      <c r="C922" s="26" t="str">
        <f t="array" ref="C922">IFERROR(INDEX('Patrimônio'!$C$7:$C$1003,MATCH($B922,'Patrimônio'!$A$7:$A$1003,0)),"")</f>
        <v/>
      </c>
      <c r="D922" s="17"/>
      <c r="E922" s="17"/>
      <c r="F922" s="15"/>
      <c r="G922" s="15"/>
      <c r="H922" s="17"/>
    </row>
    <row r="923" ht="15.0" customHeight="1">
      <c r="A923" s="19"/>
      <c r="B923" s="15"/>
      <c r="C923" s="26" t="str">
        <f t="array" ref="C923">IFERROR(INDEX('Patrimônio'!$C$7:$C$1003,MATCH($B923,'Patrimônio'!$A$7:$A$1003,0)),"")</f>
        <v/>
      </c>
      <c r="D923" s="17"/>
      <c r="E923" s="17"/>
      <c r="F923" s="15"/>
      <c r="G923" s="15"/>
      <c r="H923" s="17"/>
    </row>
    <row r="924" ht="15.0" customHeight="1">
      <c r="A924" s="19"/>
      <c r="B924" s="15"/>
      <c r="C924" s="26" t="str">
        <f t="array" ref="C924">IFERROR(INDEX('Patrimônio'!$C$7:$C$1003,MATCH($B924,'Patrimônio'!$A$7:$A$1003,0)),"")</f>
        <v/>
      </c>
      <c r="D924" s="17"/>
      <c r="E924" s="17"/>
      <c r="F924" s="15"/>
      <c r="G924" s="15"/>
      <c r="H924" s="17"/>
    </row>
    <row r="925" ht="15.0" customHeight="1">
      <c r="A925" s="19"/>
      <c r="B925" s="15"/>
      <c r="C925" s="26" t="str">
        <f t="array" ref="C925">IFERROR(INDEX('Patrimônio'!$C$7:$C$1003,MATCH($B925,'Patrimônio'!$A$7:$A$1003,0)),"")</f>
        <v/>
      </c>
      <c r="D925" s="17"/>
      <c r="E925" s="17"/>
      <c r="F925" s="15"/>
      <c r="G925" s="15"/>
      <c r="H925" s="17"/>
    </row>
    <row r="926" ht="15.0" customHeight="1">
      <c r="A926" s="19"/>
      <c r="B926" s="15"/>
      <c r="C926" s="26" t="str">
        <f t="array" ref="C926">IFERROR(INDEX('Patrimônio'!$C$7:$C$1003,MATCH($B926,'Patrimônio'!$A$7:$A$1003,0)),"")</f>
        <v/>
      </c>
      <c r="D926" s="17"/>
      <c r="E926" s="17"/>
      <c r="F926" s="15"/>
      <c r="G926" s="15"/>
      <c r="H926" s="17"/>
    </row>
    <row r="927" ht="15.0" customHeight="1">
      <c r="A927" s="19"/>
      <c r="B927" s="15"/>
      <c r="C927" s="26" t="str">
        <f t="array" ref="C927">IFERROR(INDEX('Patrimônio'!$C$7:$C$1003,MATCH($B927,'Patrimônio'!$A$7:$A$1003,0)),"")</f>
        <v/>
      </c>
      <c r="D927" s="17"/>
      <c r="E927" s="17"/>
      <c r="F927" s="15"/>
      <c r="G927" s="15"/>
      <c r="H927" s="17"/>
    </row>
    <row r="928" ht="15.0" customHeight="1">
      <c r="A928" s="19"/>
      <c r="B928" s="15"/>
      <c r="C928" s="26" t="str">
        <f t="array" ref="C928">IFERROR(INDEX('Patrimônio'!$C$7:$C$1003,MATCH($B928,'Patrimônio'!$A$7:$A$1003,0)),"")</f>
        <v/>
      </c>
      <c r="D928" s="17"/>
      <c r="E928" s="17"/>
      <c r="F928" s="15"/>
      <c r="G928" s="15"/>
      <c r="H928" s="17"/>
    </row>
    <row r="929" ht="15.0" customHeight="1">
      <c r="A929" s="19"/>
      <c r="B929" s="15"/>
      <c r="C929" s="26" t="str">
        <f t="array" ref="C929">IFERROR(INDEX('Patrimônio'!$C$7:$C$1003,MATCH($B929,'Patrimônio'!$A$7:$A$1003,0)),"")</f>
        <v/>
      </c>
      <c r="D929" s="17"/>
      <c r="E929" s="17"/>
      <c r="F929" s="15"/>
      <c r="G929" s="15"/>
      <c r="H929" s="17"/>
    </row>
    <row r="930" ht="15.0" customHeight="1">
      <c r="A930" s="19"/>
      <c r="B930" s="15"/>
      <c r="C930" s="26" t="str">
        <f t="array" ref="C930">IFERROR(INDEX('Patrimônio'!$C$7:$C$1003,MATCH($B930,'Patrimônio'!$A$7:$A$1003,0)),"")</f>
        <v/>
      </c>
      <c r="D930" s="17"/>
      <c r="E930" s="17"/>
      <c r="F930" s="15"/>
      <c r="G930" s="15"/>
      <c r="H930" s="17"/>
    </row>
    <row r="931" ht="15.0" customHeight="1">
      <c r="A931" s="19"/>
      <c r="B931" s="15"/>
      <c r="C931" s="26" t="str">
        <f t="array" ref="C931">IFERROR(INDEX('Patrimônio'!$C$7:$C$1003,MATCH($B931,'Patrimônio'!$A$7:$A$1003,0)),"")</f>
        <v/>
      </c>
      <c r="D931" s="17"/>
      <c r="E931" s="17"/>
      <c r="F931" s="15"/>
      <c r="G931" s="15"/>
      <c r="H931" s="17"/>
    </row>
    <row r="932" ht="15.0" customHeight="1">
      <c r="A932" s="19"/>
      <c r="B932" s="15"/>
      <c r="C932" s="26" t="str">
        <f t="array" ref="C932">IFERROR(INDEX('Patrimônio'!$C$7:$C$1003,MATCH($B932,'Patrimônio'!$A$7:$A$1003,0)),"")</f>
        <v/>
      </c>
      <c r="D932" s="17"/>
      <c r="E932" s="17"/>
      <c r="F932" s="15"/>
      <c r="G932" s="15"/>
      <c r="H932" s="17"/>
    </row>
    <row r="933" ht="15.0" customHeight="1">
      <c r="A933" s="19"/>
      <c r="B933" s="15"/>
      <c r="C933" s="26" t="str">
        <f t="array" ref="C933">IFERROR(INDEX('Patrimônio'!$C$7:$C$1003,MATCH($B933,'Patrimônio'!$A$7:$A$1003,0)),"")</f>
        <v/>
      </c>
      <c r="D933" s="17"/>
      <c r="E933" s="17"/>
      <c r="F933" s="15"/>
      <c r="G933" s="15"/>
      <c r="H933" s="17"/>
    </row>
    <row r="934" ht="15.0" customHeight="1">
      <c r="A934" s="19"/>
      <c r="B934" s="15"/>
      <c r="C934" s="26" t="str">
        <f t="array" ref="C934">IFERROR(INDEX('Patrimônio'!$C$7:$C$1003,MATCH($B934,'Patrimônio'!$A$7:$A$1003,0)),"")</f>
        <v/>
      </c>
      <c r="D934" s="17"/>
      <c r="E934" s="17"/>
      <c r="F934" s="15"/>
      <c r="G934" s="15"/>
      <c r="H934" s="17"/>
    </row>
    <row r="935" ht="15.0" customHeight="1">
      <c r="A935" s="19"/>
      <c r="B935" s="15"/>
      <c r="C935" s="26" t="str">
        <f t="array" ref="C935">IFERROR(INDEX('Patrimônio'!$C$7:$C$1003,MATCH($B935,'Patrimônio'!$A$7:$A$1003,0)),"")</f>
        <v/>
      </c>
      <c r="D935" s="17"/>
      <c r="E935" s="17"/>
      <c r="F935" s="15"/>
      <c r="G935" s="15"/>
      <c r="H935" s="17"/>
    </row>
    <row r="936" ht="15.0" customHeight="1">
      <c r="A936" s="19"/>
      <c r="B936" s="15"/>
      <c r="C936" s="26" t="str">
        <f t="array" ref="C936">IFERROR(INDEX('Patrimônio'!$C$7:$C$1003,MATCH($B936,'Patrimônio'!$A$7:$A$1003,0)),"")</f>
        <v/>
      </c>
      <c r="D936" s="17"/>
      <c r="E936" s="17"/>
      <c r="F936" s="15"/>
      <c r="G936" s="15"/>
      <c r="H936" s="17"/>
    </row>
    <row r="937" ht="15.0" customHeight="1">
      <c r="A937" s="19"/>
      <c r="B937" s="15"/>
      <c r="C937" s="26" t="str">
        <f t="array" ref="C937">IFERROR(INDEX('Patrimônio'!$C$7:$C$1003,MATCH($B937,'Patrimônio'!$A$7:$A$1003,0)),"")</f>
        <v/>
      </c>
      <c r="D937" s="17"/>
      <c r="E937" s="17"/>
      <c r="F937" s="15"/>
      <c r="G937" s="15"/>
      <c r="H937" s="17"/>
    </row>
    <row r="938" ht="15.0" customHeight="1">
      <c r="A938" s="19"/>
      <c r="B938" s="15"/>
      <c r="C938" s="26" t="str">
        <f t="array" ref="C938">IFERROR(INDEX('Patrimônio'!$C$7:$C$1003,MATCH($B938,'Patrimônio'!$A$7:$A$1003,0)),"")</f>
        <v/>
      </c>
      <c r="D938" s="17"/>
      <c r="E938" s="17"/>
      <c r="F938" s="15"/>
      <c r="G938" s="15"/>
      <c r="H938" s="17"/>
    </row>
    <row r="939" ht="15.0" customHeight="1">
      <c r="A939" s="19"/>
      <c r="B939" s="15"/>
      <c r="C939" s="26" t="str">
        <f t="array" ref="C939">IFERROR(INDEX('Patrimônio'!$C$7:$C$1003,MATCH($B939,'Patrimônio'!$A$7:$A$1003,0)),"")</f>
        <v/>
      </c>
      <c r="D939" s="17"/>
      <c r="E939" s="17"/>
      <c r="F939" s="15"/>
      <c r="G939" s="15"/>
      <c r="H939" s="17"/>
    </row>
    <row r="940" ht="15.0" customHeight="1">
      <c r="A940" s="19"/>
      <c r="B940" s="15"/>
      <c r="C940" s="26" t="str">
        <f t="array" ref="C940">IFERROR(INDEX('Patrimônio'!$C$7:$C$1003,MATCH($B940,'Patrimônio'!$A$7:$A$1003,0)),"")</f>
        <v/>
      </c>
      <c r="D940" s="17"/>
      <c r="E940" s="17"/>
      <c r="F940" s="15"/>
      <c r="G940" s="15"/>
      <c r="H940" s="17"/>
    </row>
    <row r="941" ht="15.0" customHeight="1">
      <c r="A941" s="19"/>
      <c r="B941" s="15"/>
      <c r="C941" s="26" t="str">
        <f t="array" ref="C941">IFERROR(INDEX('Patrimônio'!$C$7:$C$1003,MATCH($B941,'Patrimônio'!$A$7:$A$1003,0)),"")</f>
        <v/>
      </c>
      <c r="D941" s="17"/>
      <c r="E941" s="17"/>
      <c r="F941" s="15"/>
      <c r="G941" s="15"/>
      <c r="H941" s="17"/>
    </row>
    <row r="942" ht="15.0" customHeight="1">
      <c r="A942" s="19"/>
      <c r="B942" s="15"/>
      <c r="C942" s="26" t="str">
        <f t="array" ref="C942">IFERROR(INDEX('Patrimônio'!$C$7:$C$1003,MATCH($B942,'Patrimônio'!$A$7:$A$1003,0)),"")</f>
        <v/>
      </c>
      <c r="D942" s="17"/>
      <c r="E942" s="17"/>
      <c r="F942" s="15"/>
      <c r="G942" s="15"/>
      <c r="H942" s="17"/>
    </row>
    <row r="943" ht="15.0" customHeight="1">
      <c r="A943" s="19"/>
      <c r="B943" s="15"/>
      <c r="C943" s="26" t="str">
        <f t="array" ref="C943">IFERROR(INDEX('Patrimônio'!$C$7:$C$1003,MATCH($B943,'Patrimônio'!$A$7:$A$1003,0)),"")</f>
        <v/>
      </c>
      <c r="D943" s="17"/>
      <c r="E943" s="17"/>
      <c r="F943" s="15"/>
      <c r="G943" s="15"/>
      <c r="H943" s="17"/>
    </row>
    <row r="944" ht="15.0" customHeight="1">
      <c r="A944" s="19"/>
      <c r="B944" s="15"/>
      <c r="C944" s="26" t="str">
        <f t="array" ref="C944">IFERROR(INDEX('Patrimônio'!$C$7:$C$1003,MATCH($B944,'Patrimônio'!$A$7:$A$1003,0)),"")</f>
        <v/>
      </c>
      <c r="D944" s="17"/>
      <c r="E944" s="17"/>
      <c r="F944" s="15"/>
      <c r="G944" s="15"/>
      <c r="H944" s="17"/>
    </row>
    <row r="945" ht="15.0" customHeight="1">
      <c r="A945" s="19"/>
      <c r="B945" s="15"/>
      <c r="C945" s="26" t="str">
        <f t="array" ref="C945">IFERROR(INDEX('Patrimônio'!$C$7:$C$1003,MATCH($B945,'Patrimônio'!$A$7:$A$1003,0)),"")</f>
        <v/>
      </c>
      <c r="D945" s="17"/>
      <c r="E945" s="17"/>
      <c r="F945" s="15"/>
      <c r="G945" s="15"/>
      <c r="H945" s="17"/>
    </row>
    <row r="946" ht="15.0" customHeight="1">
      <c r="A946" s="19"/>
      <c r="B946" s="15"/>
      <c r="C946" s="26" t="str">
        <f t="array" ref="C946">IFERROR(INDEX('Patrimônio'!$C$7:$C$1003,MATCH($B946,'Patrimônio'!$A$7:$A$1003,0)),"")</f>
        <v/>
      </c>
      <c r="D946" s="17"/>
      <c r="E946" s="17"/>
      <c r="F946" s="15"/>
      <c r="G946" s="15"/>
      <c r="H946" s="17"/>
    </row>
    <row r="947" ht="15.0" customHeight="1">
      <c r="A947" s="19"/>
      <c r="B947" s="15"/>
      <c r="C947" s="26" t="str">
        <f t="array" ref="C947">IFERROR(INDEX('Patrimônio'!$C$7:$C$1003,MATCH($B947,'Patrimônio'!$A$7:$A$1003,0)),"")</f>
        <v/>
      </c>
      <c r="D947" s="17"/>
      <c r="E947" s="17"/>
      <c r="F947" s="15"/>
      <c r="G947" s="15"/>
      <c r="H947" s="17"/>
    </row>
    <row r="948" ht="15.0" customHeight="1">
      <c r="A948" s="19"/>
      <c r="B948" s="15"/>
      <c r="C948" s="26" t="str">
        <f t="array" ref="C948">IFERROR(INDEX('Patrimônio'!$C$7:$C$1003,MATCH($B948,'Patrimônio'!$A$7:$A$1003,0)),"")</f>
        <v/>
      </c>
      <c r="D948" s="17"/>
      <c r="E948" s="17"/>
      <c r="F948" s="15"/>
      <c r="G948" s="15"/>
      <c r="H948" s="17"/>
    </row>
    <row r="949" ht="15.0" customHeight="1">
      <c r="A949" s="19"/>
      <c r="B949" s="15"/>
      <c r="C949" s="26" t="str">
        <f t="array" ref="C949">IFERROR(INDEX('Patrimônio'!$C$7:$C$1003,MATCH($B949,'Patrimônio'!$A$7:$A$1003,0)),"")</f>
        <v/>
      </c>
      <c r="D949" s="17"/>
      <c r="E949" s="17"/>
      <c r="F949" s="15"/>
      <c r="G949" s="15"/>
      <c r="H949" s="17"/>
    </row>
    <row r="950" ht="15.0" customHeight="1">
      <c r="A950" s="19"/>
      <c r="B950" s="15"/>
      <c r="C950" s="26" t="str">
        <f t="array" ref="C950">IFERROR(INDEX('Patrimônio'!$C$7:$C$1003,MATCH($B950,'Patrimônio'!$A$7:$A$1003,0)),"")</f>
        <v/>
      </c>
      <c r="D950" s="17"/>
      <c r="E950" s="17"/>
      <c r="F950" s="15"/>
      <c r="G950" s="15"/>
      <c r="H950" s="17"/>
    </row>
    <row r="951" ht="15.0" customHeight="1">
      <c r="A951" s="19"/>
      <c r="B951" s="15"/>
      <c r="C951" s="26" t="str">
        <f t="array" ref="C951">IFERROR(INDEX('Patrimônio'!$C$7:$C$1003,MATCH($B951,'Patrimônio'!$A$7:$A$1003,0)),"")</f>
        <v/>
      </c>
      <c r="D951" s="17"/>
      <c r="E951" s="17"/>
      <c r="F951" s="15"/>
      <c r="G951" s="15"/>
      <c r="H951" s="17"/>
    </row>
    <row r="952" ht="15.0" customHeight="1">
      <c r="A952" s="19"/>
      <c r="B952" s="15"/>
      <c r="C952" s="26" t="str">
        <f t="array" ref="C952">IFERROR(INDEX('Patrimônio'!$C$7:$C$1003,MATCH($B952,'Patrimônio'!$A$7:$A$1003,0)),"")</f>
        <v/>
      </c>
      <c r="D952" s="17"/>
      <c r="E952" s="17"/>
      <c r="F952" s="15"/>
      <c r="G952" s="15"/>
      <c r="H952" s="17"/>
    </row>
    <row r="953" ht="15.0" customHeight="1">
      <c r="A953" s="19"/>
      <c r="B953" s="15"/>
      <c r="C953" s="26" t="str">
        <f t="array" ref="C953">IFERROR(INDEX('Patrimônio'!$C$7:$C$1003,MATCH($B953,'Patrimônio'!$A$7:$A$1003,0)),"")</f>
        <v/>
      </c>
      <c r="D953" s="17"/>
      <c r="E953" s="17"/>
      <c r="F953" s="15"/>
      <c r="G953" s="15"/>
      <c r="H953" s="17"/>
    </row>
    <row r="954" ht="15.0" customHeight="1">
      <c r="A954" s="19"/>
      <c r="B954" s="15"/>
      <c r="C954" s="26" t="str">
        <f t="array" ref="C954">IFERROR(INDEX('Patrimônio'!$C$7:$C$1003,MATCH($B954,'Patrimônio'!$A$7:$A$1003,0)),"")</f>
        <v/>
      </c>
      <c r="D954" s="17"/>
      <c r="E954" s="17"/>
      <c r="F954" s="15"/>
      <c r="G954" s="15"/>
      <c r="H954" s="17"/>
    </row>
    <row r="955" ht="15.0" customHeight="1">
      <c r="A955" s="19"/>
      <c r="B955" s="15"/>
      <c r="C955" s="26" t="str">
        <f t="array" ref="C955">IFERROR(INDEX('Patrimônio'!$C$7:$C$1003,MATCH($B955,'Patrimônio'!$A$7:$A$1003,0)),"")</f>
        <v/>
      </c>
      <c r="D955" s="17"/>
      <c r="E955" s="17"/>
      <c r="F955" s="15"/>
      <c r="G955" s="15"/>
      <c r="H955" s="17"/>
    </row>
    <row r="956" ht="15.0" customHeight="1">
      <c r="A956" s="19"/>
      <c r="B956" s="15"/>
      <c r="C956" s="26" t="str">
        <f t="array" ref="C956">IFERROR(INDEX('Patrimônio'!$C$7:$C$1003,MATCH($B956,'Patrimônio'!$A$7:$A$1003,0)),"")</f>
        <v/>
      </c>
      <c r="D956" s="17"/>
      <c r="E956" s="17"/>
      <c r="F956" s="15"/>
      <c r="G956" s="15"/>
      <c r="H956" s="17"/>
    </row>
    <row r="957" ht="15.0" customHeight="1">
      <c r="A957" s="19"/>
      <c r="B957" s="15"/>
      <c r="C957" s="26" t="str">
        <f t="array" ref="C957">IFERROR(INDEX('Patrimônio'!$C$7:$C$1003,MATCH($B957,'Patrimônio'!$A$7:$A$1003,0)),"")</f>
        <v/>
      </c>
      <c r="D957" s="17"/>
      <c r="E957" s="17"/>
      <c r="F957" s="15"/>
      <c r="G957" s="15"/>
      <c r="H957" s="17"/>
    </row>
    <row r="958" ht="15.0" customHeight="1">
      <c r="A958" s="19"/>
      <c r="B958" s="15"/>
      <c r="C958" s="26" t="str">
        <f t="array" ref="C958">IFERROR(INDEX('Patrimônio'!$C$7:$C$1003,MATCH($B958,'Patrimônio'!$A$7:$A$1003,0)),"")</f>
        <v/>
      </c>
      <c r="D958" s="17"/>
      <c r="E958" s="17"/>
      <c r="F958" s="15"/>
      <c r="G958" s="15"/>
      <c r="H958" s="17"/>
    </row>
    <row r="959" ht="15.0" customHeight="1">
      <c r="A959" s="19"/>
      <c r="B959" s="15"/>
      <c r="C959" s="26" t="str">
        <f t="array" ref="C959">IFERROR(INDEX('Patrimônio'!$C$7:$C$1003,MATCH($B959,'Patrimônio'!$A$7:$A$1003,0)),"")</f>
        <v/>
      </c>
      <c r="D959" s="17"/>
      <c r="E959" s="17"/>
      <c r="F959" s="15"/>
      <c r="G959" s="15"/>
      <c r="H959" s="17"/>
    </row>
    <row r="960" ht="15.0" customHeight="1">
      <c r="A960" s="19"/>
      <c r="B960" s="15"/>
      <c r="C960" s="26" t="str">
        <f t="array" ref="C960">IFERROR(INDEX('Patrimônio'!$C$7:$C$1003,MATCH($B960,'Patrimônio'!$A$7:$A$1003,0)),"")</f>
        <v/>
      </c>
      <c r="D960" s="17"/>
      <c r="E960" s="17"/>
      <c r="F960" s="15"/>
      <c r="G960" s="15"/>
      <c r="H960" s="17"/>
    </row>
    <row r="961" ht="15.0" customHeight="1">
      <c r="A961" s="19"/>
      <c r="B961" s="15"/>
      <c r="C961" s="26" t="str">
        <f t="array" ref="C961">IFERROR(INDEX('Patrimônio'!$C$7:$C$1003,MATCH($B961,'Patrimônio'!$A$7:$A$1003,0)),"")</f>
        <v/>
      </c>
      <c r="D961" s="17"/>
      <c r="E961" s="17"/>
      <c r="F961" s="15"/>
      <c r="G961" s="15"/>
      <c r="H961" s="17"/>
    </row>
    <row r="962" ht="15.0" customHeight="1">
      <c r="A962" s="19"/>
      <c r="B962" s="15"/>
      <c r="C962" s="26" t="str">
        <f t="array" ref="C962">IFERROR(INDEX('Patrimônio'!$C$7:$C$1003,MATCH($B962,'Patrimônio'!$A$7:$A$1003,0)),"")</f>
        <v/>
      </c>
      <c r="D962" s="17"/>
      <c r="E962" s="17"/>
      <c r="F962" s="15"/>
      <c r="G962" s="15"/>
      <c r="H962" s="17"/>
    </row>
    <row r="963" ht="15.0" customHeight="1">
      <c r="A963" s="19"/>
      <c r="B963" s="15"/>
      <c r="C963" s="26" t="str">
        <f t="array" ref="C963">IFERROR(INDEX('Patrimônio'!$C$7:$C$1003,MATCH($B963,'Patrimônio'!$A$7:$A$1003,0)),"")</f>
        <v/>
      </c>
      <c r="D963" s="17"/>
      <c r="E963" s="17"/>
      <c r="F963" s="15"/>
      <c r="G963" s="15"/>
      <c r="H963" s="17"/>
    </row>
    <row r="964" ht="15.0" customHeight="1">
      <c r="A964" s="19"/>
      <c r="B964" s="15"/>
      <c r="C964" s="26" t="str">
        <f t="array" ref="C964">IFERROR(INDEX('Patrimônio'!$C$7:$C$1003,MATCH($B964,'Patrimônio'!$A$7:$A$1003,0)),"")</f>
        <v/>
      </c>
      <c r="D964" s="17"/>
      <c r="E964" s="17"/>
      <c r="F964" s="15"/>
      <c r="G964" s="15"/>
      <c r="H964" s="17"/>
    </row>
    <row r="965" ht="15.0" customHeight="1">
      <c r="A965" s="19"/>
      <c r="B965" s="15"/>
      <c r="C965" s="26" t="str">
        <f t="array" ref="C965">IFERROR(INDEX('Patrimônio'!$C$7:$C$1003,MATCH($B965,'Patrimônio'!$A$7:$A$1003,0)),"")</f>
        <v/>
      </c>
      <c r="D965" s="17"/>
      <c r="E965" s="17"/>
      <c r="F965" s="15"/>
      <c r="G965" s="15"/>
      <c r="H965" s="17"/>
    </row>
    <row r="966" ht="15.0" customHeight="1">
      <c r="A966" s="19"/>
      <c r="B966" s="15"/>
      <c r="C966" s="26" t="str">
        <f t="array" ref="C966">IFERROR(INDEX('Patrimônio'!$C$7:$C$1003,MATCH($B966,'Patrimônio'!$A$7:$A$1003,0)),"")</f>
        <v/>
      </c>
      <c r="D966" s="17"/>
      <c r="E966" s="17"/>
      <c r="F966" s="15"/>
      <c r="G966" s="15"/>
      <c r="H966" s="17"/>
    </row>
    <row r="967" ht="15.0" customHeight="1">
      <c r="A967" s="19"/>
      <c r="B967" s="15"/>
      <c r="C967" s="26" t="str">
        <f t="array" ref="C967">IFERROR(INDEX('Patrimônio'!$C$7:$C$1003,MATCH($B967,'Patrimônio'!$A$7:$A$1003,0)),"")</f>
        <v/>
      </c>
      <c r="D967" s="17"/>
      <c r="E967" s="17"/>
      <c r="F967" s="15"/>
      <c r="G967" s="15"/>
      <c r="H967" s="17"/>
    </row>
    <row r="968" ht="15.0" customHeight="1">
      <c r="A968" s="19"/>
      <c r="B968" s="15"/>
      <c r="C968" s="26" t="str">
        <f t="array" ref="C968">IFERROR(INDEX('Patrimônio'!$C$7:$C$1003,MATCH($B968,'Patrimônio'!$A$7:$A$1003,0)),"")</f>
        <v/>
      </c>
      <c r="D968" s="17"/>
      <c r="E968" s="17"/>
      <c r="F968" s="15"/>
      <c r="G968" s="15"/>
      <c r="H968" s="17"/>
    </row>
    <row r="969" ht="15.0" customHeight="1">
      <c r="A969" s="19"/>
      <c r="B969" s="15"/>
      <c r="C969" s="26" t="str">
        <f t="array" ref="C969">IFERROR(INDEX('Patrimônio'!$C$7:$C$1003,MATCH($B969,'Patrimônio'!$A$7:$A$1003,0)),"")</f>
        <v/>
      </c>
      <c r="D969" s="17"/>
      <c r="E969" s="17"/>
      <c r="F969" s="15"/>
      <c r="G969" s="15"/>
      <c r="H969" s="17"/>
    </row>
    <row r="970" ht="15.0" customHeight="1">
      <c r="A970" s="19"/>
      <c r="B970" s="15"/>
      <c r="C970" s="26" t="str">
        <f t="array" ref="C970">IFERROR(INDEX('Patrimônio'!$C$7:$C$1003,MATCH($B970,'Patrimônio'!$A$7:$A$1003,0)),"")</f>
        <v/>
      </c>
      <c r="D970" s="17"/>
      <c r="E970" s="17"/>
      <c r="F970" s="15"/>
      <c r="G970" s="15"/>
      <c r="H970" s="17"/>
    </row>
    <row r="971" ht="15.0" customHeight="1">
      <c r="A971" s="19"/>
      <c r="B971" s="15"/>
      <c r="C971" s="26" t="str">
        <f t="array" ref="C971">IFERROR(INDEX('Patrimônio'!$C$7:$C$1003,MATCH($B971,'Patrimônio'!$A$7:$A$1003,0)),"")</f>
        <v/>
      </c>
      <c r="D971" s="17"/>
      <c r="E971" s="17"/>
      <c r="F971" s="15"/>
      <c r="G971" s="15"/>
      <c r="H971" s="17"/>
    </row>
    <row r="972" ht="15.0" customHeight="1">
      <c r="A972" s="19"/>
      <c r="B972" s="15"/>
      <c r="C972" s="26" t="str">
        <f t="array" ref="C972">IFERROR(INDEX('Patrimônio'!$C$7:$C$1003,MATCH($B972,'Patrimônio'!$A$7:$A$1003,0)),"")</f>
        <v/>
      </c>
      <c r="D972" s="17"/>
      <c r="E972" s="17"/>
      <c r="F972" s="15"/>
      <c r="G972" s="15"/>
      <c r="H972" s="17"/>
    </row>
    <row r="973" ht="15.0" customHeight="1">
      <c r="A973" s="19"/>
      <c r="B973" s="15"/>
      <c r="C973" s="26" t="str">
        <f t="array" ref="C973">IFERROR(INDEX('Patrimônio'!$C$7:$C$1003,MATCH($B973,'Patrimônio'!$A$7:$A$1003,0)),"")</f>
        <v/>
      </c>
      <c r="D973" s="17"/>
      <c r="E973" s="17"/>
      <c r="F973" s="15"/>
      <c r="G973" s="15"/>
      <c r="H973" s="17"/>
    </row>
    <row r="974" ht="15.0" customHeight="1">
      <c r="A974" s="19"/>
      <c r="B974" s="15"/>
      <c r="C974" s="26" t="str">
        <f t="array" ref="C974">IFERROR(INDEX('Patrimônio'!$C$7:$C$1003,MATCH($B974,'Patrimônio'!$A$7:$A$1003,0)),"")</f>
        <v/>
      </c>
      <c r="D974" s="17"/>
      <c r="E974" s="17"/>
      <c r="F974" s="15"/>
      <c r="G974" s="15"/>
      <c r="H974" s="17"/>
    </row>
    <row r="975" ht="15.0" customHeight="1">
      <c r="A975" s="19"/>
      <c r="B975" s="15"/>
      <c r="C975" s="26" t="str">
        <f t="array" ref="C975">IFERROR(INDEX('Patrimônio'!$C$7:$C$1003,MATCH($B975,'Patrimônio'!$A$7:$A$1003,0)),"")</f>
        <v/>
      </c>
      <c r="D975" s="17"/>
      <c r="E975" s="17"/>
      <c r="F975" s="15"/>
      <c r="G975" s="15"/>
      <c r="H975" s="17"/>
    </row>
    <row r="976" ht="15.0" customHeight="1">
      <c r="A976" s="19"/>
      <c r="B976" s="15"/>
      <c r="C976" s="26" t="str">
        <f t="array" ref="C976">IFERROR(INDEX('Patrimônio'!$C$7:$C$1003,MATCH($B976,'Patrimônio'!$A$7:$A$1003,0)),"")</f>
        <v/>
      </c>
      <c r="D976" s="17"/>
      <c r="E976" s="17"/>
      <c r="F976" s="15"/>
      <c r="G976" s="15"/>
      <c r="H976" s="17"/>
    </row>
    <row r="977" ht="15.0" customHeight="1">
      <c r="A977" s="19"/>
      <c r="B977" s="15"/>
      <c r="C977" s="26" t="str">
        <f t="array" ref="C977">IFERROR(INDEX('Patrimônio'!$C$7:$C$1003,MATCH($B977,'Patrimônio'!$A$7:$A$1003,0)),"")</f>
        <v/>
      </c>
      <c r="D977" s="17"/>
      <c r="E977" s="17"/>
      <c r="F977" s="15"/>
      <c r="G977" s="15"/>
      <c r="H977" s="17"/>
    </row>
    <row r="978" ht="15.0" customHeight="1">
      <c r="A978" s="19"/>
      <c r="B978" s="15"/>
      <c r="C978" s="26" t="str">
        <f t="array" ref="C978">IFERROR(INDEX('Patrimônio'!$C$7:$C$1003,MATCH($B978,'Patrimônio'!$A$7:$A$1003,0)),"")</f>
        <v/>
      </c>
      <c r="D978" s="17"/>
      <c r="E978" s="17"/>
      <c r="F978" s="15"/>
      <c r="G978" s="15"/>
      <c r="H978" s="17"/>
    </row>
    <row r="979" ht="15.0" customHeight="1">
      <c r="A979" s="19"/>
      <c r="B979" s="15"/>
      <c r="C979" s="26" t="str">
        <f t="array" ref="C979">IFERROR(INDEX('Patrimônio'!$C$7:$C$1003,MATCH($B979,'Patrimônio'!$A$7:$A$1003,0)),"")</f>
        <v/>
      </c>
      <c r="D979" s="17"/>
      <c r="E979" s="17"/>
      <c r="F979" s="15"/>
      <c r="G979" s="15"/>
      <c r="H979" s="17"/>
    </row>
    <row r="980" ht="15.0" customHeight="1">
      <c r="A980" s="19"/>
      <c r="B980" s="15"/>
      <c r="C980" s="26" t="str">
        <f t="array" ref="C980">IFERROR(INDEX('Patrimônio'!$C$7:$C$1003,MATCH($B980,'Patrimônio'!$A$7:$A$1003,0)),"")</f>
        <v/>
      </c>
      <c r="D980" s="17"/>
      <c r="E980" s="17"/>
      <c r="F980" s="15"/>
      <c r="G980" s="15"/>
      <c r="H980" s="17"/>
    </row>
    <row r="981" ht="15.0" customHeight="1">
      <c r="A981" s="19"/>
      <c r="B981" s="15"/>
      <c r="C981" s="26" t="str">
        <f t="array" ref="C981">IFERROR(INDEX('Patrimônio'!$C$7:$C$1003,MATCH($B981,'Patrimônio'!$A$7:$A$1003,0)),"")</f>
        <v/>
      </c>
      <c r="D981" s="17"/>
      <c r="E981" s="17"/>
      <c r="F981" s="15"/>
      <c r="G981" s="15"/>
      <c r="H981" s="17"/>
    </row>
    <row r="982" ht="15.0" customHeight="1">
      <c r="A982" s="19"/>
      <c r="B982" s="15"/>
      <c r="C982" s="26" t="str">
        <f t="array" ref="C982">IFERROR(INDEX('Patrimônio'!$C$7:$C$1003,MATCH($B982,'Patrimônio'!$A$7:$A$1003,0)),"")</f>
        <v/>
      </c>
      <c r="D982" s="17"/>
      <c r="E982" s="17"/>
      <c r="F982" s="15"/>
      <c r="G982" s="15"/>
      <c r="H982" s="17"/>
    </row>
    <row r="983" ht="15.0" customHeight="1">
      <c r="A983" s="19"/>
      <c r="B983" s="15"/>
      <c r="C983" s="26" t="str">
        <f t="array" ref="C983">IFERROR(INDEX('Patrimônio'!$C$7:$C$1003,MATCH($B983,'Patrimônio'!$A$7:$A$1003,0)),"")</f>
        <v/>
      </c>
      <c r="D983" s="17"/>
      <c r="E983" s="17"/>
      <c r="F983" s="15"/>
      <c r="G983" s="15"/>
      <c r="H983" s="17"/>
    </row>
    <row r="984" ht="15.0" customHeight="1">
      <c r="A984" s="19"/>
      <c r="B984" s="15"/>
      <c r="C984" s="26" t="str">
        <f t="array" ref="C984">IFERROR(INDEX('Patrimônio'!$C$7:$C$1003,MATCH($B984,'Patrimônio'!$A$7:$A$1003,0)),"")</f>
        <v/>
      </c>
      <c r="D984" s="17"/>
      <c r="E984" s="17"/>
      <c r="F984" s="15"/>
      <c r="G984" s="15"/>
      <c r="H984" s="17"/>
    </row>
    <row r="985" ht="15.0" customHeight="1">
      <c r="A985" s="19"/>
      <c r="B985" s="15"/>
      <c r="C985" s="26" t="str">
        <f t="array" ref="C985">IFERROR(INDEX('Patrimônio'!$C$7:$C$1003,MATCH($B985,'Patrimônio'!$A$7:$A$1003,0)),"")</f>
        <v/>
      </c>
      <c r="D985" s="17"/>
      <c r="E985" s="17"/>
      <c r="F985" s="15"/>
      <c r="G985" s="15"/>
      <c r="H985" s="17"/>
    </row>
    <row r="986" ht="15.0" customHeight="1">
      <c r="A986" s="19"/>
      <c r="B986" s="15"/>
      <c r="C986" s="26" t="str">
        <f t="array" ref="C986">IFERROR(INDEX('Patrimônio'!$C$7:$C$1003,MATCH($B986,'Patrimônio'!$A$7:$A$1003,0)),"")</f>
        <v/>
      </c>
      <c r="D986" s="17"/>
      <c r="E986" s="17"/>
      <c r="F986" s="15"/>
      <c r="G986" s="15"/>
      <c r="H986" s="17"/>
    </row>
    <row r="987" ht="15.0" customHeight="1">
      <c r="A987" s="19"/>
      <c r="B987" s="15"/>
      <c r="C987" s="26" t="str">
        <f t="array" ref="C987">IFERROR(INDEX('Patrimônio'!$C$7:$C$1003,MATCH($B987,'Patrimônio'!$A$7:$A$1003,0)),"")</f>
        <v/>
      </c>
      <c r="D987" s="17"/>
      <c r="E987" s="17"/>
      <c r="F987" s="15"/>
      <c r="G987" s="15"/>
      <c r="H987" s="17"/>
    </row>
    <row r="988" ht="15.0" customHeight="1">
      <c r="A988" s="19"/>
      <c r="B988" s="15"/>
      <c r="C988" s="26" t="str">
        <f t="array" ref="C988">IFERROR(INDEX('Patrimônio'!$C$7:$C$1003,MATCH($B988,'Patrimônio'!$A$7:$A$1003,0)),"")</f>
        <v/>
      </c>
      <c r="D988" s="17"/>
      <c r="E988" s="17"/>
      <c r="F988" s="15"/>
      <c r="G988" s="15"/>
      <c r="H988" s="17"/>
    </row>
    <row r="989" ht="15.0" customHeight="1">
      <c r="A989" s="19"/>
      <c r="B989" s="15"/>
      <c r="C989" s="26" t="str">
        <f t="array" ref="C989">IFERROR(INDEX('Patrimônio'!$C$7:$C$1003,MATCH($B989,'Patrimônio'!$A$7:$A$1003,0)),"")</f>
        <v/>
      </c>
      <c r="D989" s="17"/>
      <c r="E989" s="17"/>
      <c r="F989" s="15"/>
      <c r="G989" s="15"/>
      <c r="H989" s="17"/>
    </row>
    <row r="990" ht="15.0" customHeight="1">
      <c r="A990" s="19"/>
      <c r="B990" s="15"/>
      <c r="C990" s="26" t="str">
        <f t="array" ref="C990">IFERROR(INDEX('Patrimônio'!$C$7:$C$1003,MATCH($B990,'Patrimônio'!$A$7:$A$1003,0)),"")</f>
        <v/>
      </c>
      <c r="D990" s="17"/>
      <c r="E990" s="17"/>
      <c r="F990" s="15"/>
      <c r="G990" s="15"/>
      <c r="H990" s="17"/>
    </row>
    <row r="991" ht="15.0" customHeight="1">
      <c r="A991" s="19"/>
      <c r="B991" s="15"/>
      <c r="C991" s="26" t="str">
        <f t="array" ref="C991">IFERROR(INDEX('Patrimônio'!$C$7:$C$1003,MATCH($B991,'Patrimônio'!$A$7:$A$1003,0)),"")</f>
        <v/>
      </c>
      <c r="D991" s="17"/>
      <c r="E991" s="17"/>
      <c r="F991" s="15"/>
      <c r="G991" s="15"/>
      <c r="H991" s="17"/>
    </row>
    <row r="992" ht="15.0" customHeight="1">
      <c r="A992" s="19"/>
      <c r="B992" s="15"/>
      <c r="C992" s="26" t="str">
        <f t="array" ref="C992">IFERROR(INDEX('Patrimônio'!$C$7:$C$1003,MATCH($B992,'Patrimônio'!$A$7:$A$1003,0)),"")</f>
        <v/>
      </c>
      <c r="D992" s="17"/>
      <c r="E992" s="17"/>
      <c r="F992" s="15"/>
      <c r="G992" s="15"/>
      <c r="H992" s="17"/>
    </row>
    <row r="993" ht="15.0" customHeight="1">
      <c r="A993" s="19"/>
      <c r="B993" s="15"/>
      <c r="C993" s="26" t="str">
        <f t="array" ref="C993">IFERROR(INDEX('Patrimônio'!$C$7:$C$1003,MATCH($B993,'Patrimônio'!$A$7:$A$1003,0)),"")</f>
        <v/>
      </c>
      <c r="D993" s="17"/>
      <c r="E993" s="17"/>
      <c r="F993" s="15"/>
      <c r="G993" s="15"/>
      <c r="H993" s="17"/>
    </row>
    <row r="994" ht="15.0" customHeight="1">
      <c r="A994" s="19"/>
      <c r="B994" s="15"/>
      <c r="C994" s="26" t="str">
        <f t="array" ref="C994">IFERROR(INDEX('Patrimônio'!$C$7:$C$1003,MATCH($B994,'Patrimônio'!$A$7:$A$1003,0)),"")</f>
        <v/>
      </c>
      <c r="D994" s="17"/>
      <c r="E994" s="17"/>
      <c r="F994" s="15"/>
      <c r="G994" s="15"/>
      <c r="H994" s="17"/>
    </row>
    <row r="995" ht="15.0" customHeight="1">
      <c r="A995" s="19"/>
      <c r="B995" s="15"/>
      <c r="C995" s="26" t="str">
        <f t="array" ref="C995">IFERROR(INDEX('Patrimônio'!$C$7:$C$1003,MATCH($B995,'Patrimônio'!$A$7:$A$1003,0)),"")</f>
        <v/>
      </c>
      <c r="D995" s="17"/>
      <c r="E995" s="17"/>
      <c r="F995" s="15"/>
      <c r="G995" s="15"/>
      <c r="H995" s="17"/>
    </row>
    <row r="996" ht="15.0" customHeight="1">
      <c r="A996" s="19"/>
      <c r="B996" s="15"/>
      <c r="C996" s="26" t="str">
        <f t="array" ref="C996">IFERROR(INDEX('Patrimônio'!$C$7:$C$1003,MATCH($B996,'Patrimônio'!$A$7:$A$1003,0)),"")</f>
        <v/>
      </c>
      <c r="D996" s="17"/>
      <c r="E996" s="17"/>
      <c r="F996" s="15"/>
      <c r="G996" s="15"/>
      <c r="H996" s="17"/>
    </row>
    <row r="997" ht="15.0" customHeight="1">
      <c r="A997" s="19"/>
      <c r="B997" s="15"/>
      <c r="C997" s="26" t="str">
        <f t="array" ref="C997">IFERROR(INDEX('Patrimônio'!$C$7:$C$1003,MATCH($B997,'Patrimônio'!$A$7:$A$1003,0)),"")</f>
        <v/>
      </c>
      <c r="D997" s="17"/>
      <c r="E997" s="17"/>
      <c r="F997" s="15"/>
      <c r="G997" s="15"/>
      <c r="H997" s="17"/>
    </row>
    <row r="998" ht="15.0" customHeight="1">
      <c r="A998" s="19"/>
      <c r="B998" s="15"/>
      <c r="C998" s="26" t="str">
        <f t="array" ref="C998">IFERROR(INDEX('Patrimônio'!$C$7:$C$1003,MATCH($B998,'Patrimônio'!$A$7:$A$1003,0)),"")</f>
        <v/>
      </c>
      <c r="D998" s="17"/>
      <c r="E998" s="17"/>
      <c r="F998" s="15"/>
      <c r="G998" s="15"/>
      <c r="H998" s="17"/>
    </row>
    <row r="999" ht="15.0" customHeight="1">
      <c r="A999" s="19"/>
      <c r="B999" s="15"/>
      <c r="C999" s="26" t="str">
        <f t="array" ref="C999">IFERROR(INDEX('Patrimônio'!$C$7:$C$1003,MATCH($B999,'Patrimônio'!$A$7:$A$1003,0)),"")</f>
        <v/>
      </c>
      <c r="D999" s="17"/>
      <c r="E999" s="17"/>
      <c r="F999" s="15"/>
      <c r="G999" s="15"/>
      <c r="H999" s="17"/>
    </row>
    <row r="1000" ht="15.0" customHeight="1">
      <c r="A1000" s="19"/>
      <c r="B1000" s="15"/>
      <c r="C1000" s="26" t="str">
        <f t="array" ref="C1000">IFERROR(INDEX('Patrimônio'!$C$7:$C$1003,MATCH($B1000,'Patrimônio'!$A$7:$A$1003,0)),"")</f>
        <v/>
      </c>
      <c r="D1000" s="17"/>
      <c r="E1000" s="17"/>
      <c r="F1000" s="15"/>
      <c r="G1000" s="15"/>
      <c r="H1000" s="17"/>
    </row>
    <row r="1001" ht="15.0" customHeight="1">
      <c r="A1001" s="19"/>
      <c r="B1001" s="15"/>
      <c r="C1001" s="26" t="str">
        <f t="array" ref="C1001">IFERROR(INDEX('Patrimônio'!$C$7:$C$1003,MATCH($B1001,'Patrimônio'!$A$7:$A$1003,0)),"")</f>
        <v/>
      </c>
      <c r="D1001" s="17"/>
      <c r="E1001" s="17"/>
      <c r="F1001" s="15"/>
      <c r="G1001" s="15"/>
      <c r="H1001" s="17"/>
    </row>
    <row r="1002" ht="15.0" customHeight="1">
      <c r="A1002" s="19"/>
      <c r="B1002" s="15"/>
      <c r="C1002" s="26" t="str">
        <f t="array" ref="C1002">IFERROR(INDEX('Patrimônio'!$C$7:$C$1003,MATCH($B1002,'Patrimônio'!$A$7:$A$1003,0)),"")</f>
        <v/>
      </c>
      <c r="D1002" s="17"/>
      <c r="E1002" s="17"/>
      <c r="F1002" s="15"/>
      <c r="G1002" s="15"/>
      <c r="H1002" s="17"/>
    </row>
    <row r="1003" ht="15.0" customHeight="1">
      <c r="A1003" s="19"/>
      <c r="B1003" s="15"/>
      <c r="C1003" s="26" t="str">
        <f t="array" ref="C1003">IFERROR(INDEX('Patrimônio'!$C$7:$C$1003,MATCH($B1003,'Patrimônio'!$A$7:$A$1003,0)),"")</f>
        <v/>
      </c>
      <c r="D1003" s="17"/>
      <c r="E1003" s="17"/>
      <c r="F1003" s="15"/>
      <c r="G1003" s="15"/>
      <c r="H1003" s="17"/>
    </row>
    <row r="1004" ht="15.0" customHeight="1">
      <c r="A1004" s="19"/>
      <c r="B1004" s="15"/>
      <c r="C1004" s="26" t="str">
        <f t="array" ref="C1004">IFERROR(INDEX('Patrimônio'!$C$7:$C$1003,MATCH($B1004,'Patrimônio'!$A$7:$A$1003,0)),"")</f>
        <v/>
      </c>
      <c r="D1004" s="17"/>
      <c r="E1004" s="17"/>
      <c r="F1004" s="15"/>
      <c r="G1004" s="15"/>
      <c r="H1004" s="17"/>
    </row>
    <row r="1005" ht="15.0" customHeight="1">
      <c r="A1005" s="19"/>
      <c r="B1005" s="15"/>
      <c r="C1005" s="26" t="str">
        <f t="array" ref="C1005">IFERROR(INDEX('Patrimônio'!$C$7:$C$1003,MATCH($B1005,'Patrimônio'!$A$7:$A$1003,0)),"")</f>
        <v/>
      </c>
      <c r="D1005" s="17"/>
      <c r="E1005" s="17"/>
      <c r="F1005" s="15"/>
      <c r="G1005" s="15"/>
      <c r="H1005" s="17"/>
    </row>
    <row r="1006" ht="15.0" customHeight="1">
      <c r="A1006" s="19"/>
      <c r="B1006" s="15"/>
      <c r="C1006" s="26" t="str">
        <f t="array" ref="C1006">IFERROR(INDEX('Patrimônio'!$C$7:$C$1003,MATCH($B1006,'Patrimônio'!$A$7:$A$1003,0)),"")</f>
        <v/>
      </c>
      <c r="D1006" s="17"/>
      <c r="E1006" s="17"/>
      <c r="F1006" s="15"/>
      <c r="G1006" s="15"/>
      <c r="H1006" s="17"/>
    </row>
  </sheetData>
  <autoFilter ref="$A$6:$H$1006"/>
  <mergeCells count="2">
    <mergeCell ref="B1:H2"/>
    <mergeCell ref="B3:H4"/>
  </mergeCells>
  <dataValidations>
    <dataValidation type="list" allowBlank="1" sqref="F7:F1006">
      <formula1>Listas!$D$2:$D$9</formula1>
    </dataValidation>
  </dataValidations>
  <printOptions horizontalCentered="1"/>
  <pageMargins bottom="0.4" footer="0.0" header="0.0" left="0.3" right="0.3" top="0.4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3.0"/>
    <col customWidth="1" min="2" max="2" width="12.0"/>
    <col customWidth="1" min="3" max="3" width="24.0"/>
    <col customWidth="1" min="4" max="4" width="20.0"/>
    <col customWidth="1" min="5" max="5" width="21.57"/>
    <col customWidth="1" min="6" max="6" width="13.0"/>
    <col customWidth="1" min="7" max="7" width="11.29"/>
    <col customWidth="1" min="8" max="8" width="18.14"/>
    <col customWidth="1" min="9" max="9" width="20.71"/>
    <col customWidth="1" min="10" max="10" width="15.0"/>
    <col customWidth="1" min="11" max="11" width="26.0"/>
    <col customWidth="1" min="12" max="26" width="8.71"/>
  </cols>
  <sheetData>
    <row r="1" ht="18.75" customHeight="1">
      <c r="A1" s="1"/>
      <c r="B1" s="2" t="s">
        <v>23</v>
      </c>
      <c r="C1" s="3"/>
      <c r="D1" s="3"/>
      <c r="E1" s="3"/>
      <c r="F1" s="3"/>
      <c r="G1" s="3"/>
      <c r="H1" s="3"/>
      <c r="I1" s="3"/>
      <c r="J1" s="3"/>
      <c r="K1" s="4"/>
    </row>
    <row r="2" ht="18.75" customHeight="1">
      <c r="A2" s="1"/>
      <c r="B2" s="5"/>
      <c r="C2" s="6"/>
      <c r="D2" s="6"/>
      <c r="E2" s="6"/>
      <c r="F2" s="6"/>
      <c r="G2" s="6"/>
      <c r="H2" s="6"/>
      <c r="I2" s="6"/>
      <c r="J2" s="6"/>
      <c r="K2" s="7"/>
    </row>
    <row r="3" ht="18.75" customHeight="1">
      <c r="A3" s="1"/>
      <c r="B3" s="8" t="s">
        <v>34</v>
      </c>
      <c r="C3" s="3"/>
      <c r="D3" s="3"/>
      <c r="E3" s="3"/>
      <c r="F3" s="3"/>
      <c r="G3" s="3"/>
      <c r="H3" s="3"/>
      <c r="I3" s="3"/>
      <c r="J3" s="3"/>
      <c r="K3" s="4"/>
    </row>
    <row r="4" ht="18.75" customHeight="1">
      <c r="A4" s="1"/>
      <c r="B4" s="5"/>
      <c r="C4" s="6"/>
      <c r="D4" s="6"/>
      <c r="E4" s="6"/>
      <c r="F4" s="6"/>
      <c r="G4" s="6"/>
      <c r="H4" s="6"/>
      <c r="I4" s="6"/>
      <c r="J4" s="6"/>
      <c r="K4" s="7"/>
    </row>
    <row r="5" ht="14.25" customHeight="1"/>
    <row r="6" ht="30.0" customHeight="1">
      <c r="A6" s="10" t="s">
        <v>49</v>
      </c>
      <c r="B6" s="10" t="s">
        <v>5</v>
      </c>
      <c r="C6" s="10" t="s">
        <v>37</v>
      </c>
      <c r="D6" s="10" t="s">
        <v>52</v>
      </c>
      <c r="E6" s="10" t="s">
        <v>54</v>
      </c>
      <c r="F6" s="10" t="s">
        <v>55</v>
      </c>
      <c r="G6" s="10" t="s">
        <v>56</v>
      </c>
      <c r="H6" s="10" t="s">
        <v>21</v>
      </c>
      <c r="I6" s="10" t="s">
        <v>58</v>
      </c>
      <c r="J6" s="10" t="s">
        <v>60</v>
      </c>
      <c r="K6" s="10" t="s">
        <v>22</v>
      </c>
    </row>
    <row r="7" ht="15.0" customHeight="1">
      <c r="A7" s="19">
        <v>46235.0</v>
      </c>
      <c r="B7" s="15" t="s">
        <v>63</v>
      </c>
      <c r="C7" s="26" t="str">
        <f t="array" ref="C7">IFERROR(INDEX('Patrimônio'!$C$7:$C$1003,MATCH($B7,'Patrimônio'!$A$7:$A$1003,0)),"")</f>
        <v>Parafusadeira</v>
      </c>
      <c r="D7" s="26" t="str">
        <f t="array" ref="D7">IFERROR(INDEX('Patrimônio'!$B$7:$B$1003,MATCH($B7,'Patrimônio'!$A$7:$A$1003,0)),"")</f>
        <v>PARAFUSADEIRA</v>
      </c>
      <c r="E7" s="17" t="s">
        <v>120</v>
      </c>
      <c r="F7" s="18"/>
      <c r="G7" s="19">
        <v>46246.0</v>
      </c>
      <c r="H7" s="15" t="s">
        <v>128</v>
      </c>
      <c r="I7" s="17" t="s">
        <v>120</v>
      </c>
      <c r="J7" s="24">
        <f t="shared" ref="J7:J1006" si="1">IF(AND($A7&lt;&gt;"",$G7&lt;&gt;""),$G7-$A7,"")</f>
        <v>11</v>
      </c>
      <c r="K7" s="28" t="s">
        <v>137</v>
      </c>
    </row>
    <row r="8" ht="15.0" customHeight="1">
      <c r="A8" s="19">
        <v>46235.0</v>
      </c>
      <c r="B8" s="15" t="s">
        <v>138</v>
      </c>
      <c r="C8" s="26" t="str">
        <f t="array" ref="C8">IFERROR(INDEX('Patrimônio'!$C$7:$C$1003,MATCH($B8,'Patrimônio'!$A$7:$A$1003,0)),"")</f>
        <v>Rompedor</v>
      </c>
      <c r="D8" s="26" t="str">
        <f t="array" ref="D8">IFERROR(INDEX('Patrimônio'!$B$7:$B$1003,MATCH($B8,'Patrimônio'!$A$7:$A$1003,0)),"")</f>
        <v>ROMPEDOR</v>
      </c>
      <c r="E8" s="17" t="s">
        <v>140</v>
      </c>
      <c r="F8" s="18"/>
      <c r="G8" s="19">
        <v>46248.0</v>
      </c>
      <c r="H8" s="15" t="s">
        <v>128</v>
      </c>
      <c r="I8" s="17" t="s">
        <v>142</v>
      </c>
      <c r="J8" s="24">
        <f t="shared" si="1"/>
        <v>13</v>
      </c>
      <c r="K8" s="17" t="s">
        <v>137</v>
      </c>
    </row>
    <row r="9" ht="15.0" customHeight="1">
      <c r="A9" s="19">
        <v>46235.0</v>
      </c>
      <c r="B9" s="15" t="s">
        <v>143</v>
      </c>
      <c r="C9" s="26" t="str">
        <f t="array" ref="C9">IFERROR(INDEX('Patrimônio'!$C$7:$C$1003,MATCH($B9,'Patrimônio'!$A$7:$A$1003,0)),"")</f>
        <v>Perfuratriz</v>
      </c>
      <c r="D9" s="26" t="str">
        <f t="array" ref="D9">IFERROR(INDEX('Patrimônio'!$B$7:$B$1003,MATCH($B9,'Patrimônio'!$A$7:$A$1003,0)),"")</f>
        <v>PERFURATRIZ</v>
      </c>
      <c r="E9" s="17" t="s">
        <v>140</v>
      </c>
      <c r="F9" s="18"/>
      <c r="G9" s="19">
        <v>46244.0</v>
      </c>
      <c r="H9" s="15" t="s">
        <v>128</v>
      </c>
      <c r="I9" s="17" t="s">
        <v>140</v>
      </c>
      <c r="J9" s="24">
        <f t="shared" si="1"/>
        <v>9</v>
      </c>
      <c r="K9" s="17" t="s">
        <v>137</v>
      </c>
    </row>
    <row r="10" ht="15.0" customHeight="1">
      <c r="A10" s="19">
        <v>46235.0</v>
      </c>
      <c r="B10" s="15" t="s">
        <v>146</v>
      </c>
      <c r="C10" s="26" t="str">
        <f t="array" ref="C10">IFERROR(INDEX('Patrimônio'!$C$7:$C$1003,MATCH($B10,'Patrimônio'!$A$7:$A$1003,0)),"")</f>
        <v>Perfuratriz</v>
      </c>
      <c r="D10" s="26" t="str">
        <f t="array" ref="D10">IFERROR(INDEX('Patrimônio'!$B$7:$B$1003,MATCH($B10,'Patrimônio'!$A$7:$A$1003,0)),"")</f>
        <v>PERFURATRIZ</v>
      </c>
      <c r="E10" s="17" t="s">
        <v>150</v>
      </c>
      <c r="F10" s="18"/>
      <c r="G10" s="19"/>
      <c r="H10" s="15" t="s">
        <v>128</v>
      </c>
      <c r="I10" s="17"/>
      <c r="J10" s="24" t="str">
        <f t="shared" si="1"/>
        <v/>
      </c>
      <c r="K10" s="17" t="s">
        <v>137</v>
      </c>
    </row>
    <row r="11" ht="15.0" customHeight="1">
      <c r="A11" s="19">
        <v>46235.0</v>
      </c>
      <c r="B11" s="15" t="s">
        <v>153</v>
      </c>
      <c r="C11" s="26" t="str">
        <f t="array" ref="C11">IFERROR(INDEX('Patrimônio'!$C$7:$C$1003,MATCH($B11,'Patrimônio'!$A$7:$A$1003,0)),"")</f>
        <v>Termofusor</v>
      </c>
      <c r="D11" s="26" t="str">
        <f t="array" ref="D11">IFERROR(INDEX('Patrimônio'!$B$7:$B$1003,MATCH($B11,'Patrimônio'!$A$7:$A$1003,0)),"")</f>
        <v>TERMOFUSOR</v>
      </c>
      <c r="E11" s="17" t="s">
        <v>142</v>
      </c>
      <c r="F11" s="18"/>
      <c r="G11" s="19">
        <v>46235.0</v>
      </c>
      <c r="H11" s="15" t="s">
        <v>128</v>
      </c>
      <c r="I11" s="17" t="s">
        <v>142</v>
      </c>
      <c r="J11" s="24">
        <f t="shared" si="1"/>
        <v>0</v>
      </c>
      <c r="K11" s="17" t="s">
        <v>137</v>
      </c>
    </row>
    <row r="12" ht="15.0" customHeight="1">
      <c r="A12" s="19">
        <v>46235.0</v>
      </c>
      <c r="B12" s="15" t="s">
        <v>157</v>
      </c>
      <c r="C12" s="26" t="str">
        <f t="array" ref="C12">IFERROR(INDEX('Patrimônio'!$C$7:$C$1003,MATCH($B12,'Patrimônio'!$A$7:$A$1003,0)),"")</f>
        <v>Termofusor</v>
      </c>
      <c r="D12" s="26" t="str">
        <f t="array" ref="D12">IFERROR(INDEX('Patrimônio'!$B$7:$B$1003,MATCH($B12,'Patrimônio'!$A$7:$A$1003,0)),"")</f>
        <v>TERMOFUSOR</v>
      </c>
      <c r="E12" s="17" t="s">
        <v>142</v>
      </c>
      <c r="F12" s="18"/>
      <c r="G12" s="19">
        <v>46235.0</v>
      </c>
      <c r="H12" s="15" t="s">
        <v>128</v>
      </c>
      <c r="I12" s="17" t="s">
        <v>142</v>
      </c>
      <c r="J12" s="24">
        <f t="shared" si="1"/>
        <v>0</v>
      </c>
      <c r="K12" s="17" t="s">
        <v>137</v>
      </c>
    </row>
    <row r="13" ht="15.0" customHeight="1">
      <c r="A13" s="19">
        <v>46235.0</v>
      </c>
      <c r="B13" s="15" t="s">
        <v>162</v>
      </c>
      <c r="C13" s="26" t="str">
        <f t="array" ref="C13">IFERROR(INDEX('Patrimônio'!$C$7:$C$1003,MATCH($B13,'Patrimônio'!$A$7:$A$1003,0)),"")</f>
        <v>Pistola Finca Pino</v>
      </c>
      <c r="D13" s="26" t="str">
        <f t="array" ref="D13">IFERROR(INDEX('Patrimônio'!$B$7:$B$1003,MATCH($B13,'Patrimônio'!$A$7:$A$1003,0)),"")</f>
        <v>PISTOLA FINCA PINO</v>
      </c>
      <c r="E13" s="17" t="s">
        <v>161</v>
      </c>
      <c r="F13" s="18"/>
      <c r="G13" s="19"/>
      <c r="H13" s="15" t="s">
        <v>165</v>
      </c>
      <c r="I13" s="17"/>
      <c r="J13" s="24" t="str">
        <f t="shared" si="1"/>
        <v/>
      </c>
      <c r="K13" s="17" t="s">
        <v>137</v>
      </c>
    </row>
    <row r="14" ht="15.0" customHeight="1">
      <c r="A14" s="19">
        <v>46235.0</v>
      </c>
      <c r="B14" s="15" t="s">
        <v>167</v>
      </c>
      <c r="C14" s="26" t="str">
        <f t="array" ref="C14">IFERROR(INDEX('Patrimônio'!$C$7:$C$1003,MATCH($B14,'Patrimônio'!$A$7:$A$1003,0)),"")</f>
        <v>Prensa Pex</v>
      </c>
      <c r="D14" s="26" t="str">
        <f t="array" ref="D14">IFERROR(INDEX('Patrimônio'!$B$7:$B$1003,MATCH($B14,'Patrimônio'!$A$7:$A$1003,0)),"")</f>
        <v>PRENSA PEX</v>
      </c>
      <c r="E14" s="17" t="s">
        <v>142</v>
      </c>
      <c r="F14" s="18"/>
      <c r="G14" s="19"/>
      <c r="H14" s="32" t="s">
        <v>165</v>
      </c>
      <c r="I14" s="17"/>
      <c r="J14" s="24" t="str">
        <f t="shared" si="1"/>
        <v/>
      </c>
      <c r="K14" s="33" t="s">
        <v>170</v>
      </c>
    </row>
    <row r="15" ht="15.0" customHeight="1">
      <c r="A15" s="19">
        <v>46253.0</v>
      </c>
      <c r="B15" s="15" t="s">
        <v>172</v>
      </c>
      <c r="C15" s="26" t="str">
        <f t="array" ref="C15">IFERROR(INDEX('Patrimônio'!$C$7:$C$1003,MATCH($B15,'Patrimônio'!$A$7:$A$1003,0)),"")</f>
        <v>Perfuratriz</v>
      </c>
      <c r="D15" s="26" t="str">
        <f t="array" ref="D15">IFERROR(INDEX('Patrimônio'!$B$7:$B$1003,MATCH($B15,'Patrimônio'!$A$7:$A$1003,0)),"")</f>
        <v>PERFURATRIZ</v>
      </c>
      <c r="E15" s="17" t="s">
        <v>150</v>
      </c>
      <c r="F15" s="18"/>
      <c r="G15" s="19">
        <v>46258.0</v>
      </c>
      <c r="H15" s="15" t="s">
        <v>128</v>
      </c>
      <c r="I15" s="17" t="s">
        <v>150</v>
      </c>
      <c r="J15" s="24">
        <f t="shared" si="1"/>
        <v>5</v>
      </c>
      <c r="K15" s="17"/>
    </row>
    <row r="16" ht="15.0" customHeight="1">
      <c r="A16" s="19">
        <v>46258.0</v>
      </c>
      <c r="B16" s="15" t="s">
        <v>175</v>
      </c>
      <c r="C16" s="26" t="str">
        <f t="array" ref="C16">IFERROR(INDEX('Patrimônio'!$C$7:$C$1003,MATCH($B16,'Patrimônio'!$A$7:$A$1003,0)),"")</f>
        <v>Rompedor</v>
      </c>
      <c r="D16" s="26" t="str">
        <f t="array" ref="D16">IFERROR(INDEX('Patrimônio'!$B$7:$B$1003,MATCH($B16,'Patrimônio'!$A$7:$A$1003,0)),"")</f>
        <v>ROMPEDOR</v>
      </c>
      <c r="E16" s="17" t="s">
        <v>154</v>
      </c>
      <c r="F16" s="18"/>
      <c r="G16" s="19"/>
      <c r="H16" s="15" t="s">
        <v>180</v>
      </c>
      <c r="I16" s="17"/>
      <c r="J16" s="24" t="str">
        <f t="shared" si="1"/>
        <v/>
      </c>
      <c r="K16" s="17"/>
    </row>
    <row r="17" ht="15.0" customHeight="1">
      <c r="A17" s="19">
        <v>46258.0</v>
      </c>
      <c r="B17" s="15" t="s">
        <v>25</v>
      </c>
      <c r="C17" s="26" t="str">
        <f t="array" ref="C17">IFERROR(INDEX('Patrimônio'!$C$7:$C$1003,MATCH($B17,'Patrimônio'!$A$7:$A$1003,0)),"")</f>
        <v>Parafusadeira</v>
      </c>
      <c r="D17" s="26" t="str">
        <f t="array" ref="D17">IFERROR(INDEX('Patrimônio'!$B$7:$B$1003,MATCH($B17,'Patrimônio'!$A$7:$A$1003,0)),"")</f>
        <v>PARAFUSADEIRA</v>
      </c>
      <c r="E17" s="17"/>
      <c r="F17" s="18"/>
      <c r="G17" s="19">
        <v>46258.0</v>
      </c>
      <c r="H17" s="15" t="s">
        <v>128</v>
      </c>
      <c r="I17" s="17" t="s">
        <v>183</v>
      </c>
      <c r="J17" s="24">
        <f t="shared" si="1"/>
        <v>0</v>
      </c>
      <c r="K17" s="17"/>
    </row>
    <row r="18" ht="15.0" customHeight="1">
      <c r="A18" s="19">
        <v>46260.0</v>
      </c>
      <c r="B18" s="15" t="s">
        <v>184</v>
      </c>
      <c r="C18" s="26" t="str">
        <f t="array" ref="C18">IFERROR(INDEX('Patrimônio'!$C$7:$C$1003,MATCH($B18,'Patrimônio'!$A$7:$A$1003,0)),"")</f>
        <v>Perfuratriz</v>
      </c>
      <c r="D18" s="26" t="str">
        <f t="array" ref="D18">IFERROR(INDEX('Patrimônio'!$B$7:$B$1003,MATCH($B18,'Patrimônio'!$A$7:$A$1003,0)),"")</f>
        <v>PERFURATRIZ</v>
      </c>
      <c r="E18" s="17" t="s">
        <v>150</v>
      </c>
      <c r="F18" s="18"/>
      <c r="G18" s="19">
        <v>46268.0</v>
      </c>
      <c r="H18" s="15" t="s">
        <v>128</v>
      </c>
      <c r="I18" s="17" t="s">
        <v>187</v>
      </c>
      <c r="J18" s="24">
        <f t="shared" si="1"/>
        <v>8</v>
      </c>
      <c r="K18" s="17"/>
    </row>
    <row r="19" ht="15.0" customHeight="1">
      <c r="A19" s="19">
        <v>46261.0</v>
      </c>
      <c r="B19" s="15" t="s">
        <v>188</v>
      </c>
      <c r="C19" s="26" t="str">
        <f t="array" ref="C19">IFERROR(INDEX('Patrimônio'!$C$7:$C$1003,MATCH($B19,'Patrimônio'!$A$7:$A$1003,0)),"")</f>
        <v>Rompedor</v>
      </c>
      <c r="D19" s="26" t="str">
        <f t="array" ref="D19">IFERROR(INDEX('Patrimônio'!$B$7:$B$1003,MATCH($B19,'Patrimônio'!$A$7:$A$1003,0)),"")</f>
        <v>ROMPEDOR</v>
      </c>
      <c r="E19" s="17" t="s">
        <v>183</v>
      </c>
      <c r="F19" s="18"/>
      <c r="G19" s="19"/>
      <c r="H19" s="32" t="s">
        <v>165</v>
      </c>
      <c r="I19" s="17"/>
      <c r="J19" s="24" t="str">
        <f t="shared" si="1"/>
        <v/>
      </c>
      <c r="K19" s="17"/>
    </row>
    <row r="20" ht="15.0" customHeight="1">
      <c r="A20" s="19">
        <v>46274.0</v>
      </c>
      <c r="B20" s="15" t="s">
        <v>172</v>
      </c>
      <c r="C20" s="26" t="str">
        <f t="array" ref="C20">IFERROR(INDEX('Patrimônio'!$C$7:$C$1003,MATCH($B20,'Patrimônio'!$A$7:$A$1003,0)),"")</f>
        <v>Perfuratriz</v>
      </c>
      <c r="D20" s="26" t="str">
        <f t="array" ref="D20">IFERROR(INDEX('Patrimônio'!$B$7:$B$1003,MATCH($B20,'Patrimônio'!$A$7:$A$1003,0)),"")</f>
        <v>PERFURATRIZ</v>
      </c>
      <c r="E20" s="17" t="s">
        <v>150</v>
      </c>
      <c r="F20" s="18"/>
      <c r="G20" s="19">
        <v>46275.0</v>
      </c>
      <c r="H20" s="32" t="s">
        <v>128</v>
      </c>
      <c r="I20" s="17" t="s">
        <v>120</v>
      </c>
      <c r="J20" s="24">
        <f t="shared" si="1"/>
        <v>1</v>
      </c>
      <c r="K20" s="17"/>
    </row>
    <row r="21" ht="15.0" customHeight="1">
      <c r="A21" s="36">
        <v>46235.0</v>
      </c>
      <c r="B21" s="32" t="s">
        <v>205</v>
      </c>
      <c r="C21" s="26" t="str">
        <f t="array" ref="C21">IFERROR(INDEX('Patrimônio'!$C$7:$C$1003,MATCH($B21,'Patrimônio'!$A$7:$A$1003,0)),"")</f>
        <v>Martelete 5Kg</v>
      </c>
      <c r="D21" s="26" t="str">
        <f t="array" ref="D21">IFERROR(INDEX('Patrimônio'!$B$7:$B$1003,MATCH($B21,'Patrimônio'!$A$7:$A$1003,0)),"")</f>
        <v>MARTELETE 5KG</v>
      </c>
      <c r="E21" s="33" t="s">
        <v>74</v>
      </c>
      <c r="F21" s="18"/>
      <c r="G21" s="19"/>
      <c r="H21" s="32" t="s">
        <v>128</v>
      </c>
      <c r="I21" s="33" t="s">
        <v>208</v>
      </c>
      <c r="J21" s="24" t="str">
        <f t="shared" si="1"/>
        <v/>
      </c>
      <c r="K21" s="17"/>
    </row>
    <row r="22" ht="15.0" customHeight="1">
      <c r="A22" s="36">
        <v>46281.0</v>
      </c>
      <c r="B22" s="32" t="s">
        <v>146</v>
      </c>
      <c r="C22" s="26" t="str">
        <f t="array" ref="C22">IFERROR(INDEX('Patrimônio'!$C$7:$C$1003,MATCH($B22,'Patrimônio'!$A$7:$A$1003,0)),"")</f>
        <v>Perfuratriz</v>
      </c>
      <c r="D22" s="26" t="str">
        <f t="array" ref="D22">IFERROR(INDEX('Patrimônio'!$B$7:$B$1003,MATCH($B22,'Patrimônio'!$A$7:$A$1003,0)),"")</f>
        <v>PERFURATRIZ</v>
      </c>
      <c r="E22" s="33" t="s">
        <v>142</v>
      </c>
      <c r="F22" s="18"/>
      <c r="G22" s="19"/>
      <c r="H22" s="32" t="s">
        <v>180</v>
      </c>
      <c r="I22" s="17"/>
      <c r="J22" s="24" t="str">
        <f t="shared" si="1"/>
        <v/>
      </c>
      <c r="K22" s="17"/>
    </row>
    <row r="23" ht="15.0" customHeight="1">
      <c r="A23" s="19"/>
      <c r="B23" s="15"/>
      <c r="C23" s="26" t="str">
        <f t="array" ref="C23">IFERROR(INDEX('Patrimônio'!$C$7:$C$1003,MATCH($B23,'Patrimônio'!$A$7:$A$1003,0)),"")</f>
        <v/>
      </c>
      <c r="D23" s="26" t="str">
        <f t="array" ref="D23">IFERROR(INDEX('Patrimônio'!$B$7:$B$1003,MATCH($B23,'Patrimônio'!$A$7:$A$1003,0)),"")</f>
        <v/>
      </c>
      <c r="E23" s="17"/>
      <c r="F23" s="18"/>
      <c r="G23" s="19"/>
      <c r="H23" s="15"/>
      <c r="I23" s="17"/>
      <c r="J23" s="24" t="str">
        <f t="shared" si="1"/>
        <v/>
      </c>
      <c r="K23" s="17"/>
    </row>
    <row r="24" ht="15.0" customHeight="1">
      <c r="A24" s="19"/>
      <c r="B24" s="15"/>
      <c r="C24" s="26" t="str">
        <f t="array" ref="C24">IFERROR(INDEX('Patrimônio'!$C$7:$C$1003,MATCH($B24,'Patrimônio'!$A$7:$A$1003,0)),"")</f>
        <v/>
      </c>
      <c r="D24" s="26" t="str">
        <f t="array" ref="D24">IFERROR(INDEX('Patrimônio'!$B$7:$B$1003,MATCH($B24,'Patrimônio'!$A$7:$A$1003,0)),"")</f>
        <v/>
      </c>
      <c r="E24" s="17"/>
      <c r="F24" s="18"/>
      <c r="G24" s="19"/>
      <c r="H24" s="15"/>
      <c r="I24" s="17"/>
      <c r="J24" s="24" t="str">
        <f t="shared" si="1"/>
        <v/>
      </c>
      <c r="K24" s="17"/>
    </row>
    <row r="25" ht="15.0" customHeight="1">
      <c r="A25" s="19"/>
      <c r="B25" s="15"/>
      <c r="C25" s="26" t="str">
        <f t="array" ref="C25">IFERROR(INDEX('Patrimônio'!$C$7:$C$1003,MATCH($B25,'Patrimônio'!$A$7:$A$1003,0)),"")</f>
        <v/>
      </c>
      <c r="D25" s="26" t="str">
        <f t="array" ref="D25">IFERROR(INDEX('Patrimônio'!$B$7:$B$1003,MATCH($B25,'Patrimônio'!$A$7:$A$1003,0)),"")</f>
        <v/>
      </c>
      <c r="E25" s="17"/>
      <c r="F25" s="18"/>
      <c r="G25" s="19"/>
      <c r="H25" s="15"/>
      <c r="I25" s="17"/>
      <c r="J25" s="24" t="str">
        <f t="shared" si="1"/>
        <v/>
      </c>
      <c r="K25" s="17"/>
    </row>
    <row r="26" ht="15.0" customHeight="1">
      <c r="A26" s="19"/>
      <c r="B26" s="15"/>
      <c r="C26" s="26" t="str">
        <f t="array" ref="C26">IFERROR(INDEX('Patrimônio'!$C$7:$C$1003,MATCH($B26,'Patrimônio'!$A$7:$A$1003,0)),"")</f>
        <v/>
      </c>
      <c r="D26" s="26" t="str">
        <f t="array" ref="D26">IFERROR(INDEX('Patrimônio'!$B$7:$B$1003,MATCH($B26,'Patrimônio'!$A$7:$A$1003,0)),"")</f>
        <v/>
      </c>
      <c r="E26" s="17"/>
      <c r="F26" s="18"/>
      <c r="G26" s="19"/>
      <c r="H26" s="15"/>
      <c r="I26" s="17"/>
      <c r="J26" s="24" t="str">
        <f t="shared" si="1"/>
        <v/>
      </c>
      <c r="K26" s="17"/>
    </row>
    <row r="27" ht="15.0" customHeight="1">
      <c r="A27" s="19"/>
      <c r="B27" s="15"/>
      <c r="C27" s="26" t="str">
        <f t="array" ref="C27">IFERROR(INDEX('Patrimônio'!$C$7:$C$1003,MATCH($B27,'Patrimônio'!$A$7:$A$1003,0)),"")</f>
        <v/>
      </c>
      <c r="D27" s="26" t="str">
        <f t="array" ref="D27">IFERROR(INDEX('Patrimônio'!$B$7:$B$1003,MATCH($B27,'Patrimônio'!$A$7:$A$1003,0)),"")</f>
        <v/>
      </c>
      <c r="E27" s="17"/>
      <c r="F27" s="18"/>
      <c r="G27" s="19"/>
      <c r="H27" s="15"/>
      <c r="I27" s="17"/>
      <c r="J27" s="24" t="str">
        <f t="shared" si="1"/>
        <v/>
      </c>
      <c r="K27" s="17"/>
    </row>
    <row r="28" ht="15.0" customHeight="1">
      <c r="A28" s="19"/>
      <c r="B28" s="15"/>
      <c r="C28" s="26" t="str">
        <f t="array" ref="C28">IFERROR(INDEX('Patrimônio'!$C$7:$C$1003,MATCH($B28,'Patrimônio'!$A$7:$A$1003,0)),"")</f>
        <v/>
      </c>
      <c r="D28" s="26" t="str">
        <f t="array" ref="D28">IFERROR(INDEX('Patrimônio'!$B$7:$B$1003,MATCH($B28,'Patrimônio'!$A$7:$A$1003,0)),"")</f>
        <v/>
      </c>
      <c r="E28" s="17"/>
      <c r="F28" s="18"/>
      <c r="G28" s="19"/>
      <c r="H28" s="15"/>
      <c r="I28" s="17"/>
      <c r="J28" s="24" t="str">
        <f t="shared" si="1"/>
        <v/>
      </c>
      <c r="K28" s="17"/>
    </row>
    <row r="29" ht="15.0" customHeight="1">
      <c r="A29" s="19"/>
      <c r="B29" s="15"/>
      <c r="C29" s="26" t="str">
        <f t="array" ref="C29">IFERROR(INDEX('Patrimônio'!$C$7:$C$1003,MATCH($B29,'Patrimônio'!$A$7:$A$1003,0)),"")</f>
        <v/>
      </c>
      <c r="D29" s="26" t="str">
        <f t="array" ref="D29">IFERROR(INDEX('Patrimônio'!$B$7:$B$1003,MATCH($B29,'Patrimônio'!$A$7:$A$1003,0)),"")</f>
        <v/>
      </c>
      <c r="E29" s="17"/>
      <c r="F29" s="18"/>
      <c r="G29" s="19"/>
      <c r="H29" s="15"/>
      <c r="I29" s="17"/>
      <c r="J29" s="24" t="str">
        <f t="shared" si="1"/>
        <v/>
      </c>
      <c r="K29" s="17"/>
    </row>
    <row r="30" ht="15.0" customHeight="1">
      <c r="A30" s="19"/>
      <c r="B30" s="15"/>
      <c r="C30" s="26" t="str">
        <f t="array" ref="C30">IFERROR(INDEX('Patrimônio'!$C$7:$C$1003,MATCH($B30,'Patrimônio'!$A$7:$A$1003,0)),"")</f>
        <v/>
      </c>
      <c r="D30" s="26" t="str">
        <f t="array" ref="D30">IFERROR(INDEX('Patrimônio'!$B$7:$B$1003,MATCH($B30,'Patrimônio'!$A$7:$A$1003,0)),"")</f>
        <v/>
      </c>
      <c r="E30" s="17"/>
      <c r="F30" s="18"/>
      <c r="G30" s="19"/>
      <c r="H30" s="15"/>
      <c r="I30" s="17"/>
      <c r="J30" s="24" t="str">
        <f t="shared" si="1"/>
        <v/>
      </c>
      <c r="K30" s="17"/>
    </row>
    <row r="31" ht="15.0" customHeight="1">
      <c r="A31" s="19"/>
      <c r="B31" s="15"/>
      <c r="C31" s="26" t="str">
        <f t="array" ref="C31">IFERROR(INDEX('Patrimônio'!$C$7:$C$1003,MATCH($B31,'Patrimônio'!$A$7:$A$1003,0)),"")</f>
        <v/>
      </c>
      <c r="D31" s="26" t="str">
        <f t="array" ref="D31">IFERROR(INDEX('Patrimônio'!$B$7:$B$1003,MATCH($B31,'Patrimônio'!$A$7:$A$1003,0)),"")</f>
        <v/>
      </c>
      <c r="E31" s="17"/>
      <c r="F31" s="18"/>
      <c r="G31" s="19"/>
      <c r="H31" s="15"/>
      <c r="I31" s="17"/>
      <c r="J31" s="24" t="str">
        <f t="shared" si="1"/>
        <v/>
      </c>
      <c r="K31" s="17"/>
    </row>
    <row r="32" ht="15.0" customHeight="1">
      <c r="A32" s="19"/>
      <c r="B32" s="15"/>
      <c r="C32" s="26" t="str">
        <f t="array" ref="C32">IFERROR(INDEX('Patrimônio'!$C$7:$C$1003,MATCH($B32,'Patrimônio'!$A$7:$A$1003,0)),"")</f>
        <v/>
      </c>
      <c r="D32" s="26" t="str">
        <f t="array" ref="D32">IFERROR(INDEX('Patrimônio'!$B$7:$B$1003,MATCH($B32,'Patrimônio'!$A$7:$A$1003,0)),"")</f>
        <v/>
      </c>
      <c r="E32" s="17"/>
      <c r="F32" s="18"/>
      <c r="G32" s="19"/>
      <c r="H32" s="15"/>
      <c r="I32" s="17"/>
      <c r="J32" s="24" t="str">
        <f t="shared" si="1"/>
        <v/>
      </c>
      <c r="K32" s="17"/>
    </row>
    <row r="33" ht="15.0" customHeight="1">
      <c r="A33" s="19"/>
      <c r="B33" s="15"/>
      <c r="C33" s="26" t="str">
        <f t="array" ref="C33">IFERROR(INDEX('Patrimônio'!$C$7:$C$1003,MATCH($B33,'Patrimônio'!$A$7:$A$1003,0)),"")</f>
        <v/>
      </c>
      <c r="D33" s="26" t="str">
        <f t="array" ref="D33">IFERROR(INDEX('Patrimônio'!$B$7:$B$1003,MATCH($B33,'Patrimônio'!$A$7:$A$1003,0)),"")</f>
        <v/>
      </c>
      <c r="E33" s="17"/>
      <c r="F33" s="18"/>
      <c r="G33" s="19"/>
      <c r="H33" s="15"/>
      <c r="I33" s="17"/>
      <c r="J33" s="24" t="str">
        <f t="shared" si="1"/>
        <v/>
      </c>
      <c r="K33" s="17"/>
    </row>
    <row r="34" ht="15.0" customHeight="1">
      <c r="A34" s="19"/>
      <c r="B34" s="15"/>
      <c r="C34" s="26" t="str">
        <f t="array" ref="C34">IFERROR(INDEX('Patrimônio'!$C$7:$C$1003,MATCH($B34,'Patrimônio'!$A$7:$A$1003,0)),"")</f>
        <v/>
      </c>
      <c r="D34" s="26" t="str">
        <f t="array" ref="D34">IFERROR(INDEX('Patrimônio'!$B$7:$B$1003,MATCH($B34,'Patrimônio'!$A$7:$A$1003,0)),"")</f>
        <v/>
      </c>
      <c r="E34" s="17"/>
      <c r="F34" s="18"/>
      <c r="G34" s="19"/>
      <c r="H34" s="15"/>
      <c r="I34" s="17"/>
      <c r="J34" s="24" t="str">
        <f t="shared" si="1"/>
        <v/>
      </c>
      <c r="K34" s="17"/>
    </row>
    <row r="35" ht="15.0" customHeight="1">
      <c r="A35" s="19"/>
      <c r="B35" s="15"/>
      <c r="C35" s="26" t="str">
        <f t="array" ref="C35">IFERROR(INDEX('Patrimônio'!$C$7:$C$1003,MATCH($B35,'Patrimônio'!$A$7:$A$1003,0)),"")</f>
        <v/>
      </c>
      <c r="D35" s="26" t="str">
        <f t="array" ref="D35">IFERROR(INDEX('Patrimônio'!$B$7:$B$1003,MATCH($B35,'Patrimônio'!$A$7:$A$1003,0)),"")</f>
        <v/>
      </c>
      <c r="E35" s="17"/>
      <c r="F35" s="18"/>
      <c r="G35" s="19"/>
      <c r="H35" s="15"/>
      <c r="I35" s="17"/>
      <c r="J35" s="24" t="str">
        <f t="shared" si="1"/>
        <v/>
      </c>
      <c r="K35" s="17"/>
    </row>
    <row r="36" ht="15.0" customHeight="1">
      <c r="A36" s="19"/>
      <c r="B36" s="15"/>
      <c r="C36" s="26" t="str">
        <f t="array" ref="C36">IFERROR(INDEX('Patrimônio'!$C$7:$C$1003,MATCH($B36,'Patrimônio'!$A$7:$A$1003,0)),"")</f>
        <v/>
      </c>
      <c r="D36" s="26" t="str">
        <f t="array" ref="D36">IFERROR(INDEX('Patrimônio'!$B$7:$B$1003,MATCH($B36,'Patrimônio'!$A$7:$A$1003,0)),"")</f>
        <v/>
      </c>
      <c r="E36" s="17"/>
      <c r="F36" s="18"/>
      <c r="G36" s="19"/>
      <c r="H36" s="15"/>
      <c r="I36" s="17"/>
      <c r="J36" s="24" t="str">
        <f t="shared" si="1"/>
        <v/>
      </c>
      <c r="K36" s="17"/>
    </row>
    <row r="37" ht="15.0" customHeight="1">
      <c r="A37" s="19"/>
      <c r="B37" s="15"/>
      <c r="C37" s="26" t="str">
        <f t="array" ref="C37">IFERROR(INDEX('Patrimônio'!$C$7:$C$1003,MATCH($B37,'Patrimônio'!$A$7:$A$1003,0)),"")</f>
        <v/>
      </c>
      <c r="D37" s="26" t="str">
        <f t="array" ref="D37">IFERROR(INDEX('Patrimônio'!$B$7:$B$1003,MATCH($B37,'Patrimônio'!$A$7:$A$1003,0)),"")</f>
        <v/>
      </c>
      <c r="E37" s="17"/>
      <c r="F37" s="18"/>
      <c r="G37" s="19"/>
      <c r="H37" s="15"/>
      <c r="I37" s="17"/>
      <c r="J37" s="24" t="str">
        <f t="shared" si="1"/>
        <v/>
      </c>
      <c r="K37" s="17"/>
    </row>
    <row r="38" ht="15.0" customHeight="1">
      <c r="A38" s="19"/>
      <c r="B38" s="15"/>
      <c r="C38" s="26" t="str">
        <f t="array" ref="C38">IFERROR(INDEX('Patrimônio'!$C$7:$C$1003,MATCH($B38,'Patrimônio'!$A$7:$A$1003,0)),"")</f>
        <v/>
      </c>
      <c r="D38" s="26" t="str">
        <f t="array" ref="D38">IFERROR(INDEX('Patrimônio'!$B$7:$B$1003,MATCH($B38,'Patrimônio'!$A$7:$A$1003,0)),"")</f>
        <v/>
      </c>
      <c r="E38" s="17"/>
      <c r="F38" s="18"/>
      <c r="G38" s="19"/>
      <c r="H38" s="15"/>
      <c r="I38" s="17"/>
      <c r="J38" s="24" t="str">
        <f t="shared" si="1"/>
        <v/>
      </c>
      <c r="K38" s="17"/>
    </row>
    <row r="39" ht="15.0" customHeight="1">
      <c r="A39" s="19"/>
      <c r="B39" s="15"/>
      <c r="C39" s="26" t="str">
        <f t="array" ref="C39">IFERROR(INDEX('Patrimônio'!$C$7:$C$1003,MATCH($B39,'Patrimônio'!$A$7:$A$1003,0)),"")</f>
        <v/>
      </c>
      <c r="D39" s="26" t="str">
        <f t="array" ref="D39">IFERROR(INDEX('Patrimônio'!$B$7:$B$1003,MATCH($B39,'Patrimônio'!$A$7:$A$1003,0)),"")</f>
        <v/>
      </c>
      <c r="E39" s="17"/>
      <c r="F39" s="18"/>
      <c r="G39" s="19"/>
      <c r="H39" s="15"/>
      <c r="I39" s="17"/>
      <c r="J39" s="24" t="str">
        <f t="shared" si="1"/>
        <v/>
      </c>
      <c r="K39" s="17"/>
    </row>
    <row r="40" ht="15.0" customHeight="1">
      <c r="A40" s="19"/>
      <c r="B40" s="15"/>
      <c r="C40" s="26" t="str">
        <f t="array" ref="C40">IFERROR(INDEX('Patrimônio'!$C$7:$C$1003,MATCH($B40,'Patrimônio'!$A$7:$A$1003,0)),"")</f>
        <v/>
      </c>
      <c r="D40" s="26" t="str">
        <f t="array" ref="D40">IFERROR(INDEX('Patrimônio'!$B$7:$B$1003,MATCH($B40,'Patrimônio'!$A$7:$A$1003,0)),"")</f>
        <v/>
      </c>
      <c r="E40" s="17"/>
      <c r="F40" s="18"/>
      <c r="G40" s="19"/>
      <c r="H40" s="15"/>
      <c r="I40" s="17"/>
      <c r="J40" s="24" t="str">
        <f t="shared" si="1"/>
        <v/>
      </c>
      <c r="K40" s="17"/>
    </row>
    <row r="41" ht="15.0" customHeight="1">
      <c r="A41" s="19"/>
      <c r="B41" s="15"/>
      <c r="C41" s="26" t="str">
        <f t="array" ref="C41">IFERROR(INDEX('Patrimônio'!$C$7:$C$1003,MATCH($B41,'Patrimônio'!$A$7:$A$1003,0)),"")</f>
        <v/>
      </c>
      <c r="D41" s="26" t="str">
        <f t="array" ref="D41">IFERROR(INDEX('Patrimônio'!$B$7:$B$1003,MATCH($B41,'Patrimônio'!$A$7:$A$1003,0)),"")</f>
        <v/>
      </c>
      <c r="E41" s="17"/>
      <c r="F41" s="18"/>
      <c r="G41" s="19"/>
      <c r="H41" s="15"/>
      <c r="I41" s="17"/>
      <c r="J41" s="24" t="str">
        <f t="shared" si="1"/>
        <v/>
      </c>
      <c r="K41" s="17"/>
    </row>
    <row r="42" ht="15.0" customHeight="1">
      <c r="A42" s="19"/>
      <c r="B42" s="15"/>
      <c r="C42" s="26" t="str">
        <f t="array" ref="C42">IFERROR(INDEX('Patrimônio'!$C$7:$C$1003,MATCH($B42,'Patrimônio'!$A$7:$A$1003,0)),"")</f>
        <v/>
      </c>
      <c r="D42" s="26" t="str">
        <f t="array" ref="D42">IFERROR(INDEX('Patrimônio'!$B$7:$B$1003,MATCH($B42,'Patrimônio'!$A$7:$A$1003,0)),"")</f>
        <v/>
      </c>
      <c r="E42" s="17"/>
      <c r="F42" s="18"/>
      <c r="G42" s="19"/>
      <c r="H42" s="15"/>
      <c r="I42" s="17"/>
      <c r="J42" s="24" t="str">
        <f t="shared" si="1"/>
        <v/>
      </c>
      <c r="K42" s="17"/>
    </row>
    <row r="43" ht="15.0" customHeight="1">
      <c r="A43" s="19"/>
      <c r="B43" s="15"/>
      <c r="C43" s="26" t="str">
        <f t="array" ref="C43">IFERROR(INDEX('Patrimônio'!$C$7:$C$1003,MATCH($B43,'Patrimônio'!$A$7:$A$1003,0)),"")</f>
        <v/>
      </c>
      <c r="D43" s="26" t="str">
        <f t="array" ref="D43">IFERROR(INDEX('Patrimônio'!$B$7:$B$1003,MATCH($B43,'Patrimônio'!$A$7:$A$1003,0)),"")</f>
        <v/>
      </c>
      <c r="E43" s="17"/>
      <c r="F43" s="18"/>
      <c r="G43" s="19"/>
      <c r="H43" s="15"/>
      <c r="I43" s="17"/>
      <c r="J43" s="24" t="str">
        <f t="shared" si="1"/>
        <v/>
      </c>
      <c r="K43" s="17"/>
    </row>
    <row r="44" ht="15.0" customHeight="1">
      <c r="A44" s="19"/>
      <c r="B44" s="15"/>
      <c r="C44" s="26" t="str">
        <f t="array" ref="C44">IFERROR(INDEX('Patrimônio'!$C$7:$C$1003,MATCH($B44,'Patrimônio'!$A$7:$A$1003,0)),"")</f>
        <v/>
      </c>
      <c r="D44" s="26" t="str">
        <f t="array" ref="D44">IFERROR(INDEX('Patrimônio'!$B$7:$B$1003,MATCH($B44,'Patrimônio'!$A$7:$A$1003,0)),"")</f>
        <v/>
      </c>
      <c r="E44" s="17"/>
      <c r="F44" s="18"/>
      <c r="G44" s="19"/>
      <c r="H44" s="15"/>
      <c r="I44" s="17"/>
      <c r="J44" s="24" t="str">
        <f t="shared" si="1"/>
        <v/>
      </c>
      <c r="K44" s="17"/>
    </row>
    <row r="45" ht="15.0" customHeight="1">
      <c r="A45" s="19"/>
      <c r="B45" s="15"/>
      <c r="C45" s="26" t="str">
        <f t="array" ref="C45">IFERROR(INDEX('Patrimônio'!$C$7:$C$1003,MATCH($B45,'Patrimônio'!$A$7:$A$1003,0)),"")</f>
        <v/>
      </c>
      <c r="D45" s="26" t="str">
        <f t="array" ref="D45">IFERROR(INDEX('Patrimônio'!$B$7:$B$1003,MATCH($B45,'Patrimônio'!$A$7:$A$1003,0)),"")</f>
        <v/>
      </c>
      <c r="E45" s="17"/>
      <c r="F45" s="18"/>
      <c r="G45" s="19"/>
      <c r="H45" s="15"/>
      <c r="I45" s="17"/>
      <c r="J45" s="24" t="str">
        <f t="shared" si="1"/>
        <v/>
      </c>
      <c r="K45" s="17"/>
    </row>
    <row r="46" ht="15.0" customHeight="1">
      <c r="A46" s="19"/>
      <c r="B46" s="15"/>
      <c r="C46" s="26" t="str">
        <f t="array" ref="C46">IFERROR(INDEX('Patrimônio'!$C$7:$C$1003,MATCH($B46,'Patrimônio'!$A$7:$A$1003,0)),"")</f>
        <v/>
      </c>
      <c r="D46" s="26" t="str">
        <f t="array" ref="D46">IFERROR(INDEX('Patrimônio'!$B$7:$B$1003,MATCH($B46,'Patrimônio'!$A$7:$A$1003,0)),"")</f>
        <v/>
      </c>
      <c r="E46" s="17"/>
      <c r="F46" s="18"/>
      <c r="G46" s="19"/>
      <c r="H46" s="15"/>
      <c r="I46" s="17"/>
      <c r="J46" s="24" t="str">
        <f t="shared" si="1"/>
        <v/>
      </c>
      <c r="K46" s="17"/>
    </row>
    <row r="47" ht="15.0" customHeight="1">
      <c r="A47" s="19"/>
      <c r="B47" s="15"/>
      <c r="C47" s="26" t="str">
        <f t="array" ref="C47">IFERROR(INDEX('Patrimônio'!$C$7:$C$1003,MATCH($B47,'Patrimônio'!$A$7:$A$1003,0)),"")</f>
        <v/>
      </c>
      <c r="D47" s="26" t="str">
        <f t="array" ref="D47">IFERROR(INDEX('Patrimônio'!$B$7:$B$1003,MATCH($B47,'Patrimônio'!$A$7:$A$1003,0)),"")</f>
        <v/>
      </c>
      <c r="E47" s="17"/>
      <c r="F47" s="18"/>
      <c r="G47" s="19"/>
      <c r="H47" s="15"/>
      <c r="I47" s="17"/>
      <c r="J47" s="24" t="str">
        <f t="shared" si="1"/>
        <v/>
      </c>
      <c r="K47" s="17"/>
    </row>
    <row r="48" ht="15.0" customHeight="1">
      <c r="A48" s="19"/>
      <c r="B48" s="15"/>
      <c r="C48" s="26" t="str">
        <f t="array" ref="C48">IFERROR(INDEX('Patrimônio'!$C$7:$C$1003,MATCH($B48,'Patrimônio'!$A$7:$A$1003,0)),"")</f>
        <v/>
      </c>
      <c r="D48" s="26" t="str">
        <f t="array" ref="D48">IFERROR(INDEX('Patrimônio'!$B$7:$B$1003,MATCH($B48,'Patrimônio'!$A$7:$A$1003,0)),"")</f>
        <v/>
      </c>
      <c r="E48" s="17"/>
      <c r="F48" s="18"/>
      <c r="G48" s="19"/>
      <c r="H48" s="15"/>
      <c r="I48" s="17"/>
      <c r="J48" s="24" t="str">
        <f t="shared" si="1"/>
        <v/>
      </c>
      <c r="K48" s="17"/>
    </row>
    <row r="49" ht="15.0" customHeight="1">
      <c r="A49" s="19"/>
      <c r="B49" s="15"/>
      <c r="C49" s="26" t="str">
        <f t="array" ref="C49">IFERROR(INDEX('Patrimônio'!$C$7:$C$1003,MATCH($B49,'Patrimônio'!$A$7:$A$1003,0)),"")</f>
        <v/>
      </c>
      <c r="D49" s="26" t="str">
        <f t="array" ref="D49">IFERROR(INDEX('Patrimônio'!$B$7:$B$1003,MATCH($B49,'Patrimônio'!$A$7:$A$1003,0)),"")</f>
        <v/>
      </c>
      <c r="E49" s="17"/>
      <c r="F49" s="18"/>
      <c r="G49" s="19"/>
      <c r="H49" s="15"/>
      <c r="I49" s="17"/>
      <c r="J49" s="24" t="str">
        <f t="shared" si="1"/>
        <v/>
      </c>
      <c r="K49" s="17"/>
    </row>
    <row r="50" ht="15.0" customHeight="1">
      <c r="A50" s="19"/>
      <c r="B50" s="15"/>
      <c r="C50" s="26" t="str">
        <f t="array" ref="C50">IFERROR(INDEX('Patrimônio'!$C$7:$C$1003,MATCH($B50,'Patrimônio'!$A$7:$A$1003,0)),"")</f>
        <v/>
      </c>
      <c r="D50" s="26" t="str">
        <f t="array" ref="D50">IFERROR(INDEX('Patrimônio'!$B$7:$B$1003,MATCH($B50,'Patrimônio'!$A$7:$A$1003,0)),"")</f>
        <v/>
      </c>
      <c r="E50" s="17"/>
      <c r="F50" s="18"/>
      <c r="G50" s="19"/>
      <c r="H50" s="15"/>
      <c r="I50" s="17"/>
      <c r="J50" s="24" t="str">
        <f t="shared" si="1"/>
        <v/>
      </c>
      <c r="K50" s="17"/>
    </row>
    <row r="51" ht="15.0" customHeight="1">
      <c r="A51" s="19"/>
      <c r="B51" s="15"/>
      <c r="C51" s="26" t="str">
        <f t="array" ref="C51">IFERROR(INDEX('Patrimônio'!$C$7:$C$1003,MATCH($B51,'Patrimônio'!$A$7:$A$1003,0)),"")</f>
        <v/>
      </c>
      <c r="D51" s="26" t="str">
        <f t="array" ref="D51">IFERROR(INDEX('Patrimônio'!$B$7:$B$1003,MATCH($B51,'Patrimônio'!$A$7:$A$1003,0)),"")</f>
        <v/>
      </c>
      <c r="E51" s="17"/>
      <c r="F51" s="18"/>
      <c r="G51" s="19"/>
      <c r="H51" s="15"/>
      <c r="I51" s="17"/>
      <c r="J51" s="24" t="str">
        <f t="shared" si="1"/>
        <v/>
      </c>
      <c r="K51" s="17"/>
    </row>
    <row r="52" ht="15.0" customHeight="1">
      <c r="A52" s="19"/>
      <c r="B52" s="15"/>
      <c r="C52" s="26" t="str">
        <f t="array" ref="C52">IFERROR(INDEX('Patrimônio'!$C$7:$C$1003,MATCH($B52,'Patrimônio'!$A$7:$A$1003,0)),"")</f>
        <v/>
      </c>
      <c r="D52" s="26" t="str">
        <f t="array" ref="D52">IFERROR(INDEX('Patrimônio'!$B$7:$B$1003,MATCH($B52,'Patrimônio'!$A$7:$A$1003,0)),"")</f>
        <v/>
      </c>
      <c r="E52" s="17"/>
      <c r="F52" s="18"/>
      <c r="G52" s="19"/>
      <c r="H52" s="15"/>
      <c r="I52" s="17"/>
      <c r="J52" s="24" t="str">
        <f t="shared" si="1"/>
        <v/>
      </c>
      <c r="K52" s="17"/>
    </row>
    <row r="53" ht="15.0" customHeight="1">
      <c r="A53" s="19"/>
      <c r="B53" s="15"/>
      <c r="C53" s="26" t="str">
        <f t="array" ref="C53">IFERROR(INDEX('Patrimônio'!$C$7:$C$1003,MATCH($B53,'Patrimônio'!$A$7:$A$1003,0)),"")</f>
        <v/>
      </c>
      <c r="D53" s="26" t="str">
        <f t="array" ref="D53">IFERROR(INDEX('Patrimônio'!$B$7:$B$1003,MATCH($B53,'Patrimônio'!$A$7:$A$1003,0)),"")</f>
        <v/>
      </c>
      <c r="E53" s="17"/>
      <c r="F53" s="18"/>
      <c r="G53" s="19"/>
      <c r="H53" s="15"/>
      <c r="I53" s="17"/>
      <c r="J53" s="24" t="str">
        <f t="shared" si="1"/>
        <v/>
      </c>
      <c r="K53" s="17"/>
    </row>
    <row r="54" ht="15.0" customHeight="1">
      <c r="A54" s="19"/>
      <c r="B54" s="15"/>
      <c r="C54" s="26" t="str">
        <f t="array" ref="C54">IFERROR(INDEX('Patrimônio'!$C$7:$C$1003,MATCH($B54,'Patrimônio'!$A$7:$A$1003,0)),"")</f>
        <v/>
      </c>
      <c r="D54" s="26" t="str">
        <f t="array" ref="D54">IFERROR(INDEX('Patrimônio'!$B$7:$B$1003,MATCH($B54,'Patrimônio'!$A$7:$A$1003,0)),"")</f>
        <v/>
      </c>
      <c r="E54" s="17"/>
      <c r="F54" s="18"/>
      <c r="G54" s="19"/>
      <c r="H54" s="15"/>
      <c r="I54" s="17"/>
      <c r="J54" s="24" t="str">
        <f t="shared" si="1"/>
        <v/>
      </c>
      <c r="K54" s="17"/>
    </row>
    <row r="55" ht="15.0" customHeight="1">
      <c r="A55" s="19"/>
      <c r="B55" s="15"/>
      <c r="C55" s="26" t="str">
        <f t="array" ref="C55">IFERROR(INDEX('Patrimônio'!$C$7:$C$1003,MATCH($B55,'Patrimônio'!$A$7:$A$1003,0)),"")</f>
        <v/>
      </c>
      <c r="D55" s="26" t="str">
        <f t="array" ref="D55">IFERROR(INDEX('Patrimônio'!$B$7:$B$1003,MATCH($B55,'Patrimônio'!$A$7:$A$1003,0)),"")</f>
        <v/>
      </c>
      <c r="E55" s="17"/>
      <c r="F55" s="18"/>
      <c r="G55" s="19"/>
      <c r="H55" s="15"/>
      <c r="I55" s="17"/>
      <c r="J55" s="24" t="str">
        <f t="shared" si="1"/>
        <v/>
      </c>
      <c r="K55" s="17"/>
    </row>
    <row r="56" ht="15.0" customHeight="1">
      <c r="A56" s="19"/>
      <c r="B56" s="15"/>
      <c r="C56" s="26" t="str">
        <f t="array" ref="C56">IFERROR(INDEX('Patrimônio'!$C$7:$C$1003,MATCH($B56,'Patrimônio'!$A$7:$A$1003,0)),"")</f>
        <v/>
      </c>
      <c r="D56" s="26" t="str">
        <f t="array" ref="D56">IFERROR(INDEX('Patrimônio'!$B$7:$B$1003,MATCH($B56,'Patrimônio'!$A$7:$A$1003,0)),"")</f>
        <v/>
      </c>
      <c r="E56" s="17"/>
      <c r="F56" s="18"/>
      <c r="G56" s="19"/>
      <c r="H56" s="15"/>
      <c r="I56" s="17"/>
      <c r="J56" s="24" t="str">
        <f t="shared" si="1"/>
        <v/>
      </c>
      <c r="K56" s="17"/>
    </row>
    <row r="57" ht="15.0" customHeight="1">
      <c r="A57" s="19"/>
      <c r="B57" s="15"/>
      <c r="C57" s="26" t="str">
        <f t="array" ref="C57">IFERROR(INDEX('Patrimônio'!$C$7:$C$1003,MATCH($B57,'Patrimônio'!$A$7:$A$1003,0)),"")</f>
        <v/>
      </c>
      <c r="D57" s="26" t="str">
        <f t="array" ref="D57">IFERROR(INDEX('Patrimônio'!$B$7:$B$1003,MATCH($B57,'Patrimônio'!$A$7:$A$1003,0)),"")</f>
        <v/>
      </c>
      <c r="E57" s="17"/>
      <c r="F57" s="18"/>
      <c r="G57" s="19"/>
      <c r="H57" s="15"/>
      <c r="I57" s="17"/>
      <c r="J57" s="24" t="str">
        <f t="shared" si="1"/>
        <v/>
      </c>
      <c r="K57" s="17"/>
    </row>
    <row r="58" ht="15.0" customHeight="1">
      <c r="A58" s="19"/>
      <c r="B58" s="15"/>
      <c r="C58" s="26" t="str">
        <f t="array" ref="C58">IFERROR(INDEX('Patrimônio'!$C$7:$C$1003,MATCH($B58,'Patrimônio'!$A$7:$A$1003,0)),"")</f>
        <v/>
      </c>
      <c r="D58" s="26" t="str">
        <f t="array" ref="D58">IFERROR(INDEX('Patrimônio'!$B$7:$B$1003,MATCH($B58,'Patrimônio'!$A$7:$A$1003,0)),"")</f>
        <v/>
      </c>
      <c r="E58" s="17"/>
      <c r="F58" s="18"/>
      <c r="G58" s="19"/>
      <c r="H58" s="15"/>
      <c r="I58" s="17"/>
      <c r="J58" s="24" t="str">
        <f t="shared" si="1"/>
        <v/>
      </c>
      <c r="K58" s="17"/>
    </row>
    <row r="59" ht="15.0" customHeight="1">
      <c r="A59" s="19"/>
      <c r="B59" s="15"/>
      <c r="C59" s="26" t="str">
        <f t="array" ref="C59">IFERROR(INDEX('Patrimônio'!$C$7:$C$1003,MATCH($B59,'Patrimônio'!$A$7:$A$1003,0)),"")</f>
        <v/>
      </c>
      <c r="D59" s="26" t="str">
        <f t="array" ref="D59">IFERROR(INDEX('Patrimônio'!$B$7:$B$1003,MATCH($B59,'Patrimônio'!$A$7:$A$1003,0)),"")</f>
        <v/>
      </c>
      <c r="E59" s="17"/>
      <c r="F59" s="18"/>
      <c r="G59" s="19"/>
      <c r="H59" s="15"/>
      <c r="I59" s="17"/>
      <c r="J59" s="24" t="str">
        <f t="shared" si="1"/>
        <v/>
      </c>
      <c r="K59" s="17"/>
    </row>
    <row r="60" ht="15.0" customHeight="1">
      <c r="A60" s="19"/>
      <c r="B60" s="15"/>
      <c r="C60" s="26" t="str">
        <f t="array" ref="C60">IFERROR(INDEX('Patrimônio'!$C$7:$C$1003,MATCH($B60,'Patrimônio'!$A$7:$A$1003,0)),"")</f>
        <v/>
      </c>
      <c r="D60" s="26" t="str">
        <f t="array" ref="D60">IFERROR(INDEX('Patrimônio'!$B$7:$B$1003,MATCH($B60,'Patrimônio'!$A$7:$A$1003,0)),"")</f>
        <v/>
      </c>
      <c r="E60" s="17"/>
      <c r="F60" s="18"/>
      <c r="G60" s="19"/>
      <c r="H60" s="15"/>
      <c r="I60" s="17"/>
      <c r="J60" s="24" t="str">
        <f t="shared" si="1"/>
        <v/>
      </c>
      <c r="K60" s="17"/>
    </row>
    <row r="61" ht="15.0" customHeight="1">
      <c r="A61" s="19"/>
      <c r="B61" s="15"/>
      <c r="C61" s="26" t="str">
        <f t="array" ref="C61">IFERROR(INDEX('Patrimônio'!$C$7:$C$1003,MATCH($B61,'Patrimônio'!$A$7:$A$1003,0)),"")</f>
        <v/>
      </c>
      <c r="D61" s="26" t="str">
        <f t="array" ref="D61">IFERROR(INDEX('Patrimônio'!$B$7:$B$1003,MATCH($B61,'Patrimônio'!$A$7:$A$1003,0)),"")</f>
        <v/>
      </c>
      <c r="E61" s="17"/>
      <c r="F61" s="18"/>
      <c r="G61" s="19"/>
      <c r="H61" s="15"/>
      <c r="I61" s="17"/>
      <c r="J61" s="24" t="str">
        <f t="shared" si="1"/>
        <v/>
      </c>
      <c r="K61" s="17"/>
    </row>
    <row r="62" ht="15.0" customHeight="1">
      <c r="A62" s="19"/>
      <c r="B62" s="15"/>
      <c r="C62" s="26" t="str">
        <f t="array" ref="C62">IFERROR(INDEX('Patrimônio'!$C$7:$C$1003,MATCH($B62,'Patrimônio'!$A$7:$A$1003,0)),"")</f>
        <v/>
      </c>
      <c r="D62" s="26" t="str">
        <f t="array" ref="D62">IFERROR(INDEX('Patrimônio'!$B$7:$B$1003,MATCH($B62,'Patrimônio'!$A$7:$A$1003,0)),"")</f>
        <v/>
      </c>
      <c r="E62" s="17"/>
      <c r="F62" s="18"/>
      <c r="G62" s="19"/>
      <c r="H62" s="15"/>
      <c r="I62" s="17"/>
      <c r="J62" s="24" t="str">
        <f t="shared" si="1"/>
        <v/>
      </c>
      <c r="K62" s="17"/>
    </row>
    <row r="63" ht="15.0" customHeight="1">
      <c r="A63" s="19"/>
      <c r="B63" s="15"/>
      <c r="C63" s="26" t="str">
        <f t="array" ref="C63">IFERROR(INDEX('Patrimônio'!$C$7:$C$1003,MATCH($B63,'Patrimônio'!$A$7:$A$1003,0)),"")</f>
        <v/>
      </c>
      <c r="D63" s="26" t="str">
        <f t="array" ref="D63">IFERROR(INDEX('Patrimônio'!$B$7:$B$1003,MATCH($B63,'Patrimônio'!$A$7:$A$1003,0)),"")</f>
        <v/>
      </c>
      <c r="E63" s="17"/>
      <c r="F63" s="18"/>
      <c r="G63" s="19"/>
      <c r="H63" s="15"/>
      <c r="I63" s="17"/>
      <c r="J63" s="24" t="str">
        <f t="shared" si="1"/>
        <v/>
      </c>
      <c r="K63" s="17"/>
    </row>
    <row r="64" ht="15.0" customHeight="1">
      <c r="A64" s="19"/>
      <c r="B64" s="15"/>
      <c r="C64" s="26" t="str">
        <f t="array" ref="C64">IFERROR(INDEX('Patrimônio'!$C$7:$C$1003,MATCH($B64,'Patrimônio'!$A$7:$A$1003,0)),"")</f>
        <v/>
      </c>
      <c r="D64" s="26" t="str">
        <f t="array" ref="D64">IFERROR(INDEX('Patrimônio'!$B$7:$B$1003,MATCH($B64,'Patrimônio'!$A$7:$A$1003,0)),"")</f>
        <v/>
      </c>
      <c r="E64" s="17"/>
      <c r="F64" s="18"/>
      <c r="G64" s="19"/>
      <c r="H64" s="15"/>
      <c r="I64" s="17"/>
      <c r="J64" s="24" t="str">
        <f t="shared" si="1"/>
        <v/>
      </c>
      <c r="K64" s="17"/>
    </row>
    <row r="65" ht="15.0" customHeight="1">
      <c r="A65" s="19"/>
      <c r="B65" s="15"/>
      <c r="C65" s="26" t="str">
        <f t="array" ref="C65">IFERROR(INDEX('Patrimônio'!$C$7:$C$1003,MATCH($B65,'Patrimônio'!$A$7:$A$1003,0)),"")</f>
        <v/>
      </c>
      <c r="D65" s="26" t="str">
        <f t="array" ref="D65">IFERROR(INDEX('Patrimônio'!$B$7:$B$1003,MATCH($B65,'Patrimônio'!$A$7:$A$1003,0)),"")</f>
        <v/>
      </c>
      <c r="E65" s="17"/>
      <c r="F65" s="18"/>
      <c r="G65" s="19"/>
      <c r="H65" s="15"/>
      <c r="I65" s="17"/>
      <c r="J65" s="24" t="str">
        <f t="shared" si="1"/>
        <v/>
      </c>
      <c r="K65" s="17"/>
    </row>
    <row r="66" ht="15.0" customHeight="1">
      <c r="A66" s="19"/>
      <c r="B66" s="15"/>
      <c r="C66" s="26" t="str">
        <f t="array" ref="C66">IFERROR(INDEX('Patrimônio'!$C$7:$C$1003,MATCH($B66,'Patrimônio'!$A$7:$A$1003,0)),"")</f>
        <v/>
      </c>
      <c r="D66" s="26" t="str">
        <f t="array" ref="D66">IFERROR(INDEX('Patrimônio'!$B$7:$B$1003,MATCH($B66,'Patrimônio'!$A$7:$A$1003,0)),"")</f>
        <v/>
      </c>
      <c r="E66" s="17"/>
      <c r="F66" s="18"/>
      <c r="G66" s="19"/>
      <c r="H66" s="15"/>
      <c r="I66" s="17"/>
      <c r="J66" s="24" t="str">
        <f t="shared" si="1"/>
        <v/>
      </c>
      <c r="K66" s="17"/>
    </row>
    <row r="67" ht="15.0" customHeight="1">
      <c r="A67" s="19"/>
      <c r="B67" s="15"/>
      <c r="C67" s="26" t="str">
        <f t="array" ref="C67">IFERROR(INDEX('Patrimônio'!$C$7:$C$1003,MATCH($B67,'Patrimônio'!$A$7:$A$1003,0)),"")</f>
        <v/>
      </c>
      <c r="D67" s="26" t="str">
        <f t="array" ref="D67">IFERROR(INDEX('Patrimônio'!$B$7:$B$1003,MATCH($B67,'Patrimônio'!$A$7:$A$1003,0)),"")</f>
        <v/>
      </c>
      <c r="E67" s="17"/>
      <c r="F67" s="18"/>
      <c r="G67" s="19"/>
      <c r="H67" s="15"/>
      <c r="I67" s="17"/>
      <c r="J67" s="24" t="str">
        <f t="shared" si="1"/>
        <v/>
      </c>
      <c r="K67" s="17"/>
    </row>
    <row r="68" ht="15.0" customHeight="1">
      <c r="A68" s="19"/>
      <c r="B68" s="15"/>
      <c r="C68" s="26" t="str">
        <f t="array" ref="C68">IFERROR(INDEX('Patrimônio'!$C$7:$C$1003,MATCH($B68,'Patrimônio'!$A$7:$A$1003,0)),"")</f>
        <v/>
      </c>
      <c r="D68" s="26" t="str">
        <f t="array" ref="D68">IFERROR(INDEX('Patrimônio'!$B$7:$B$1003,MATCH($B68,'Patrimônio'!$A$7:$A$1003,0)),"")</f>
        <v/>
      </c>
      <c r="E68" s="17"/>
      <c r="F68" s="18"/>
      <c r="G68" s="19"/>
      <c r="H68" s="15"/>
      <c r="I68" s="17"/>
      <c r="J68" s="24" t="str">
        <f t="shared" si="1"/>
        <v/>
      </c>
      <c r="K68" s="17"/>
    </row>
    <row r="69" ht="15.0" customHeight="1">
      <c r="A69" s="19"/>
      <c r="B69" s="15"/>
      <c r="C69" s="26" t="str">
        <f t="array" ref="C69">IFERROR(INDEX('Patrimônio'!$C$7:$C$1003,MATCH($B69,'Patrimônio'!$A$7:$A$1003,0)),"")</f>
        <v/>
      </c>
      <c r="D69" s="26" t="str">
        <f t="array" ref="D69">IFERROR(INDEX('Patrimônio'!$B$7:$B$1003,MATCH($B69,'Patrimônio'!$A$7:$A$1003,0)),"")</f>
        <v/>
      </c>
      <c r="E69" s="17"/>
      <c r="F69" s="18"/>
      <c r="G69" s="19"/>
      <c r="H69" s="15"/>
      <c r="I69" s="17"/>
      <c r="J69" s="24" t="str">
        <f t="shared" si="1"/>
        <v/>
      </c>
      <c r="K69" s="17"/>
    </row>
    <row r="70" ht="15.0" customHeight="1">
      <c r="A70" s="19"/>
      <c r="B70" s="15"/>
      <c r="C70" s="26" t="str">
        <f t="array" ref="C70">IFERROR(INDEX('Patrimônio'!$C$7:$C$1003,MATCH($B70,'Patrimônio'!$A$7:$A$1003,0)),"")</f>
        <v/>
      </c>
      <c r="D70" s="26" t="str">
        <f t="array" ref="D70">IFERROR(INDEX('Patrimônio'!$B$7:$B$1003,MATCH($B70,'Patrimônio'!$A$7:$A$1003,0)),"")</f>
        <v/>
      </c>
      <c r="E70" s="17"/>
      <c r="F70" s="18"/>
      <c r="G70" s="19"/>
      <c r="H70" s="15"/>
      <c r="I70" s="17"/>
      <c r="J70" s="24" t="str">
        <f t="shared" si="1"/>
        <v/>
      </c>
      <c r="K70" s="17"/>
    </row>
    <row r="71" ht="15.0" customHeight="1">
      <c r="A71" s="19"/>
      <c r="B71" s="15"/>
      <c r="C71" s="26" t="str">
        <f t="array" ref="C71">IFERROR(INDEX('Patrimônio'!$C$7:$C$1003,MATCH($B71,'Patrimônio'!$A$7:$A$1003,0)),"")</f>
        <v/>
      </c>
      <c r="D71" s="26" t="str">
        <f t="array" ref="D71">IFERROR(INDEX('Patrimônio'!$B$7:$B$1003,MATCH($B71,'Patrimônio'!$A$7:$A$1003,0)),"")</f>
        <v/>
      </c>
      <c r="E71" s="17"/>
      <c r="F71" s="18"/>
      <c r="G71" s="19"/>
      <c r="H71" s="15"/>
      <c r="I71" s="17"/>
      <c r="J71" s="24" t="str">
        <f t="shared" si="1"/>
        <v/>
      </c>
      <c r="K71" s="17"/>
    </row>
    <row r="72" ht="15.0" customHeight="1">
      <c r="A72" s="19"/>
      <c r="B72" s="15"/>
      <c r="C72" s="26" t="str">
        <f t="array" ref="C72">IFERROR(INDEX('Patrimônio'!$C$7:$C$1003,MATCH($B72,'Patrimônio'!$A$7:$A$1003,0)),"")</f>
        <v/>
      </c>
      <c r="D72" s="26" t="str">
        <f t="array" ref="D72">IFERROR(INDEX('Patrimônio'!$B$7:$B$1003,MATCH($B72,'Patrimônio'!$A$7:$A$1003,0)),"")</f>
        <v/>
      </c>
      <c r="E72" s="17"/>
      <c r="F72" s="18"/>
      <c r="G72" s="19"/>
      <c r="H72" s="15"/>
      <c r="I72" s="17"/>
      <c r="J72" s="24" t="str">
        <f t="shared" si="1"/>
        <v/>
      </c>
      <c r="K72" s="17"/>
    </row>
    <row r="73" ht="15.0" customHeight="1">
      <c r="A73" s="19"/>
      <c r="B73" s="15"/>
      <c r="C73" s="26" t="str">
        <f t="array" ref="C73">IFERROR(INDEX('Patrimônio'!$C$7:$C$1003,MATCH($B73,'Patrimônio'!$A$7:$A$1003,0)),"")</f>
        <v/>
      </c>
      <c r="D73" s="26" t="str">
        <f t="array" ref="D73">IFERROR(INDEX('Patrimônio'!$B$7:$B$1003,MATCH($B73,'Patrimônio'!$A$7:$A$1003,0)),"")</f>
        <v/>
      </c>
      <c r="E73" s="17"/>
      <c r="F73" s="18"/>
      <c r="G73" s="19"/>
      <c r="H73" s="15"/>
      <c r="I73" s="17"/>
      <c r="J73" s="24" t="str">
        <f t="shared" si="1"/>
        <v/>
      </c>
      <c r="K73" s="17"/>
    </row>
    <row r="74" ht="15.0" customHeight="1">
      <c r="A74" s="19"/>
      <c r="B74" s="15"/>
      <c r="C74" s="26" t="str">
        <f t="array" ref="C74">IFERROR(INDEX('Patrimônio'!$C$7:$C$1003,MATCH($B74,'Patrimônio'!$A$7:$A$1003,0)),"")</f>
        <v/>
      </c>
      <c r="D74" s="26" t="str">
        <f t="array" ref="D74">IFERROR(INDEX('Patrimônio'!$B$7:$B$1003,MATCH($B74,'Patrimônio'!$A$7:$A$1003,0)),"")</f>
        <v/>
      </c>
      <c r="E74" s="17"/>
      <c r="F74" s="18"/>
      <c r="G74" s="19"/>
      <c r="H74" s="15"/>
      <c r="I74" s="17"/>
      <c r="J74" s="24" t="str">
        <f t="shared" si="1"/>
        <v/>
      </c>
      <c r="K74" s="17"/>
    </row>
    <row r="75" ht="15.0" customHeight="1">
      <c r="A75" s="19"/>
      <c r="B75" s="15"/>
      <c r="C75" s="26" t="str">
        <f t="array" ref="C75">IFERROR(INDEX('Patrimônio'!$C$7:$C$1003,MATCH($B75,'Patrimônio'!$A$7:$A$1003,0)),"")</f>
        <v/>
      </c>
      <c r="D75" s="26" t="str">
        <f t="array" ref="D75">IFERROR(INDEX('Patrimônio'!$B$7:$B$1003,MATCH($B75,'Patrimônio'!$A$7:$A$1003,0)),"")</f>
        <v/>
      </c>
      <c r="E75" s="17"/>
      <c r="F75" s="18"/>
      <c r="G75" s="19"/>
      <c r="H75" s="15"/>
      <c r="I75" s="17"/>
      <c r="J75" s="24" t="str">
        <f t="shared" si="1"/>
        <v/>
      </c>
      <c r="K75" s="17"/>
    </row>
    <row r="76" ht="15.0" customHeight="1">
      <c r="A76" s="19"/>
      <c r="B76" s="15"/>
      <c r="C76" s="26" t="str">
        <f t="array" ref="C76">IFERROR(INDEX('Patrimônio'!$C$7:$C$1003,MATCH($B76,'Patrimônio'!$A$7:$A$1003,0)),"")</f>
        <v/>
      </c>
      <c r="D76" s="26" t="str">
        <f t="array" ref="D76">IFERROR(INDEX('Patrimônio'!$B$7:$B$1003,MATCH($B76,'Patrimônio'!$A$7:$A$1003,0)),"")</f>
        <v/>
      </c>
      <c r="E76" s="17"/>
      <c r="F76" s="18"/>
      <c r="G76" s="19"/>
      <c r="H76" s="15"/>
      <c r="I76" s="17"/>
      <c r="J76" s="24" t="str">
        <f t="shared" si="1"/>
        <v/>
      </c>
      <c r="K76" s="17"/>
    </row>
    <row r="77" ht="15.0" customHeight="1">
      <c r="A77" s="19"/>
      <c r="B77" s="15"/>
      <c r="C77" s="26" t="str">
        <f t="array" ref="C77">IFERROR(INDEX('Patrimônio'!$C$7:$C$1003,MATCH($B77,'Patrimônio'!$A$7:$A$1003,0)),"")</f>
        <v/>
      </c>
      <c r="D77" s="26" t="str">
        <f t="array" ref="D77">IFERROR(INDEX('Patrimônio'!$B$7:$B$1003,MATCH($B77,'Patrimônio'!$A$7:$A$1003,0)),"")</f>
        <v/>
      </c>
      <c r="E77" s="17"/>
      <c r="F77" s="18"/>
      <c r="G77" s="19"/>
      <c r="H77" s="15"/>
      <c r="I77" s="17"/>
      <c r="J77" s="24" t="str">
        <f t="shared" si="1"/>
        <v/>
      </c>
      <c r="K77" s="17"/>
    </row>
    <row r="78" ht="15.0" customHeight="1">
      <c r="A78" s="19"/>
      <c r="B78" s="15"/>
      <c r="C78" s="26" t="str">
        <f t="array" ref="C78">IFERROR(INDEX('Patrimônio'!$C$7:$C$1003,MATCH($B78,'Patrimônio'!$A$7:$A$1003,0)),"")</f>
        <v/>
      </c>
      <c r="D78" s="26" t="str">
        <f t="array" ref="D78">IFERROR(INDEX('Patrimônio'!$B$7:$B$1003,MATCH($B78,'Patrimônio'!$A$7:$A$1003,0)),"")</f>
        <v/>
      </c>
      <c r="E78" s="17"/>
      <c r="F78" s="18"/>
      <c r="G78" s="19"/>
      <c r="H78" s="15"/>
      <c r="I78" s="17"/>
      <c r="J78" s="24" t="str">
        <f t="shared" si="1"/>
        <v/>
      </c>
      <c r="K78" s="17"/>
    </row>
    <row r="79" ht="15.0" customHeight="1">
      <c r="A79" s="19"/>
      <c r="B79" s="15"/>
      <c r="C79" s="26" t="str">
        <f t="array" ref="C79">IFERROR(INDEX('Patrimônio'!$C$7:$C$1003,MATCH($B79,'Patrimônio'!$A$7:$A$1003,0)),"")</f>
        <v/>
      </c>
      <c r="D79" s="26" t="str">
        <f t="array" ref="D79">IFERROR(INDEX('Patrimônio'!$B$7:$B$1003,MATCH($B79,'Patrimônio'!$A$7:$A$1003,0)),"")</f>
        <v/>
      </c>
      <c r="E79" s="17"/>
      <c r="F79" s="18"/>
      <c r="G79" s="19"/>
      <c r="H79" s="15"/>
      <c r="I79" s="17"/>
      <c r="J79" s="24" t="str">
        <f t="shared" si="1"/>
        <v/>
      </c>
      <c r="K79" s="17"/>
    </row>
    <row r="80" ht="15.0" customHeight="1">
      <c r="A80" s="19"/>
      <c r="B80" s="15"/>
      <c r="C80" s="26" t="str">
        <f t="array" ref="C80">IFERROR(INDEX('Patrimônio'!$C$7:$C$1003,MATCH($B80,'Patrimônio'!$A$7:$A$1003,0)),"")</f>
        <v/>
      </c>
      <c r="D80" s="26" t="str">
        <f t="array" ref="D80">IFERROR(INDEX('Patrimônio'!$B$7:$B$1003,MATCH($B80,'Patrimônio'!$A$7:$A$1003,0)),"")</f>
        <v/>
      </c>
      <c r="E80" s="17"/>
      <c r="F80" s="18"/>
      <c r="G80" s="19"/>
      <c r="H80" s="15"/>
      <c r="I80" s="17"/>
      <c r="J80" s="24" t="str">
        <f t="shared" si="1"/>
        <v/>
      </c>
      <c r="K80" s="17"/>
    </row>
    <row r="81" ht="15.0" customHeight="1">
      <c r="A81" s="19"/>
      <c r="B81" s="15"/>
      <c r="C81" s="26" t="str">
        <f t="array" ref="C81">IFERROR(INDEX('Patrimônio'!$C$7:$C$1003,MATCH($B81,'Patrimônio'!$A$7:$A$1003,0)),"")</f>
        <v/>
      </c>
      <c r="D81" s="26" t="str">
        <f t="array" ref="D81">IFERROR(INDEX('Patrimônio'!$B$7:$B$1003,MATCH($B81,'Patrimônio'!$A$7:$A$1003,0)),"")</f>
        <v/>
      </c>
      <c r="E81" s="17"/>
      <c r="F81" s="18"/>
      <c r="G81" s="19"/>
      <c r="H81" s="15"/>
      <c r="I81" s="17"/>
      <c r="J81" s="24" t="str">
        <f t="shared" si="1"/>
        <v/>
      </c>
      <c r="K81" s="17"/>
    </row>
    <row r="82" ht="15.0" customHeight="1">
      <c r="A82" s="19"/>
      <c r="B82" s="15"/>
      <c r="C82" s="26" t="str">
        <f t="array" ref="C82">IFERROR(INDEX('Patrimônio'!$C$7:$C$1003,MATCH($B82,'Patrimônio'!$A$7:$A$1003,0)),"")</f>
        <v/>
      </c>
      <c r="D82" s="26" t="str">
        <f t="array" ref="D82">IFERROR(INDEX('Patrimônio'!$B$7:$B$1003,MATCH($B82,'Patrimônio'!$A$7:$A$1003,0)),"")</f>
        <v/>
      </c>
      <c r="E82" s="17"/>
      <c r="F82" s="18"/>
      <c r="G82" s="19"/>
      <c r="H82" s="15"/>
      <c r="I82" s="17"/>
      <c r="J82" s="24" t="str">
        <f t="shared" si="1"/>
        <v/>
      </c>
      <c r="K82" s="17"/>
    </row>
    <row r="83" ht="15.0" customHeight="1">
      <c r="A83" s="19"/>
      <c r="B83" s="15"/>
      <c r="C83" s="26" t="str">
        <f t="array" ref="C83">IFERROR(INDEX('Patrimônio'!$C$7:$C$1003,MATCH($B83,'Patrimônio'!$A$7:$A$1003,0)),"")</f>
        <v/>
      </c>
      <c r="D83" s="26" t="str">
        <f t="array" ref="D83">IFERROR(INDEX('Patrimônio'!$B$7:$B$1003,MATCH($B83,'Patrimônio'!$A$7:$A$1003,0)),"")</f>
        <v/>
      </c>
      <c r="E83" s="17"/>
      <c r="F83" s="18"/>
      <c r="G83" s="19"/>
      <c r="H83" s="15"/>
      <c r="I83" s="17"/>
      <c r="J83" s="24" t="str">
        <f t="shared" si="1"/>
        <v/>
      </c>
      <c r="K83" s="17"/>
    </row>
    <row r="84" ht="15.0" customHeight="1">
      <c r="A84" s="19"/>
      <c r="B84" s="15"/>
      <c r="C84" s="26" t="str">
        <f t="array" ref="C84">IFERROR(INDEX('Patrimônio'!$C$7:$C$1003,MATCH($B84,'Patrimônio'!$A$7:$A$1003,0)),"")</f>
        <v/>
      </c>
      <c r="D84" s="26" t="str">
        <f t="array" ref="D84">IFERROR(INDEX('Patrimônio'!$B$7:$B$1003,MATCH($B84,'Patrimônio'!$A$7:$A$1003,0)),"")</f>
        <v/>
      </c>
      <c r="E84" s="17"/>
      <c r="F84" s="18"/>
      <c r="G84" s="19"/>
      <c r="H84" s="15"/>
      <c r="I84" s="17"/>
      <c r="J84" s="24" t="str">
        <f t="shared" si="1"/>
        <v/>
      </c>
      <c r="K84" s="17"/>
    </row>
    <row r="85" ht="15.0" customHeight="1">
      <c r="A85" s="19"/>
      <c r="B85" s="15"/>
      <c r="C85" s="26" t="str">
        <f t="array" ref="C85">IFERROR(INDEX('Patrimônio'!$C$7:$C$1003,MATCH($B85,'Patrimônio'!$A$7:$A$1003,0)),"")</f>
        <v/>
      </c>
      <c r="D85" s="26" t="str">
        <f t="array" ref="D85">IFERROR(INDEX('Patrimônio'!$B$7:$B$1003,MATCH($B85,'Patrimônio'!$A$7:$A$1003,0)),"")</f>
        <v/>
      </c>
      <c r="E85" s="17"/>
      <c r="F85" s="18"/>
      <c r="G85" s="19"/>
      <c r="H85" s="15"/>
      <c r="I85" s="17"/>
      <c r="J85" s="24" t="str">
        <f t="shared" si="1"/>
        <v/>
      </c>
      <c r="K85" s="17"/>
    </row>
    <row r="86" ht="15.0" customHeight="1">
      <c r="A86" s="19"/>
      <c r="B86" s="15"/>
      <c r="C86" s="26" t="str">
        <f t="array" ref="C86">IFERROR(INDEX('Patrimônio'!$C$7:$C$1003,MATCH($B86,'Patrimônio'!$A$7:$A$1003,0)),"")</f>
        <v/>
      </c>
      <c r="D86" s="26" t="str">
        <f t="array" ref="D86">IFERROR(INDEX('Patrimônio'!$B$7:$B$1003,MATCH($B86,'Patrimônio'!$A$7:$A$1003,0)),"")</f>
        <v/>
      </c>
      <c r="E86" s="17"/>
      <c r="F86" s="18"/>
      <c r="G86" s="19"/>
      <c r="H86" s="15"/>
      <c r="I86" s="17"/>
      <c r="J86" s="24" t="str">
        <f t="shared" si="1"/>
        <v/>
      </c>
      <c r="K86" s="17"/>
    </row>
    <row r="87" ht="15.0" customHeight="1">
      <c r="A87" s="19"/>
      <c r="B87" s="15"/>
      <c r="C87" s="26" t="str">
        <f t="array" ref="C87">IFERROR(INDEX('Patrimônio'!$C$7:$C$1003,MATCH($B87,'Patrimônio'!$A$7:$A$1003,0)),"")</f>
        <v/>
      </c>
      <c r="D87" s="26" t="str">
        <f t="array" ref="D87">IFERROR(INDEX('Patrimônio'!$B$7:$B$1003,MATCH($B87,'Patrimônio'!$A$7:$A$1003,0)),"")</f>
        <v/>
      </c>
      <c r="E87" s="17"/>
      <c r="F87" s="18"/>
      <c r="G87" s="19"/>
      <c r="H87" s="15"/>
      <c r="I87" s="17"/>
      <c r="J87" s="24" t="str">
        <f t="shared" si="1"/>
        <v/>
      </c>
      <c r="K87" s="17"/>
    </row>
    <row r="88" ht="15.0" customHeight="1">
      <c r="A88" s="19"/>
      <c r="B88" s="15"/>
      <c r="C88" s="26" t="str">
        <f t="array" ref="C88">IFERROR(INDEX('Patrimônio'!$C$7:$C$1003,MATCH($B88,'Patrimônio'!$A$7:$A$1003,0)),"")</f>
        <v/>
      </c>
      <c r="D88" s="26" t="str">
        <f t="array" ref="D88">IFERROR(INDEX('Patrimônio'!$B$7:$B$1003,MATCH($B88,'Patrimônio'!$A$7:$A$1003,0)),"")</f>
        <v/>
      </c>
      <c r="E88" s="17"/>
      <c r="F88" s="18"/>
      <c r="G88" s="19"/>
      <c r="H88" s="15"/>
      <c r="I88" s="17"/>
      <c r="J88" s="24" t="str">
        <f t="shared" si="1"/>
        <v/>
      </c>
      <c r="K88" s="17"/>
    </row>
    <row r="89" ht="15.0" customHeight="1">
      <c r="A89" s="19"/>
      <c r="B89" s="15"/>
      <c r="C89" s="26" t="str">
        <f t="array" ref="C89">IFERROR(INDEX('Patrimônio'!$C$7:$C$1003,MATCH($B89,'Patrimônio'!$A$7:$A$1003,0)),"")</f>
        <v/>
      </c>
      <c r="D89" s="26" t="str">
        <f t="array" ref="D89">IFERROR(INDEX('Patrimônio'!$B$7:$B$1003,MATCH($B89,'Patrimônio'!$A$7:$A$1003,0)),"")</f>
        <v/>
      </c>
      <c r="E89" s="17"/>
      <c r="F89" s="18"/>
      <c r="G89" s="19"/>
      <c r="H89" s="15"/>
      <c r="I89" s="17"/>
      <c r="J89" s="24" t="str">
        <f t="shared" si="1"/>
        <v/>
      </c>
      <c r="K89" s="17"/>
    </row>
    <row r="90" ht="15.0" customHeight="1">
      <c r="A90" s="19"/>
      <c r="B90" s="15"/>
      <c r="C90" s="26" t="str">
        <f t="array" ref="C90">IFERROR(INDEX('Patrimônio'!$C$7:$C$1003,MATCH($B90,'Patrimônio'!$A$7:$A$1003,0)),"")</f>
        <v/>
      </c>
      <c r="D90" s="26" t="str">
        <f t="array" ref="D90">IFERROR(INDEX('Patrimônio'!$B$7:$B$1003,MATCH($B90,'Patrimônio'!$A$7:$A$1003,0)),"")</f>
        <v/>
      </c>
      <c r="E90" s="17"/>
      <c r="F90" s="18"/>
      <c r="G90" s="19"/>
      <c r="H90" s="15"/>
      <c r="I90" s="17"/>
      <c r="J90" s="24" t="str">
        <f t="shared" si="1"/>
        <v/>
      </c>
      <c r="K90" s="17"/>
    </row>
    <row r="91" ht="15.0" customHeight="1">
      <c r="A91" s="19"/>
      <c r="B91" s="15"/>
      <c r="C91" s="26" t="str">
        <f t="array" ref="C91">IFERROR(INDEX('Patrimônio'!$C$7:$C$1003,MATCH($B91,'Patrimônio'!$A$7:$A$1003,0)),"")</f>
        <v/>
      </c>
      <c r="D91" s="26" t="str">
        <f t="array" ref="D91">IFERROR(INDEX('Patrimônio'!$B$7:$B$1003,MATCH($B91,'Patrimônio'!$A$7:$A$1003,0)),"")</f>
        <v/>
      </c>
      <c r="E91" s="17"/>
      <c r="F91" s="18"/>
      <c r="G91" s="19"/>
      <c r="H91" s="15"/>
      <c r="I91" s="17"/>
      <c r="J91" s="24" t="str">
        <f t="shared" si="1"/>
        <v/>
      </c>
      <c r="K91" s="17"/>
    </row>
    <row r="92" ht="15.0" customHeight="1">
      <c r="A92" s="19"/>
      <c r="B92" s="15"/>
      <c r="C92" s="26" t="str">
        <f t="array" ref="C92">IFERROR(INDEX('Patrimônio'!$C$7:$C$1003,MATCH($B92,'Patrimônio'!$A$7:$A$1003,0)),"")</f>
        <v/>
      </c>
      <c r="D92" s="26" t="str">
        <f t="array" ref="D92">IFERROR(INDEX('Patrimônio'!$B$7:$B$1003,MATCH($B92,'Patrimônio'!$A$7:$A$1003,0)),"")</f>
        <v/>
      </c>
      <c r="E92" s="17"/>
      <c r="F92" s="18"/>
      <c r="G92" s="19"/>
      <c r="H92" s="15"/>
      <c r="I92" s="17"/>
      <c r="J92" s="24" t="str">
        <f t="shared" si="1"/>
        <v/>
      </c>
      <c r="K92" s="17"/>
    </row>
    <row r="93" ht="15.0" customHeight="1">
      <c r="A93" s="19"/>
      <c r="B93" s="15"/>
      <c r="C93" s="26" t="str">
        <f t="array" ref="C93">IFERROR(INDEX('Patrimônio'!$C$7:$C$1003,MATCH($B93,'Patrimônio'!$A$7:$A$1003,0)),"")</f>
        <v/>
      </c>
      <c r="D93" s="26" t="str">
        <f t="array" ref="D93">IFERROR(INDEX('Patrimônio'!$B$7:$B$1003,MATCH($B93,'Patrimônio'!$A$7:$A$1003,0)),"")</f>
        <v/>
      </c>
      <c r="E93" s="17"/>
      <c r="F93" s="18"/>
      <c r="G93" s="19"/>
      <c r="H93" s="15"/>
      <c r="I93" s="17"/>
      <c r="J93" s="24" t="str">
        <f t="shared" si="1"/>
        <v/>
      </c>
      <c r="K93" s="17"/>
    </row>
    <row r="94" ht="15.0" customHeight="1">
      <c r="A94" s="19"/>
      <c r="B94" s="15"/>
      <c r="C94" s="26" t="str">
        <f t="array" ref="C94">IFERROR(INDEX('Patrimônio'!$C$7:$C$1003,MATCH($B94,'Patrimônio'!$A$7:$A$1003,0)),"")</f>
        <v/>
      </c>
      <c r="D94" s="26" t="str">
        <f t="array" ref="D94">IFERROR(INDEX('Patrimônio'!$B$7:$B$1003,MATCH($B94,'Patrimônio'!$A$7:$A$1003,0)),"")</f>
        <v/>
      </c>
      <c r="E94" s="17"/>
      <c r="F94" s="18"/>
      <c r="G94" s="19"/>
      <c r="H94" s="15"/>
      <c r="I94" s="17"/>
      <c r="J94" s="24" t="str">
        <f t="shared" si="1"/>
        <v/>
      </c>
      <c r="K94" s="17"/>
    </row>
    <row r="95" ht="15.0" customHeight="1">
      <c r="A95" s="19"/>
      <c r="B95" s="15"/>
      <c r="C95" s="26" t="str">
        <f t="array" ref="C95">IFERROR(INDEX('Patrimônio'!$C$7:$C$1003,MATCH($B95,'Patrimônio'!$A$7:$A$1003,0)),"")</f>
        <v/>
      </c>
      <c r="D95" s="26" t="str">
        <f t="array" ref="D95">IFERROR(INDEX('Patrimônio'!$B$7:$B$1003,MATCH($B95,'Patrimônio'!$A$7:$A$1003,0)),"")</f>
        <v/>
      </c>
      <c r="E95" s="17"/>
      <c r="F95" s="18"/>
      <c r="G95" s="19"/>
      <c r="H95" s="15"/>
      <c r="I95" s="17"/>
      <c r="J95" s="24" t="str">
        <f t="shared" si="1"/>
        <v/>
      </c>
      <c r="K95" s="17"/>
    </row>
    <row r="96" ht="15.0" customHeight="1">
      <c r="A96" s="19"/>
      <c r="B96" s="15"/>
      <c r="C96" s="26" t="str">
        <f t="array" ref="C96">IFERROR(INDEX('Patrimônio'!$C$7:$C$1003,MATCH($B96,'Patrimônio'!$A$7:$A$1003,0)),"")</f>
        <v/>
      </c>
      <c r="D96" s="26" t="str">
        <f t="array" ref="D96">IFERROR(INDEX('Patrimônio'!$B$7:$B$1003,MATCH($B96,'Patrimônio'!$A$7:$A$1003,0)),"")</f>
        <v/>
      </c>
      <c r="E96" s="17"/>
      <c r="F96" s="18"/>
      <c r="G96" s="19"/>
      <c r="H96" s="15"/>
      <c r="I96" s="17"/>
      <c r="J96" s="24" t="str">
        <f t="shared" si="1"/>
        <v/>
      </c>
      <c r="K96" s="17"/>
    </row>
    <row r="97" ht="15.0" customHeight="1">
      <c r="A97" s="19"/>
      <c r="B97" s="15"/>
      <c r="C97" s="26" t="str">
        <f t="array" ref="C97">IFERROR(INDEX('Patrimônio'!$C$7:$C$1003,MATCH($B97,'Patrimônio'!$A$7:$A$1003,0)),"")</f>
        <v/>
      </c>
      <c r="D97" s="26" t="str">
        <f t="array" ref="D97">IFERROR(INDEX('Patrimônio'!$B$7:$B$1003,MATCH($B97,'Patrimônio'!$A$7:$A$1003,0)),"")</f>
        <v/>
      </c>
      <c r="E97" s="17"/>
      <c r="F97" s="18"/>
      <c r="G97" s="19"/>
      <c r="H97" s="15"/>
      <c r="I97" s="17"/>
      <c r="J97" s="24" t="str">
        <f t="shared" si="1"/>
        <v/>
      </c>
      <c r="K97" s="17"/>
    </row>
    <row r="98" ht="15.0" customHeight="1">
      <c r="A98" s="19"/>
      <c r="B98" s="15"/>
      <c r="C98" s="26" t="str">
        <f t="array" ref="C98">IFERROR(INDEX('Patrimônio'!$C$7:$C$1003,MATCH($B98,'Patrimônio'!$A$7:$A$1003,0)),"")</f>
        <v/>
      </c>
      <c r="D98" s="26" t="str">
        <f t="array" ref="D98">IFERROR(INDEX('Patrimônio'!$B$7:$B$1003,MATCH($B98,'Patrimônio'!$A$7:$A$1003,0)),"")</f>
        <v/>
      </c>
      <c r="E98" s="17"/>
      <c r="F98" s="18"/>
      <c r="G98" s="19"/>
      <c r="H98" s="15"/>
      <c r="I98" s="17"/>
      <c r="J98" s="24" t="str">
        <f t="shared" si="1"/>
        <v/>
      </c>
      <c r="K98" s="17"/>
    </row>
    <row r="99" ht="15.0" customHeight="1">
      <c r="A99" s="19"/>
      <c r="B99" s="15"/>
      <c r="C99" s="26" t="str">
        <f t="array" ref="C99">IFERROR(INDEX('Patrimônio'!$C$7:$C$1003,MATCH($B99,'Patrimônio'!$A$7:$A$1003,0)),"")</f>
        <v/>
      </c>
      <c r="D99" s="26" t="str">
        <f t="array" ref="D99">IFERROR(INDEX('Patrimônio'!$B$7:$B$1003,MATCH($B99,'Patrimônio'!$A$7:$A$1003,0)),"")</f>
        <v/>
      </c>
      <c r="E99" s="17"/>
      <c r="F99" s="18"/>
      <c r="G99" s="19"/>
      <c r="H99" s="15"/>
      <c r="I99" s="17"/>
      <c r="J99" s="24" t="str">
        <f t="shared" si="1"/>
        <v/>
      </c>
      <c r="K99" s="17"/>
    </row>
    <row r="100" ht="15.0" customHeight="1">
      <c r="A100" s="19"/>
      <c r="B100" s="15"/>
      <c r="C100" s="26" t="str">
        <f t="array" ref="C100">IFERROR(INDEX('Patrimônio'!$C$7:$C$1003,MATCH($B100,'Patrimônio'!$A$7:$A$1003,0)),"")</f>
        <v/>
      </c>
      <c r="D100" s="26" t="str">
        <f t="array" ref="D100">IFERROR(INDEX('Patrimônio'!$B$7:$B$1003,MATCH($B100,'Patrimônio'!$A$7:$A$1003,0)),"")</f>
        <v/>
      </c>
      <c r="E100" s="17"/>
      <c r="F100" s="18"/>
      <c r="G100" s="19"/>
      <c r="H100" s="15"/>
      <c r="I100" s="17"/>
      <c r="J100" s="24" t="str">
        <f t="shared" si="1"/>
        <v/>
      </c>
      <c r="K100" s="17"/>
    </row>
    <row r="101" ht="15.0" customHeight="1">
      <c r="A101" s="19"/>
      <c r="B101" s="15"/>
      <c r="C101" s="26" t="str">
        <f t="array" ref="C101">IFERROR(INDEX('Patrimônio'!$C$7:$C$1003,MATCH($B101,'Patrimônio'!$A$7:$A$1003,0)),"")</f>
        <v/>
      </c>
      <c r="D101" s="26" t="str">
        <f t="array" ref="D101">IFERROR(INDEX('Patrimônio'!$B$7:$B$1003,MATCH($B101,'Patrimônio'!$A$7:$A$1003,0)),"")</f>
        <v/>
      </c>
      <c r="E101" s="17"/>
      <c r="F101" s="18"/>
      <c r="G101" s="19"/>
      <c r="H101" s="15"/>
      <c r="I101" s="17"/>
      <c r="J101" s="24" t="str">
        <f t="shared" si="1"/>
        <v/>
      </c>
      <c r="K101" s="17"/>
    </row>
    <row r="102" ht="15.0" customHeight="1">
      <c r="A102" s="19"/>
      <c r="B102" s="15"/>
      <c r="C102" s="26" t="str">
        <f t="array" ref="C102">IFERROR(INDEX('Patrimônio'!$C$7:$C$1003,MATCH($B102,'Patrimônio'!$A$7:$A$1003,0)),"")</f>
        <v/>
      </c>
      <c r="D102" s="26" t="str">
        <f t="array" ref="D102">IFERROR(INDEX('Patrimônio'!$B$7:$B$1003,MATCH($B102,'Patrimônio'!$A$7:$A$1003,0)),"")</f>
        <v/>
      </c>
      <c r="E102" s="17"/>
      <c r="F102" s="18"/>
      <c r="G102" s="19"/>
      <c r="H102" s="15"/>
      <c r="I102" s="17"/>
      <c r="J102" s="24" t="str">
        <f t="shared" si="1"/>
        <v/>
      </c>
      <c r="K102" s="17"/>
    </row>
    <row r="103" ht="15.0" customHeight="1">
      <c r="A103" s="19"/>
      <c r="B103" s="15"/>
      <c r="C103" s="26" t="str">
        <f t="array" ref="C103">IFERROR(INDEX('Patrimônio'!$C$7:$C$1003,MATCH($B103,'Patrimônio'!$A$7:$A$1003,0)),"")</f>
        <v/>
      </c>
      <c r="D103" s="26" t="str">
        <f t="array" ref="D103">IFERROR(INDEX('Patrimônio'!$B$7:$B$1003,MATCH($B103,'Patrimônio'!$A$7:$A$1003,0)),"")</f>
        <v/>
      </c>
      <c r="E103" s="17"/>
      <c r="F103" s="18"/>
      <c r="G103" s="19"/>
      <c r="H103" s="15"/>
      <c r="I103" s="17"/>
      <c r="J103" s="24" t="str">
        <f t="shared" si="1"/>
        <v/>
      </c>
      <c r="K103" s="17"/>
    </row>
    <row r="104" ht="15.0" customHeight="1">
      <c r="A104" s="19"/>
      <c r="B104" s="15"/>
      <c r="C104" s="26" t="str">
        <f t="array" ref="C104">IFERROR(INDEX('Patrimônio'!$C$7:$C$1003,MATCH($B104,'Patrimônio'!$A$7:$A$1003,0)),"")</f>
        <v/>
      </c>
      <c r="D104" s="26" t="str">
        <f t="array" ref="D104">IFERROR(INDEX('Patrimônio'!$B$7:$B$1003,MATCH($B104,'Patrimônio'!$A$7:$A$1003,0)),"")</f>
        <v/>
      </c>
      <c r="E104" s="17"/>
      <c r="F104" s="18"/>
      <c r="G104" s="19"/>
      <c r="H104" s="15"/>
      <c r="I104" s="17"/>
      <c r="J104" s="24" t="str">
        <f t="shared" si="1"/>
        <v/>
      </c>
      <c r="K104" s="17"/>
    </row>
    <row r="105" ht="15.0" customHeight="1">
      <c r="A105" s="19"/>
      <c r="B105" s="15"/>
      <c r="C105" s="26" t="str">
        <f t="array" ref="C105">IFERROR(INDEX('Patrimônio'!$C$7:$C$1003,MATCH($B105,'Patrimônio'!$A$7:$A$1003,0)),"")</f>
        <v/>
      </c>
      <c r="D105" s="26" t="str">
        <f t="array" ref="D105">IFERROR(INDEX('Patrimônio'!$B$7:$B$1003,MATCH($B105,'Patrimônio'!$A$7:$A$1003,0)),"")</f>
        <v/>
      </c>
      <c r="E105" s="17"/>
      <c r="F105" s="18"/>
      <c r="G105" s="19"/>
      <c r="H105" s="15"/>
      <c r="I105" s="17"/>
      <c r="J105" s="24" t="str">
        <f t="shared" si="1"/>
        <v/>
      </c>
      <c r="K105" s="17"/>
    </row>
    <row r="106" ht="15.0" customHeight="1">
      <c r="A106" s="19"/>
      <c r="B106" s="15"/>
      <c r="C106" s="26" t="str">
        <f t="array" ref="C106">IFERROR(INDEX('Patrimônio'!$C$7:$C$1003,MATCH($B106,'Patrimônio'!$A$7:$A$1003,0)),"")</f>
        <v/>
      </c>
      <c r="D106" s="26" t="str">
        <f t="array" ref="D106">IFERROR(INDEX('Patrimônio'!$B$7:$B$1003,MATCH($B106,'Patrimônio'!$A$7:$A$1003,0)),"")</f>
        <v/>
      </c>
      <c r="E106" s="17"/>
      <c r="F106" s="18"/>
      <c r="G106" s="19"/>
      <c r="H106" s="15"/>
      <c r="I106" s="17"/>
      <c r="J106" s="24" t="str">
        <f t="shared" si="1"/>
        <v/>
      </c>
      <c r="K106" s="17"/>
    </row>
    <row r="107" ht="15.0" customHeight="1">
      <c r="A107" s="19"/>
      <c r="B107" s="15"/>
      <c r="C107" s="26" t="str">
        <f t="array" ref="C107">IFERROR(INDEX('Patrimônio'!$C$7:$C$1003,MATCH($B107,'Patrimônio'!$A$7:$A$1003,0)),"")</f>
        <v/>
      </c>
      <c r="D107" s="26" t="str">
        <f t="array" ref="D107">IFERROR(INDEX('Patrimônio'!$B$7:$B$1003,MATCH($B107,'Patrimônio'!$A$7:$A$1003,0)),"")</f>
        <v/>
      </c>
      <c r="E107" s="17"/>
      <c r="F107" s="18"/>
      <c r="G107" s="19"/>
      <c r="H107" s="15"/>
      <c r="I107" s="17"/>
      <c r="J107" s="24" t="str">
        <f t="shared" si="1"/>
        <v/>
      </c>
      <c r="K107" s="17"/>
    </row>
    <row r="108" ht="15.0" customHeight="1">
      <c r="A108" s="19"/>
      <c r="B108" s="15"/>
      <c r="C108" s="26" t="str">
        <f t="array" ref="C108">IFERROR(INDEX('Patrimônio'!$C$7:$C$1003,MATCH($B108,'Patrimônio'!$A$7:$A$1003,0)),"")</f>
        <v/>
      </c>
      <c r="D108" s="26" t="str">
        <f t="array" ref="D108">IFERROR(INDEX('Patrimônio'!$B$7:$B$1003,MATCH($B108,'Patrimônio'!$A$7:$A$1003,0)),"")</f>
        <v/>
      </c>
      <c r="E108" s="17"/>
      <c r="F108" s="18"/>
      <c r="G108" s="19"/>
      <c r="H108" s="15"/>
      <c r="I108" s="17"/>
      <c r="J108" s="24" t="str">
        <f t="shared" si="1"/>
        <v/>
      </c>
      <c r="K108" s="17"/>
    </row>
    <row r="109" ht="15.0" customHeight="1">
      <c r="A109" s="19"/>
      <c r="B109" s="15"/>
      <c r="C109" s="26" t="str">
        <f t="array" ref="C109">IFERROR(INDEX('Patrimônio'!$C$7:$C$1003,MATCH($B109,'Patrimônio'!$A$7:$A$1003,0)),"")</f>
        <v/>
      </c>
      <c r="D109" s="26" t="str">
        <f t="array" ref="D109">IFERROR(INDEX('Patrimônio'!$B$7:$B$1003,MATCH($B109,'Patrimônio'!$A$7:$A$1003,0)),"")</f>
        <v/>
      </c>
      <c r="E109" s="17"/>
      <c r="F109" s="18"/>
      <c r="G109" s="19"/>
      <c r="H109" s="15"/>
      <c r="I109" s="17"/>
      <c r="J109" s="24" t="str">
        <f t="shared" si="1"/>
        <v/>
      </c>
      <c r="K109" s="17"/>
    </row>
    <row r="110" ht="15.0" customHeight="1">
      <c r="A110" s="19"/>
      <c r="B110" s="15"/>
      <c r="C110" s="26" t="str">
        <f t="array" ref="C110">IFERROR(INDEX('Patrimônio'!$C$7:$C$1003,MATCH($B110,'Patrimônio'!$A$7:$A$1003,0)),"")</f>
        <v/>
      </c>
      <c r="D110" s="26" t="str">
        <f t="array" ref="D110">IFERROR(INDEX('Patrimônio'!$B$7:$B$1003,MATCH($B110,'Patrimônio'!$A$7:$A$1003,0)),"")</f>
        <v/>
      </c>
      <c r="E110" s="17"/>
      <c r="F110" s="18"/>
      <c r="G110" s="19"/>
      <c r="H110" s="15"/>
      <c r="I110" s="17"/>
      <c r="J110" s="24" t="str">
        <f t="shared" si="1"/>
        <v/>
      </c>
      <c r="K110" s="17"/>
    </row>
    <row r="111" ht="15.0" customHeight="1">
      <c r="A111" s="19"/>
      <c r="B111" s="15"/>
      <c r="C111" s="26" t="str">
        <f t="array" ref="C111">IFERROR(INDEX('Patrimônio'!$C$7:$C$1003,MATCH($B111,'Patrimônio'!$A$7:$A$1003,0)),"")</f>
        <v/>
      </c>
      <c r="D111" s="26" t="str">
        <f t="array" ref="D111">IFERROR(INDEX('Patrimônio'!$B$7:$B$1003,MATCH($B111,'Patrimônio'!$A$7:$A$1003,0)),"")</f>
        <v/>
      </c>
      <c r="E111" s="17"/>
      <c r="F111" s="18"/>
      <c r="G111" s="19"/>
      <c r="H111" s="15"/>
      <c r="I111" s="17"/>
      <c r="J111" s="24" t="str">
        <f t="shared" si="1"/>
        <v/>
      </c>
      <c r="K111" s="17"/>
    </row>
    <row r="112" ht="15.0" customHeight="1">
      <c r="A112" s="19"/>
      <c r="B112" s="15"/>
      <c r="C112" s="26" t="str">
        <f t="array" ref="C112">IFERROR(INDEX('Patrimônio'!$C$7:$C$1003,MATCH($B112,'Patrimônio'!$A$7:$A$1003,0)),"")</f>
        <v/>
      </c>
      <c r="D112" s="26" t="str">
        <f t="array" ref="D112">IFERROR(INDEX('Patrimônio'!$B$7:$B$1003,MATCH($B112,'Patrimônio'!$A$7:$A$1003,0)),"")</f>
        <v/>
      </c>
      <c r="E112" s="17"/>
      <c r="F112" s="18"/>
      <c r="G112" s="19"/>
      <c r="H112" s="15"/>
      <c r="I112" s="17"/>
      <c r="J112" s="24" t="str">
        <f t="shared" si="1"/>
        <v/>
      </c>
      <c r="K112" s="17"/>
    </row>
    <row r="113" ht="15.0" customHeight="1">
      <c r="A113" s="19"/>
      <c r="B113" s="15"/>
      <c r="C113" s="26" t="str">
        <f t="array" ref="C113">IFERROR(INDEX('Patrimônio'!$C$7:$C$1003,MATCH($B113,'Patrimônio'!$A$7:$A$1003,0)),"")</f>
        <v/>
      </c>
      <c r="D113" s="26" t="str">
        <f t="array" ref="D113">IFERROR(INDEX('Patrimônio'!$B$7:$B$1003,MATCH($B113,'Patrimônio'!$A$7:$A$1003,0)),"")</f>
        <v/>
      </c>
      <c r="E113" s="17"/>
      <c r="F113" s="18"/>
      <c r="G113" s="19"/>
      <c r="H113" s="15"/>
      <c r="I113" s="17"/>
      <c r="J113" s="24" t="str">
        <f t="shared" si="1"/>
        <v/>
      </c>
      <c r="K113" s="17"/>
    </row>
    <row r="114" ht="15.0" customHeight="1">
      <c r="A114" s="19"/>
      <c r="B114" s="15"/>
      <c r="C114" s="26" t="str">
        <f t="array" ref="C114">IFERROR(INDEX('Patrimônio'!$C$7:$C$1003,MATCH($B114,'Patrimônio'!$A$7:$A$1003,0)),"")</f>
        <v/>
      </c>
      <c r="D114" s="26" t="str">
        <f t="array" ref="D114">IFERROR(INDEX('Patrimônio'!$B$7:$B$1003,MATCH($B114,'Patrimônio'!$A$7:$A$1003,0)),"")</f>
        <v/>
      </c>
      <c r="E114" s="17"/>
      <c r="F114" s="18"/>
      <c r="G114" s="19"/>
      <c r="H114" s="15"/>
      <c r="I114" s="17"/>
      <c r="J114" s="24" t="str">
        <f t="shared" si="1"/>
        <v/>
      </c>
      <c r="K114" s="17"/>
    </row>
    <row r="115" ht="15.0" customHeight="1">
      <c r="A115" s="19"/>
      <c r="B115" s="15"/>
      <c r="C115" s="26" t="str">
        <f t="array" ref="C115">IFERROR(INDEX('Patrimônio'!$C$7:$C$1003,MATCH($B115,'Patrimônio'!$A$7:$A$1003,0)),"")</f>
        <v/>
      </c>
      <c r="D115" s="26" t="str">
        <f t="array" ref="D115">IFERROR(INDEX('Patrimônio'!$B$7:$B$1003,MATCH($B115,'Patrimônio'!$A$7:$A$1003,0)),"")</f>
        <v/>
      </c>
      <c r="E115" s="17"/>
      <c r="F115" s="18"/>
      <c r="G115" s="19"/>
      <c r="H115" s="15"/>
      <c r="I115" s="17"/>
      <c r="J115" s="24" t="str">
        <f t="shared" si="1"/>
        <v/>
      </c>
      <c r="K115" s="17"/>
    </row>
    <row r="116" ht="15.0" customHeight="1">
      <c r="A116" s="19"/>
      <c r="B116" s="15"/>
      <c r="C116" s="26" t="str">
        <f t="array" ref="C116">IFERROR(INDEX('Patrimônio'!$C$7:$C$1003,MATCH($B116,'Patrimônio'!$A$7:$A$1003,0)),"")</f>
        <v/>
      </c>
      <c r="D116" s="26" t="str">
        <f t="array" ref="D116">IFERROR(INDEX('Patrimônio'!$B$7:$B$1003,MATCH($B116,'Patrimônio'!$A$7:$A$1003,0)),"")</f>
        <v/>
      </c>
      <c r="E116" s="17"/>
      <c r="F116" s="18"/>
      <c r="G116" s="19"/>
      <c r="H116" s="15"/>
      <c r="I116" s="17"/>
      <c r="J116" s="24" t="str">
        <f t="shared" si="1"/>
        <v/>
      </c>
      <c r="K116" s="17"/>
    </row>
    <row r="117" ht="15.0" customHeight="1">
      <c r="A117" s="19"/>
      <c r="B117" s="15"/>
      <c r="C117" s="26" t="str">
        <f t="array" ref="C117">IFERROR(INDEX('Patrimônio'!$C$7:$C$1003,MATCH($B117,'Patrimônio'!$A$7:$A$1003,0)),"")</f>
        <v/>
      </c>
      <c r="D117" s="26" t="str">
        <f t="array" ref="D117">IFERROR(INDEX('Patrimônio'!$B$7:$B$1003,MATCH($B117,'Patrimônio'!$A$7:$A$1003,0)),"")</f>
        <v/>
      </c>
      <c r="E117" s="17"/>
      <c r="F117" s="18"/>
      <c r="G117" s="19"/>
      <c r="H117" s="15"/>
      <c r="I117" s="17"/>
      <c r="J117" s="24" t="str">
        <f t="shared" si="1"/>
        <v/>
      </c>
      <c r="K117" s="17"/>
    </row>
    <row r="118" ht="15.0" customHeight="1">
      <c r="A118" s="19"/>
      <c r="B118" s="15"/>
      <c r="C118" s="26" t="str">
        <f t="array" ref="C118">IFERROR(INDEX('Patrimônio'!$C$7:$C$1003,MATCH($B118,'Patrimônio'!$A$7:$A$1003,0)),"")</f>
        <v/>
      </c>
      <c r="D118" s="26" t="str">
        <f t="array" ref="D118">IFERROR(INDEX('Patrimônio'!$B$7:$B$1003,MATCH($B118,'Patrimônio'!$A$7:$A$1003,0)),"")</f>
        <v/>
      </c>
      <c r="E118" s="17"/>
      <c r="F118" s="18"/>
      <c r="G118" s="19"/>
      <c r="H118" s="15"/>
      <c r="I118" s="17"/>
      <c r="J118" s="24" t="str">
        <f t="shared" si="1"/>
        <v/>
      </c>
      <c r="K118" s="17"/>
    </row>
    <row r="119" ht="15.0" customHeight="1">
      <c r="A119" s="19"/>
      <c r="B119" s="15"/>
      <c r="C119" s="26" t="str">
        <f t="array" ref="C119">IFERROR(INDEX('Patrimônio'!$C$7:$C$1003,MATCH($B119,'Patrimônio'!$A$7:$A$1003,0)),"")</f>
        <v/>
      </c>
      <c r="D119" s="26" t="str">
        <f t="array" ref="D119">IFERROR(INDEX('Patrimônio'!$B$7:$B$1003,MATCH($B119,'Patrimônio'!$A$7:$A$1003,0)),"")</f>
        <v/>
      </c>
      <c r="E119" s="17"/>
      <c r="F119" s="18"/>
      <c r="G119" s="19"/>
      <c r="H119" s="15"/>
      <c r="I119" s="17"/>
      <c r="J119" s="24" t="str">
        <f t="shared" si="1"/>
        <v/>
      </c>
      <c r="K119" s="17"/>
    </row>
    <row r="120" ht="15.0" customHeight="1">
      <c r="A120" s="19"/>
      <c r="B120" s="15"/>
      <c r="C120" s="26" t="str">
        <f t="array" ref="C120">IFERROR(INDEX('Patrimônio'!$C$7:$C$1003,MATCH($B120,'Patrimônio'!$A$7:$A$1003,0)),"")</f>
        <v/>
      </c>
      <c r="D120" s="26" t="str">
        <f t="array" ref="D120">IFERROR(INDEX('Patrimônio'!$B$7:$B$1003,MATCH($B120,'Patrimônio'!$A$7:$A$1003,0)),"")</f>
        <v/>
      </c>
      <c r="E120" s="17"/>
      <c r="F120" s="18"/>
      <c r="G120" s="19"/>
      <c r="H120" s="15"/>
      <c r="I120" s="17"/>
      <c r="J120" s="24" t="str">
        <f t="shared" si="1"/>
        <v/>
      </c>
      <c r="K120" s="17"/>
    </row>
    <row r="121" ht="15.0" customHeight="1">
      <c r="A121" s="19"/>
      <c r="B121" s="15"/>
      <c r="C121" s="26" t="str">
        <f t="array" ref="C121">IFERROR(INDEX('Patrimônio'!$C$7:$C$1003,MATCH($B121,'Patrimônio'!$A$7:$A$1003,0)),"")</f>
        <v/>
      </c>
      <c r="D121" s="26" t="str">
        <f t="array" ref="D121">IFERROR(INDEX('Patrimônio'!$B$7:$B$1003,MATCH($B121,'Patrimônio'!$A$7:$A$1003,0)),"")</f>
        <v/>
      </c>
      <c r="E121" s="17"/>
      <c r="F121" s="18"/>
      <c r="G121" s="19"/>
      <c r="H121" s="15"/>
      <c r="I121" s="17"/>
      <c r="J121" s="24" t="str">
        <f t="shared" si="1"/>
        <v/>
      </c>
      <c r="K121" s="17"/>
    </row>
    <row r="122" ht="15.0" customHeight="1">
      <c r="A122" s="19"/>
      <c r="B122" s="15"/>
      <c r="C122" s="26" t="str">
        <f t="array" ref="C122">IFERROR(INDEX('Patrimônio'!$C$7:$C$1003,MATCH($B122,'Patrimônio'!$A$7:$A$1003,0)),"")</f>
        <v/>
      </c>
      <c r="D122" s="26" t="str">
        <f t="array" ref="D122">IFERROR(INDEX('Patrimônio'!$B$7:$B$1003,MATCH($B122,'Patrimônio'!$A$7:$A$1003,0)),"")</f>
        <v/>
      </c>
      <c r="E122" s="17"/>
      <c r="F122" s="18"/>
      <c r="G122" s="19"/>
      <c r="H122" s="15"/>
      <c r="I122" s="17"/>
      <c r="J122" s="24" t="str">
        <f t="shared" si="1"/>
        <v/>
      </c>
      <c r="K122" s="17"/>
    </row>
    <row r="123" ht="15.0" customHeight="1">
      <c r="A123" s="19"/>
      <c r="B123" s="15"/>
      <c r="C123" s="26" t="str">
        <f t="array" ref="C123">IFERROR(INDEX('Patrimônio'!$C$7:$C$1003,MATCH($B123,'Patrimônio'!$A$7:$A$1003,0)),"")</f>
        <v/>
      </c>
      <c r="D123" s="26" t="str">
        <f t="array" ref="D123">IFERROR(INDEX('Patrimônio'!$B$7:$B$1003,MATCH($B123,'Patrimônio'!$A$7:$A$1003,0)),"")</f>
        <v/>
      </c>
      <c r="E123" s="17"/>
      <c r="F123" s="18"/>
      <c r="G123" s="19"/>
      <c r="H123" s="15"/>
      <c r="I123" s="17"/>
      <c r="J123" s="24" t="str">
        <f t="shared" si="1"/>
        <v/>
      </c>
      <c r="K123" s="17"/>
    </row>
    <row r="124" ht="15.0" customHeight="1">
      <c r="A124" s="19"/>
      <c r="B124" s="15"/>
      <c r="C124" s="26" t="str">
        <f t="array" ref="C124">IFERROR(INDEX('Patrimônio'!$C$7:$C$1003,MATCH($B124,'Patrimônio'!$A$7:$A$1003,0)),"")</f>
        <v/>
      </c>
      <c r="D124" s="26" t="str">
        <f t="array" ref="D124">IFERROR(INDEX('Patrimônio'!$B$7:$B$1003,MATCH($B124,'Patrimônio'!$A$7:$A$1003,0)),"")</f>
        <v/>
      </c>
      <c r="E124" s="17"/>
      <c r="F124" s="18"/>
      <c r="G124" s="19"/>
      <c r="H124" s="15"/>
      <c r="I124" s="17"/>
      <c r="J124" s="24" t="str">
        <f t="shared" si="1"/>
        <v/>
      </c>
      <c r="K124" s="17"/>
    </row>
    <row r="125" ht="15.0" customHeight="1">
      <c r="A125" s="19"/>
      <c r="B125" s="15"/>
      <c r="C125" s="26" t="str">
        <f t="array" ref="C125">IFERROR(INDEX('Patrimônio'!$C$7:$C$1003,MATCH($B125,'Patrimônio'!$A$7:$A$1003,0)),"")</f>
        <v/>
      </c>
      <c r="D125" s="26" t="str">
        <f t="array" ref="D125">IFERROR(INDEX('Patrimônio'!$B$7:$B$1003,MATCH($B125,'Patrimônio'!$A$7:$A$1003,0)),"")</f>
        <v/>
      </c>
      <c r="E125" s="17"/>
      <c r="F125" s="18"/>
      <c r="G125" s="19"/>
      <c r="H125" s="15"/>
      <c r="I125" s="17"/>
      <c r="J125" s="24" t="str">
        <f t="shared" si="1"/>
        <v/>
      </c>
      <c r="K125" s="17"/>
    </row>
    <row r="126" ht="15.0" customHeight="1">
      <c r="A126" s="19"/>
      <c r="B126" s="15"/>
      <c r="C126" s="26" t="str">
        <f t="array" ref="C126">IFERROR(INDEX('Patrimônio'!$C$7:$C$1003,MATCH($B126,'Patrimônio'!$A$7:$A$1003,0)),"")</f>
        <v/>
      </c>
      <c r="D126" s="26" t="str">
        <f t="array" ref="D126">IFERROR(INDEX('Patrimônio'!$B$7:$B$1003,MATCH($B126,'Patrimônio'!$A$7:$A$1003,0)),"")</f>
        <v/>
      </c>
      <c r="E126" s="17"/>
      <c r="F126" s="18"/>
      <c r="G126" s="19"/>
      <c r="H126" s="15"/>
      <c r="I126" s="17"/>
      <c r="J126" s="24" t="str">
        <f t="shared" si="1"/>
        <v/>
      </c>
      <c r="K126" s="17"/>
    </row>
    <row r="127" ht="15.0" customHeight="1">
      <c r="A127" s="19"/>
      <c r="B127" s="15"/>
      <c r="C127" s="26" t="str">
        <f t="array" ref="C127">IFERROR(INDEX('Patrimônio'!$C$7:$C$1003,MATCH($B127,'Patrimônio'!$A$7:$A$1003,0)),"")</f>
        <v/>
      </c>
      <c r="D127" s="26" t="str">
        <f t="array" ref="D127">IFERROR(INDEX('Patrimônio'!$B$7:$B$1003,MATCH($B127,'Patrimônio'!$A$7:$A$1003,0)),"")</f>
        <v/>
      </c>
      <c r="E127" s="17"/>
      <c r="F127" s="18"/>
      <c r="G127" s="19"/>
      <c r="H127" s="15"/>
      <c r="I127" s="17"/>
      <c r="J127" s="24" t="str">
        <f t="shared" si="1"/>
        <v/>
      </c>
      <c r="K127" s="17"/>
    </row>
    <row r="128" ht="15.0" customHeight="1">
      <c r="A128" s="19"/>
      <c r="B128" s="15"/>
      <c r="C128" s="26" t="str">
        <f t="array" ref="C128">IFERROR(INDEX('Patrimônio'!$C$7:$C$1003,MATCH($B128,'Patrimônio'!$A$7:$A$1003,0)),"")</f>
        <v/>
      </c>
      <c r="D128" s="26" t="str">
        <f t="array" ref="D128">IFERROR(INDEX('Patrimônio'!$B$7:$B$1003,MATCH($B128,'Patrimônio'!$A$7:$A$1003,0)),"")</f>
        <v/>
      </c>
      <c r="E128" s="17"/>
      <c r="F128" s="18"/>
      <c r="G128" s="19"/>
      <c r="H128" s="15"/>
      <c r="I128" s="17"/>
      <c r="J128" s="24" t="str">
        <f t="shared" si="1"/>
        <v/>
      </c>
      <c r="K128" s="17"/>
    </row>
    <row r="129" ht="15.0" customHeight="1">
      <c r="A129" s="19"/>
      <c r="B129" s="15"/>
      <c r="C129" s="26" t="str">
        <f t="array" ref="C129">IFERROR(INDEX('Patrimônio'!$C$7:$C$1003,MATCH($B129,'Patrimônio'!$A$7:$A$1003,0)),"")</f>
        <v/>
      </c>
      <c r="D129" s="26" t="str">
        <f t="array" ref="D129">IFERROR(INDEX('Patrimônio'!$B$7:$B$1003,MATCH($B129,'Patrimônio'!$A$7:$A$1003,0)),"")</f>
        <v/>
      </c>
      <c r="E129" s="17"/>
      <c r="F129" s="18"/>
      <c r="G129" s="19"/>
      <c r="H129" s="15"/>
      <c r="I129" s="17"/>
      <c r="J129" s="24" t="str">
        <f t="shared" si="1"/>
        <v/>
      </c>
      <c r="K129" s="17"/>
    </row>
    <row r="130" ht="15.0" customHeight="1">
      <c r="A130" s="19"/>
      <c r="B130" s="15"/>
      <c r="C130" s="26" t="str">
        <f t="array" ref="C130">IFERROR(INDEX('Patrimônio'!$C$7:$C$1003,MATCH($B130,'Patrimônio'!$A$7:$A$1003,0)),"")</f>
        <v/>
      </c>
      <c r="D130" s="26" t="str">
        <f t="array" ref="D130">IFERROR(INDEX('Patrimônio'!$B$7:$B$1003,MATCH($B130,'Patrimônio'!$A$7:$A$1003,0)),"")</f>
        <v/>
      </c>
      <c r="E130" s="17"/>
      <c r="F130" s="18"/>
      <c r="G130" s="19"/>
      <c r="H130" s="15"/>
      <c r="I130" s="17"/>
      <c r="J130" s="24" t="str">
        <f t="shared" si="1"/>
        <v/>
      </c>
      <c r="K130" s="17"/>
    </row>
    <row r="131" ht="15.0" customHeight="1">
      <c r="A131" s="19"/>
      <c r="B131" s="15"/>
      <c r="C131" s="26" t="str">
        <f t="array" ref="C131">IFERROR(INDEX('Patrimônio'!$C$7:$C$1003,MATCH($B131,'Patrimônio'!$A$7:$A$1003,0)),"")</f>
        <v/>
      </c>
      <c r="D131" s="26" t="str">
        <f t="array" ref="D131">IFERROR(INDEX('Patrimônio'!$B$7:$B$1003,MATCH($B131,'Patrimônio'!$A$7:$A$1003,0)),"")</f>
        <v/>
      </c>
      <c r="E131" s="17"/>
      <c r="F131" s="18"/>
      <c r="G131" s="19"/>
      <c r="H131" s="15"/>
      <c r="I131" s="17"/>
      <c r="J131" s="24" t="str">
        <f t="shared" si="1"/>
        <v/>
      </c>
      <c r="K131" s="17"/>
    </row>
    <row r="132" ht="15.0" customHeight="1">
      <c r="A132" s="19"/>
      <c r="B132" s="15"/>
      <c r="C132" s="26" t="str">
        <f t="array" ref="C132">IFERROR(INDEX('Patrimônio'!$C$7:$C$1003,MATCH($B132,'Patrimônio'!$A$7:$A$1003,0)),"")</f>
        <v/>
      </c>
      <c r="D132" s="26" t="str">
        <f t="array" ref="D132">IFERROR(INDEX('Patrimônio'!$B$7:$B$1003,MATCH($B132,'Patrimônio'!$A$7:$A$1003,0)),"")</f>
        <v/>
      </c>
      <c r="E132" s="17"/>
      <c r="F132" s="18"/>
      <c r="G132" s="19"/>
      <c r="H132" s="15"/>
      <c r="I132" s="17"/>
      <c r="J132" s="24" t="str">
        <f t="shared" si="1"/>
        <v/>
      </c>
      <c r="K132" s="17"/>
    </row>
    <row r="133" ht="15.0" customHeight="1">
      <c r="A133" s="19"/>
      <c r="B133" s="15"/>
      <c r="C133" s="26" t="str">
        <f t="array" ref="C133">IFERROR(INDEX('Patrimônio'!$C$7:$C$1003,MATCH($B133,'Patrimônio'!$A$7:$A$1003,0)),"")</f>
        <v/>
      </c>
      <c r="D133" s="26" t="str">
        <f t="array" ref="D133">IFERROR(INDEX('Patrimônio'!$B$7:$B$1003,MATCH($B133,'Patrimônio'!$A$7:$A$1003,0)),"")</f>
        <v/>
      </c>
      <c r="E133" s="17"/>
      <c r="F133" s="18"/>
      <c r="G133" s="19"/>
      <c r="H133" s="15"/>
      <c r="I133" s="17"/>
      <c r="J133" s="24" t="str">
        <f t="shared" si="1"/>
        <v/>
      </c>
      <c r="K133" s="17"/>
    </row>
    <row r="134" ht="15.0" customHeight="1">
      <c r="A134" s="19"/>
      <c r="B134" s="15"/>
      <c r="C134" s="26" t="str">
        <f t="array" ref="C134">IFERROR(INDEX('Patrimônio'!$C$7:$C$1003,MATCH($B134,'Patrimônio'!$A$7:$A$1003,0)),"")</f>
        <v/>
      </c>
      <c r="D134" s="26" t="str">
        <f t="array" ref="D134">IFERROR(INDEX('Patrimônio'!$B$7:$B$1003,MATCH($B134,'Patrimônio'!$A$7:$A$1003,0)),"")</f>
        <v/>
      </c>
      <c r="E134" s="17"/>
      <c r="F134" s="18"/>
      <c r="G134" s="19"/>
      <c r="H134" s="15"/>
      <c r="I134" s="17"/>
      <c r="J134" s="24" t="str">
        <f t="shared" si="1"/>
        <v/>
      </c>
      <c r="K134" s="17"/>
    </row>
    <row r="135" ht="15.0" customHeight="1">
      <c r="A135" s="19"/>
      <c r="B135" s="15"/>
      <c r="C135" s="26" t="str">
        <f t="array" ref="C135">IFERROR(INDEX('Patrimônio'!$C$7:$C$1003,MATCH($B135,'Patrimônio'!$A$7:$A$1003,0)),"")</f>
        <v/>
      </c>
      <c r="D135" s="26" t="str">
        <f t="array" ref="D135">IFERROR(INDEX('Patrimônio'!$B$7:$B$1003,MATCH($B135,'Patrimônio'!$A$7:$A$1003,0)),"")</f>
        <v/>
      </c>
      <c r="E135" s="17"/>
      <c r="F135" s="18"/>
      <c r="G135" s="19"/>
      <c r="H135" s="15"/>
      <c r="I135" s="17"/>
      <c r="J135" s="24" t="str">
        <f t="shared" si="1"/>
        <v/>
      </c>
      <c r="K135" s="17"/>
    </row>
    <row r="136" ht="15.0" customHeight="1">
      <c r="A136" s="19"/>
      <c r="B136" s="15"/>
      <c r="C136" s="26" t="str">
        <f t="array" ref="C136">IFERROR(INDEX('Patrimônio'!$C$7:$C$1003,MATCH($B136,'Patrimônio'!$A$7:$A$1003,0)),"")</f>
        <v/>
      </c>
      <c r="D136" s="26" t="str">
        <f t="array" ref="D136">IFERROR(INDEX('Patrimônio'!$B$7:$B$1003,MATCH($B136,'Patrimônio'!$A$7:$A$1003,0)),"")</f>
        <v/>
      </c>
      <c r="E136" s="17"/>
      <c r="F136" s="18"/>
      <c r="G136" s="19"/>
      <c r="H136" s="15"/>
      <c r="I136" s="17"/>
      <c r="J136" s="24" t="str">
        <f t="shared" si="1"/>
        <v/>
      </c>
      <c r="K136" s="17"/>
    </row>
    <row r="137" ht="15.0" customHeight="1">
      <c r="A137" s="19"/>
      <c r="B137" s="15"/>
      <c r="C137" s="26" t="str">
        <f t="array" ref="C137">IFERROR(INDEX('Patrimônio'!$C$7:$C$1003,MATCH($B137,'Patrimônio'!$A$7:$A$1003,0)),"")</f>
        <v/>
      </c>
      <c r="D137" s="26" t="str">
        <f t="array" ref="D137">IFERROR(INDEX('Patrimônio'!$B$7:$B$1003,MATCH($B137,'Patrimônio'!$A$7:$A$1003,0)),"")</f>
        <v/>
      </c>
      <c r="E137" s="17"/>
      <c r="F137" s="18"/>
      <c r="G137" s="19"/>
      <c r="H137" s="15"/>
      <c r="I137" s="17"/>
      <c r="J137" s="24" t="str">
        <f t="shared" si="1"/>
        <v/>
      </c>
      <c r="K137" s="17"/>
    </row>
    <row r="138" ht="15.0" customHeight="1">
      <c r="A138" s="19"/>
      <c r="B138" s="15"/>
      <c r="C138" s="26" t="str">
        <f t="array" ref="C138">IFERROR(INDEX('Patrimônio'!$C$7:$C$1003,MATCH($B138,'Patrimônio'!$A$7:$A$1003,0)),"")</f>
        <v/>
      </c>
      <c r="D138" s="26" t="str">
        <f t="array" ref="D138">IFERROR(INDEX('Patrimônio'!$B$7:$B$1003,MATCH($B138,'Patrimônio'!$A$7:$A$1003,0)),"")</f>
        <v/>
      </c>
      <c r="E138" s="17"/>
      <c r="F138" s="18"/>
      <c r="G138" s="19"/>
      <c r="H138" s="15"/>
      <c r="I138" s="17"/>
      <c r="J138" s="24" t="str">
        <f t="shared" si="1"/>
        <v/>
      </c>
      <c r="K138" s="17"/>
    </row>
    <row r="139" ht="15.0" customHeight="1">
      <c r="A139" s="19"/>
      <c r="B139" s="15"/>
      <c r="C139" s="26" t="str">
        <f t="array" ref="C139">IFERROR(INDEX('Patrimônio'!$C$7:$C$1003,MATCH($B139,'Patrimônio'!$A$7:$A$1003,0)),"")</f>
        <v/>
      </c>
      <c r="D139" s="26" t="str">
        <f t="array" ref="D139">IFERROR(INDEX('Patrimônio'!$B$7:$B$1003,MATCH($B139,'Patrimônio'!$A$7:$A$1003,0)),"")</f>
        <v/>
      </c>
      <c r="E139" s="17"/>
      <c r="F139" s="18"/>
      <c r="G139" s="19"/>
      <c r="H139" s="15"/>
      <c r="I139" s="17"/>
      <c r="J139" s="24" t="str">
        <f t="shared" si="1"/>
        <v/>
      </c>
      <c r="K139" s="17"/>
    </row>
    <row r="140" ht="15.0" customHeight="1">
      <c r="A140" s="19"/>
      <c r="B140" s="15"/>
      <c r="C140" s="26" t="str">
        <f t="array" ref="C140">IFERROR(INDEX('Patrimônio'!$C$7:$C$1003,MATCH($B140,'Patrimônio'!$A$7:$A$1003,0)),"")</f>
        <v/>
      </c>
      <c r="D140" s="26" t="str">
        <f t="array" ref="D140">IFERROR(INDEX('Patrimônio'!$B$7:$B$1003,MATCH($B140,'Patrimônio'!$A$7:$A$1003,0)),"")</f>
        <v/>
      </c>
      <c r="E140" s="17"/>
      <c r="F140" s="18"/>
      <c r="G140" s="19"/>
      <c r="H140" s="15"/>
      <c r="I140" s="17"/>
      <c r="J140" s="24" t="str">
        <f t="shared" si="1"/>
        <v/>
      </c>
      <c r="K140" s="17"/>
    </row>
    <row r="141" ht="15.0" customHeight="1">
      <c r="A141" s="19"/>
      <c r="B141" s="15"/>
      <c r="C141" s="26" t="str">
        <f t="array" ref="C141">IFERROR(INDEX('Patrimônio'!$C$7:$C$1003,MATCH($B141,'Patrimônio'!$A$7:$A$1003,0)),"")</f>
        <v/>
      </c>
      <c r="D141" s="26" t="str">
        <f t="array" ref="D141">IFERROR(INDEX('Patrimônio'!$B$7:$B$1003,MATCH($B141,'Patrimônio'!$A$7:$A$1003,0)),"")</f>
        <v/>
      </c>
      <c r="E141" s="17"/>
      <c r="F141" s="18"/>
      <c r="G141" s="19"/>
      <c r="H141" s="15"/>
      <c r="I141" s="17"/>
      <c r="J141" s="24" t="str">
        <f t="shared" si="1"/>
        <v/>
      </c>
      <c r="K141" s="17"/>
    </row>
    <row r="142" ht="15.0" customHeight="1">
      <c r="A142" s="19"/>
      <c r="B142" s="15"/>
      <c r="C142" s="26" t="str">
        <f t="array" ref="C142">IFERROR(INDEX('Patrimônio'!$C$7:$C$1003,MATCH($B142,'Patrimônio'!$A$7:$A$1003,0)),"")</f>
        <v/>
      </c>
      <c r="D142" s="26" t="str">
        <f t="array" ref="D142">IFERROR(INDEX('Patrimônio'!$B$7:$B$1003,MATCH($B142,'Patrimônio'!$A$7:$A$1003,0)),"")</f>
        <v/>
      </c>
      <c r="E142" s="17"/>
      <c r="F142" s="18"/>
      <c r="G142" s="19"/>
      <c r="H142" s="15"/>
      <c r="I142" s="17"/>
      <c r="J142" s="24" t="str">
        <f t="shared" si="1"/>
        <v/>
      </c>
      <c r="K142" s="17"/>
    </row>
    <row r="143" ht="15.0" customHeight="1">
      <c r="A143" s="19"/>
      <c r="B143" s="15"/>
      <c r="C143" s="26" t="str">
        <f t="array" ref="C143">IFERROR(INDEX('Patrimônio'!$C$7:$C$1003,MATCH($B143,'Patrimônio'!$A$7:$A$1003,0)),"")</f>
        <v/>
      </c>
      <c r="D143" s="26" t="str">
        <f t="array" ref="D143">IFERROR(INDEX('Patrimônio'!$B$7:$B$1003,MATCH($B143,'Patrimônio'!$A$7:$A$1003,0)),"")</f>
        <v/>
      </c>
      <c r="E143" s="17"/>
      <c r="F143" s="18"/>
      <c r="G143" s="19"/>
      <c r="H143" s="15"/>
      <c r="I143" s="17"/>
      <c r="J143" s="24" t="str">
        <f t="shared" si="1"/>
        <v/>
      </c>
      <c r="K143" s="17"/>
    </row>
    <row r="144" ht="15.0" customHeight="1">
      <c r="A144" s="19"/>
      <c r="B144" s="15"/>
      <c r="C144" s="26" t="str">
        <f t="array" ref="C144">IFERROR(INDEX('Patrimônio'!$C$7:$C$1003,MATCH($B144,'Patrimônio'!$A$7:$A$1003,0)),"")</f>
        <v/>
      </c>
      <c r="D144" s="26" t="str">
        <f t="array" ref="D144">IFERROR(INDEX('Patrimônio'!$B$7:$B$1003,MATCH($B144,'Patrimônio'!$A$7:$A$1003,0)),"")</f>
        <v/>
      </c>
      <c r="E144" s="17"/>
      <c r="F144" s="18"/>
      <c r="G144" s="19"/>
      <c r="H144" s="15"/>
      <c r="I144" s="17"/>
      <c r="J144" s="24" t="str">
        <f t="shared" si="1"/>
        <v/>
      </c>
      <c r="K144" s="17"/>
    </row>
    <row r="145" ht="15.0" customHeight="1">
      <c r="A145" s="19"/>
      <c r="B145" s="15"/>
      <c r="C145" s="26" t="str">
        <f t="array" ref="C145">IFERROR(INDEX('Patrimônio'!$C$7:$C$1003,MATCH($B145,'Patrimônio'!$A$7:$A$1003,0)),"")</f>
        <v/>
      </c>
      <c r="D145" s="26" t="str">
        <f t="array" ref="D145">IFERROR(INDEX('Patrimônio'!$B$7:$B$1003,MATCH($B145,'Patrimônio'!$A$7:$A$1003,0)),"")</f>
        <v/>
      </c>
      <c r="E145" s="17"/>
      <c r="F145" s="18"/>
      <c r="G145" s="19"/>
      <c r="H145" s="15"/>
      <c r="I145" s="17"/>
      <c r="J145" s="24" t="str">
        <f t="shared" si="1"/>
        <v/>
      </c>
      <c r="K145" s="17"/>
    </row>
    <row r="146" ht="15.0" customHeight="1">
      <c r="A146" s="19"/>
      <c r="B146" s="15"/>
      <c r="C146" s="26" t="str">
        <f t="array" ref="C146">IFERROR(INDEX('Patrimônio'!$C$7:$C$1003,MATCH($B146,'Patrimônio'!$A$7:$A$1003,0)),"")</f>
        <v/>
      </c>
      <c r="D146" s="26" t="str">
        <f t="array" ref="D146">IFERROR(INDEX('Patrimônio'!$B$7:$B$1003,MATCH($B146,'Patrimônio'!$A$7:$A$1003,0)),"")</f>
        <v/>
      </c>
      <c r="E146" s="17"/>
      <c r="F146" s="18"/>
      <c r="G146" s="19"/>
      <c r="H146" s="15"/>
      <c r="I146" s="17"/>
      <c r="J146" s="24" t="str">
        <f t="shared" si="1"/>
        <v/>
      </c>
      <c r="K146" s="17"/>
    </row>
    <row r="147" ht="15.0" customHeight="1">
      <c r="A147" s="19"/>
      <c r="B147" s="15"/>
      <c r="C147" s="26" t="str">
        <f t="array" ref="C147">IFERROR(INDEX('Patrimônio'!$C$7:$C$1003,MATCH($B147,'Patrimônio'!$A$7:$A$1003,0)),"")</f>
        <v/>
      </c>
      <c r="D147" s="26" t="str">
        <f t="array" ref="D147">IFERROR(INDEX('Patrimônio'!$B$7:$B$1003,MATCH($B147,'Patrimônio'!$A$7:$A$1003,0)),"")</f>
        <v/>
      </c>
      <c r="E147" s="17"/>
      <c r="F147" s="18"/>
      <c r="G147" s="19"/>
      <c r="H147" s="15"/>
      <c r="I147" s="17"/>
      <c r="J147" s="24" t="str">
        <f t="shared" si="1"/>
        <v/>
      </c>
      <c r="K147" s="17"/>
    </row>
    <row r="148" ht="15.0" customHeight="1">
      <c r="A148" s="19"/>
      <c r="B148" s="15"/>
      <c r="C148" s="26" t="str">
        <f t="array" ref="C148">IFERROR(INDEX('Patrimônio'!$C$7:$C$1003,MATCH($B148,'Patrimônio'!$A$7:$A$1003,0)),"")</f>
        <v/>
      </c>
      <c r="D148" s="26" t="str">
        <f t="array" ref="D148">IFERROR(INDEX('Patrimônio'!$B$7:$B$1003,MATCH($B148,'Patrimônio'!$A$7:$A$1003,0)),"")</f>
        <v/>
      </c>
      <c r="E148" s="17"/>
      <c r="F148" s="18"/>
      <c r="G148" s="19"/>
      <c r="H148" s="15"/>
      <c r="I148" s="17"/>
      <c r="J148" s="24" t="str">
        <f t="shared" si="1"/>
        <v/>
      </c>
      <c r="K148" s="17"/>
    </row>
    <row r="149" ht="15.0" customHeight="1">
      <c r="A149" s="19"/>
      <c r="B149" s="15"/>
      <c r="C149" s="26" t="str">
        <f t="array" ref="C149">IFERROR(INDEX('Patrimônio'!$C$7:$C$1003,MATCH($B149,'Patrimônio'!$A$7:$A$1003,0)),"")</f>
        <v/>
      </c>
      <c r="D149" s="26" t="str">
        <f t="array" ref="D149">IFERROR(INDEX('Patrimônio'!$B$7:$B$1003,MATCH($B149,'Patrimônio'!$A$7:$A$1003,0)),"")</f>
        <v/>
      </c>
      <c r="E149" s="17"/>
      <c r="F149" s="18"/>
      <c r="G149" s="19"/>
      <c r="H149" s="15"/>
      <c r="I149" s="17"/>
      <c r="J149" s="24" t="str">
        <f t="shared" si="1"/>
        <v/>
      </c>
      <c r="K149" s="17"/>
    </row>
    <row r="150" ht="15.0" customHeight="1">
      <c r="A150" s="19"/>
      <c r="B150" s="15"/>
      <c r="C150" s="26" t="str">
        <f t="array" ref="C150">IFERROR(INDEX('Patrimônio'!$C$7:$C$1003,MATCH($B150,'Patrimônio'!$A$7:$A$1003,0)),"")</f>
        <v/>
      </c>
      <c r="D150" s="26" t="str">
        <f t="array" ref="D150">IFERROR(INDEX('Patrimônio'!$B$7:$B$1003,MATCH($B150,'Patrimônio'!$A$7:$A$1003,0)),"")</f>
        <v/>
      </c>
      <c r="E150" s="17"/>
      <c r="F150" s="18"/>
      <c r="G150" s="19"/>
      <c r="H150" s="15"/>
      <c r="I150" s="17"/>
      <c r="J150" s="24" t="str">
        <f t="shared" si="1"/>
        <v/>
      </c>
      <c r="K150" s="17"/>
    </row>
    <row r="151" ht="15.0" customHeight="1">
      <c r="A151" s="19"/>
      <c r="B151" s="15"/>
      <c r="C151" s="26" t="str">
        <f t="array" ref="C151">IFERROR(INDEX('Patrimônio'!$C$7:$C$1003,MATCH($B151,'Patrimônio'!$A$7:$A$1003,0)),"")</f>
        <v/>
      </c>
      <c r="D151" s="26" t="str">
        <f t="array" ref="D151">IFERROR(INDEX('Patrimônio'!$B$7:$B$1003,MATCH($B151,'Patrimônio'!$A$7:$A$1003,0)),"")</f>
        <v/>
      </c>
      <c r="E151" s="17"/>
      <c r="F151" s="18"/>
      <c r="G151" s="19"/>
      <c r="H151" s="15"/>
      <c r="I151" s="17"/>
      <c r="J151" s="24" t="str">
        <f t="shared" si="1"/>
        <v/>
      </c>
      <c r="K151" s="17"/>
    </row>
    <row r="152" ht="15.0" customHeight="1">
      <c r="A152" s="19"/>
      <c r="B152" s="15"/>
      <c r="C152" s="26" t="str">
        <f t="array" ref="C152">IFERROR(INDEX('Patrimônio'!$C$7:$C$1003,MATCH($B152,'Patrimônio'!$A$7:$A$1003,0)),"")</f>
        <v/>
      </c>
      <c r="D152" s="26" t="str">
        <f t="array" ref="D152">IFERROR(INDEX('Patrimônio'!$B$7:$B$1003,MATCH($B152,'Patrimônio'!$A$7:$A$1003,0)),"")</f>
        <v/>
      </c>
      <c r="E152" s="17"/>
      <c r="F152" s="18"/>
      <c r="G152" s="19"/>
      <c r="H152" s="15"/>
      <c r="I152" s="17"/>
      <c r="J152" s="24" t="str">
        <f t="shared" si="1"/>
        <v/>
      </c>
      <c r="K152" s="17"/>
    </row>
    <row r="153" ht="15.0" customHeight="1">
      <c r="A153" s="19"/>
      <c r="B153" s="15"/>
      <c r="C153" s="26" t="str">
        <f t="array" ref="C153">IFERROR(INDEX('Patrimônio'!$C$7:$C$1003,MATCH($B153,'Patrimônio'!$A$7:$A$1003,0)),"")</f>
        <v/>
      </c>
      <c r="D153" s="26" t="str">
        <f t="array" ref="D153">IFERROR(INDEX('Patrimônio'!$B$7:$B$1003,MATCH($B153,'Patrimônio'!$A$7:$A$1003,0)),"")</f>
        <v/>
      </c>
      <c r="E153" s="17"/>
      <c r="F153" s="18"/>
      <c r="G153" s="19"/>
      <c r="H153" s="15"/>
      <c r="I153" s="17"/>
      <c r="J153" s="24" t="str">
        <f t="shared" si="1"/>
        <v/>
      </c>
      <c r="K153" s="17"/>
    </row>
    <row r="154" ht="15.0" customHeight="1">
      <c r="A154" s="19"/>
      <c r="B154" s="15"/>
      <c r="C154" s="26" t="str">
        <f t="array" ref="C154">IFERROR(INDEX('Patrimônio'!$C$7:$C$1003,MATCH($B154,'Patrimônio'!$A$7:$A$1003,0)),"")</f>
        <v/>
      </c>
      <c r="D154" s="26" t="str">
        <f t="array" ref="D154">IFERROR(INDEX('Patrimônio'!$B$7:$B$1003,MATCH($B154,'Patrimônio'!$A$7:$A$1003,0)),"")</f>
        <v/>
      </c>
      <c r="E154" s="17"/>
      <c r="F154" s="18"/>
      <c r="G154" s="19"/>
      <c r="H154" s="15"/>
      <c r="I154" s="17"/>
      <c r="J154" s="24" t="str">
        <f t="shared" si="1"/>
        <v/>
      </c>
      <c r="K154" s="17"/>
    </row>
    <row r="155" ht="15.0" customHeight="1">
      <c r="A155" s="19"/>
      <c r="B155" s="15"/>
      <c r="C155" s="26" t="str">
        <f t="array" ref="C155">IFERROR(INDEX('Patrimônio'!$C$7:$C$1003,MATCH($B155,'Patrimônio'!$A$7:$A$1003,0)),"")</f>
        <v/>
      </c>
      <c r="D155" s="26" t="str">
        <f t="array" ref="D155">IFERROR(INDEX('Patrimônio'!$B$7:$B$1003,MATCH($B155,'Patrimônio'!$A$7:$A$1003,0)),"")</f>
        <v/>
      </c>
      <c r="E155" s="17"/>
      <c r="F155" s="18"/>
      <c r="G155" s="19"/>
      <c r="H155" s="15"/>
      <c r="I155" s="17"/>
      <c r="J155" s="24" t="str">
        <f t="shared" si="1"/>
        <v/>
      </c>
      <c r="K155" s="17"/>
    </row>
    <row r="156" ht="15.0" customHeight="1">
      <c r="A156" s="19"/>
      <c r="B156" s="15"/>
      <c r="C156" s="26" t="str">
        <f t="array" ref="C156">IFERROR(INDEX('Patrimônio'!$C$7:$C$1003,MATCH($B156,'Patrimônio'!$A$7:$A$1003,0)),"")</f>
        <v/>
      </c>
      <c r="D156" s="26" t="str">
        <f t="array" ref="D156">IFERROR(INDEX('Patrimônio'!$B$7:$B$1003,MATCH($B156,'Patrimônio'!$A$7:$A$1003,0)),"")</f>
        <v/>
      </c>
      <c r="E156" s="17"/>
      <c r="F156" s="18"/>
      <c r="G156" s="19"/>
      <c r="H156" s="15"/>
      <c r="I156" s="17"/>
      <c r="J156" s="24" t="str">
        <f t="shared" si="1"/>
        <v/>
      </c>
      <c r="K156" s="17"/>
    </row>
    <row r="157" ht="15.0" customHeight="1">
      <c r="A157" s="19"/>
      <c r="B157" s="15"/>
      <c r="C157" s="26" t="str">
        <f t="array" ref="C157">IFERROR(INDEX('Patrimônio'!$C$7:$C$1003,MATCH($B157,'Patrimônio'!$A$7:$A$1003,0)),"")</f>
        <v/>
      </c>
      <c r="D157" s="26" t="str">
        <f t="array" ref="D157">IFERROR(INDEX('Patrimônio'!$B$7:$B$1003,MATCH($B157,'Patrimônio'!$A$7:$A$1003,0)),"")</f>
        <v/>
      </c>
      <c r="E157" s="17"/>
      <c r="F157" s="18"/>
      <c r="G157" s="19"/>
      <c r="H157" s="15"/>
      <c r="I157" s="17"/>
      <c r="J157" s="24" t="str">
        <f t="shared" si="1"/>
        <v/>
      </c>
      <c r="K157" s="17"/>
    </row>
    <row r="158" ht="15.0" customHeight="1">
      <c r="A158" s="19"/>
      <c r="B158" s="15"/>
      <c r="C158" s="26" t="str">
        <f t="array" ref="C158">IFERROR(INDEX('Patrimônio'!$C$7:$C$1003,MATCH($B158,'Patrimônio'!$A$7:$A$1003,0)),"")</f>
        <v/>
      </c>
      <c r="D158" s="26" t="str">
        <f t="array" ref="D158">IFERROR(INDEX('Patrimônio'!$B$7:$B$1003,MATCH($B158,'Patrimônio'!$A$7:$A$1003,0)),"")</f>
        <v/>
      </c>
      <c r="E158" s="17"/>
      <c r="F158" s="18"/>
      <c r="G158" s="19"/>
      <c r="H158" s="15"/>
      <c r="I158" s="17"/>
      <c r="J158" s="24" t="str">
        <f t="shared" si="1"/>
        <v/>
      </c>
      <c r="K158" s="17"/>
    </row>
    <row r="159" ht="15.0" customHeight="1">
      <c r="A159" s="19"/>
      <c r="B159" s="15"/>
      <c r="C159" s="26" t="str">
        <f t="array" ref="C159">IFERROR(INDEX('Patrimônio'!$C$7:$C$1003,MATCH($B159,'Patrimônio'!$A$7:$A$1003,0)),"")</f>
        <v/>
      </c>
      <c r="D159" s="26" t="str">
        <f t="array" ref="D159">IFERROR(INDEX('Patrimônio'!$B$7:$B$1003,MATCH($B159,'Patrimônio'!$A$7:$A$1003,0)),"")</f>
        <v/>
      </c>
      <c r="E159" s="17"/>
      <c r="F159" s="18"/>
      <c r="G159" s="19"/>
      <c r="H159" s="15"/>
      <c r="I159" s="17"/>
      <c r="J159" s="24" t="str">
        <f t="shared" si="1"/>
        <v/>
      </c>
      <c r="K159" s="17"/>
    </row>
    <row r="160" ht="15.0" customHeight="1">
      <c r="A160" s="19"/>
      <c r="B160" s="15"/>
      <c r="C160" s="26" t="str">
        <f t="array" ref="C160">IFERROR(INDEX('Patrimônio'!$C$7:$C$1003,MATCH($B160,'Patrimônio'!$A$7:$A$1003,0)),"")</f>
        <v/>
      </c>
      <c r="D160" s="26" t="str">
        <f t="array" ref="D160">IFERROR(INDEX('Patrimônio'!$B$7:$B$1003,MATCH($B160,'Patrimônio'!$A$7:$A$1003,0)),"")</f>
        <v/>
      </c>
      <c r="E160" s="17"/>
      <c r="F160" s="18"/>
      <c r="G160" s="19"/>
      <c r="H160" s="15"/>
      <c r="I160" s="17"/>
      <c r="J160" s="24" t="str">
        <f t="shared" si="1"/>
        <v/>
      </c>
      <c r="K160" s="17"/>
    </row>
    <row r="161" ht="15.0" customHeight="1">
      <c r="A161" s="19"/>
      <c r="B161" s="15"/>
      <c r="C161" s="26" t="str">
        <f t="array" ref="C161">IFERROR(INDEX('Patrimônio'!$C$7:$C$1003,MATCH($B161,'Patrimônio'!$A$7:$A$1003,0)),"")</f>
        <v/>
      </c>
      <c r="D161" s="26" t="str">
        <f t="array" ref="D161">IFERROR(INDEX('Patrimônio'!$B$7:$B$1003,MATCH($B161,'Patrimônio'!$A$7:$A$1003,0)),"")</f>
        <v/>
      </c>
      <c r="E161" s="17"/>
      <c r="F161" s="18"/>
      <c r="G161" s="19"/>
      <c r="H161" s="15"/>
      <c r="I161" s="17"/>
      <c r="J161" s="24" t="str">
        <f t="shared" si="1"/>
        <v/>
      </c>
      <c r="K161" s="17"/>
    </row>
    <row r="162" ht="15.0" customHeight="1">
      <c r="A162" s="19"/>
      <c r="B162" s="15"/>
      <c r="C162" s="26" t="str">
        <f t="array" ref="C162">IFERROR(INDEX('Patrimônio'!$C$7:$C$1003,MATCH($B162,'Patrimônio'!$A$7:$A$1003,0)),"")</f>
        <v/>
      </c>
      <c r="D162" s="26" t="str">
        <f t="array" ref="D162">IFERROR(INDEX('Patrimônio'!$B$7:$B$1003,MATCH($B162,'Patrimônio'!$A$7:$A$1003,0)),"")</f>
        <v/>
      </c>
      <c r="E162" s="17"/>
      <c r="F162" s="18"/>
      <c r="G162" s="19"/>
      <c r="H162" s="15"/>
      <c r="I162" s="17"/>
      <c r="J162" s="24" t="str">
        <f t="shared" si="1"/>
        <v/>
      </c>
      <c r="K162" s="17"/>
    </row>
    <row r="163" ht="15.0" customHeight="1">
      <c r="A163" s="19"/>
      <c r="B163" s="15"/>
      <c r="C163" s="26" t="str">
        <f t="array" ref="C163">IFERROR(INDEX('Patrimônio'!$C$7:$C$1003,MATCH($B163,'Patrimônio'!$A$7:$A$1003,0)),"")</f>
        <v/>
      </c>
      <c r="D163" s="26" t="str">
        <f t="array" ref="D163">IFERROR(INDEX('Patrimônio'!$B$7:$B$1003,MATCH($B163,'Patrimônio'!$A$7:$A$1003,0)),"")</f>
        <v/>
      </c>
      <c r="E163" s="17"/>
      <c r="F163" s="18"/>
      <c r="G163" s="19"/>
      <c r="H163" s="15"/>
      <c r="I163" s="17"/>
      <c r="J163" s="24" t="str">
        <f t="shared" si="1"/>
        <v/>
      </c>
      <c r="K163" s="17"/>
    </row>
    <row r="164" ht="15.0" customHeight="1">
      <c r="A164" s="19"/>
      <c r="B164" s="15"/>
      <c r="C164" s="26" t="str">
        <f t="array" ref="C164">IFERROR(INDEX('Patrimônio'!$C$7:$C$1003,MATCH($B164,'Patrimônio'!$A$7:$A$1003,0)),"")</f>
        <v/>
      </c>
      <c r="D164" s="26" t="str">
        <f t="array" ref="D164">IFERROR(INDEX('Patrimônio'!$B$7:$B$1003,MATCH($B164,'Patrimônio'!$A$7:$A$1003,0)),"")</f>
        <v/>
      </c>
      <c r="E164" s="17"/>
      <c r="F164" s="18"/>
      <c r="G164" s="19"/>
      <c r="H164" s="15"/>
      <c r="I164" s="17"/>
      <c r="J164" s="24" t="str">
        <f t="shared" si="1"/>
        <v/>
      </c>
      <c r="K164" s="17"/>
    </row>
    <row r="165" ht="15.0" customHeight="1">
      <c r="A165" s="19"/>
      <c r="B165" s="15"/>
      <c r="C165" s="26" t="str">
        <f t="array" ref="C165">IFERROR(INDEX('Patrimônio'!$C$7:$C$1003,MATCH($B165,'Patrimônio'!$A$7:$A$1003,0)),"")</f>
        <v/>
      </c>
      <c r="D165" s="26" t="str">
        <f t="array" ref="D165">IFERROR(INDEX('Patrimônio'!$B$7:$B$1003,MATCH($B165,'Patrimônio'!$A$7:$A$1003,0)),"")</f>
        <v/>
      </c>
      <c r="E165" s="17"/>
      <c r="F165" s="18"/>
      <c r="G165" s="19"/>
      <c r="H165" s="15"/>
      <c r="I165" s="17"/>
      <c r="J165" s="24" t="str">
        <f t="shared" si="1"/>
        <v/>
      </c>
      <c r="K165" s="17"/>
    </row>
    <row r="166" ht="15.0" customHeight="1">
      <c r="A166" s="19"/>
      <c r="B166" s="15"/>
      <c r="C166" s="26" t="str">
        <f t="array" ref="C166">IFERROR(INDEX('Patrimônio'!$C$7:$C$1003,MATCH($B166,'Patrimônio'!$A$7:$A$1003,0)),"")</f>
        <v/>
      </c>
      <c r="D166" s="26" t="str">
        <f t="array" ref="D166">IFERROR(INDEX('Patrimônio'!$B$7:$B$1003,MATCH($B166,'Patrimônio'!$A$7:$A$1003,0)),"")</f>
        <v/>
      </c>
      <c r="E166" s="17"/>
      <c r="F166" s="18"/>
      <c r="G166" s="19"/>
      <c r="H166" s="15"/>
      <c r="I166" s="17"/>
      <c r="J166" s="24" t="str">
        <f t="shared" si="1"/>
        <v/>
      </c>
      <c r="K166" s="17"/>
    </row>
    <row r="167" ht="15.0" customHeight="1">
      <c r="A167" s="19"/>
      <c r="B167" s="15"/>
      <c r="C167" s="26" t="str">
        <f t="array" ref="C167">IFERROR(INDEX('Patrimônio'!$C$7:$C$1003,MATCH($B167,'Patrimônio'!$A$7:$A$1003,0)),"")</f>
        <v/>
      </c>
      <c r="D167" s="26" t="str">
        <f t="array" ref="D167">IFERROR(INDEX('Patrimônio'!$B$7:$B$1003,MATCH($B167,'Patrimônio'!$A$7:$A$1003,0)),"")</f>
        <v/>
      </c>
      <c r="E167" s="17"/>
      <c r="F167" s="18"/>
      <c r="G167" s="19"/>
      <c r="H167" s="15"/>
      <c r="I167" s="17"/>
      <c r="J167" s="24" t="str">
        <f t="shared" si="1"/>
        <v/>
      </c>
      <c r="K167" s="17"/>
    </row>
    <row r="168" ht="15.0" customHeight="1">
      <c r="A168" s="19"/>
      <c r="B168" s="15"/>
      <c r="C168" s="26" t="str">
        <f t="array" ref="C168">IFERROR(INDEX('Patrimônio'!$C$7:$C$1003,MATCH($B168,'Patrimônio'!$A$7:$A$1003,0)),"")</f>
        <v/>
      </c>
      <c r="D168" s="26" t="str">
        <f t="array" ref="D168">IFERROR(INDEX('Patrimônio'!$B$7:$B$1003,MATCH($B168,'Patrimônio'!$A$7:$A$1003,0)),"")</f>
        <v/>
      </c>
      <c r="E168" s="17"/>
      <c r="F168" s="18"/>
      <c r="G168" s="19"/>
      <c r="H168" s="15"/>
      <c r="I168" s="17"/>
      <c r="J168" s="24" t="str">
        <f t="shared" si="1"/>
        <v/>
      </c>
      <c r="K168" s="17"/>
    </row>
    <row r="169" ht="15.0" customHeight="1">
      <c r="A169" s="19"/>
      <c r="B169" s="15"/>
      <c r="C169" s="26" t="str">
        <f t="array" ref="C169">IFERROR(INDEX('Patrimônio'!$C$7:$C$1003,MATCH($B169,'Patrimônio'!$A$7:$A$1003,0)),"")</f>
        <v/>
      </c>
      <c r="D169" s="26" t="str">
        <f t="array" ref="D169">IFERROR(INDEX('Patrimônio'!$B$7:$B$1003,MATCH($B169,'Patrimônio'!$A$7:$A$1003,0)),"")</f>
        <v/>
      </c>
      <c r="E169" s="17"/>
      <c r="F169" s="18"/>
      <c r="G169" s="19"/>
      <c r="H169" s="15"/>
      <c r="I169" s="17"/>
      <c r="J169" s="24" t="str">
        <f t="shared" si="1"/>
        <v/>
      </c>
      <c r="K169" s="17"/>
    </row>
    <row r="170" ht="15.0" customHeight="1">
      <c r="A170" s="19"/>
      <c r="B170" s="15"/>
      <c r="C170" s="26" t="str">
        <f t="array" ref="C170">IFERROR(INDEX('Patrimônio'!$C$7:$C$1003,MATCH($B170,'Patrimônio'!$A$7:$A$1003,0)),"")</f>
        <v/>
      </c>
      <c r="D170" s="26" t="str">
        <f t="array" ref="D170">IFERROR(INDEX('Patrimônio'!$B$7:$B$1003,MATCH($B170,'Patrimônio'!$A$7:$A$1003,0)),"")</f>
        <v/>
      </c>
      <c r="E170" s="17"/>
      <c r="F170" s="18"/>
      <c r="G170" s="19"/>
      <c r="H170" s="15"/>
      <c r="I170" s="17"/>
      <c r="J170" s="24" t="str">
        <f t="shared" si="1"/>
        <v/>
      </c>
      <c r="K170" s="17"/>
    </row>
    <row r="171" ht="15.0" customHeight="1">
      <c r="A171" s="19"/>
      <c r="B171" s="15"/>
      <c r="C171" s="26" t="str">
        <f t="array" ref="C171">IFERROR(INDEX('Patrimônio'!$C$7:$C$1003,MATCH($B171,'Patrimônio'!$A$7:$A$1003,0)),"")</f>
        <v/>
      </c>
      <c r="D171" s="26" t="str">
        <f t="array" ref="D171">IFERROR(INDEX('Patrimônio'!$B$7:$B$1003,MATCH($B171,'Patrimônio'!$A$7:$A$1003,0)),"")</f>
        <v/>
      </c>
      <c r="E171" s="17"/>
      <c r="F171" s="18"/>
      <c r="G171" s="19"/>
      <c r="H171" s="15"/>
      <c r="I171" s="17"/>
      <c r="J171" s="24" t="str">
        <f t="shared" si="1"/>
        <v/>
      </c>
      <c r="K171" s="17"/>
    </row>
    <row r="172" ht="15.0" customHeight="1">
      <c r="A172" s="19"/>
      <c r="B172" s="15"/>
      <c r="C172" s="26" t="str">
        <f t="array" ref="C172">IFERROR(INDEX('Patrimônio'!$C$7:$C$1003,MATCH($B172,'Patrimônio'!$A$7:$A$1003,0)),"")</f>
        <v/>
      </c>
      <c r="D172" s="26" t="str">
        <f t="array" ref="D172">IFERROR(INDEX('Patrimônio'!$B$7:$B$1003,MATCH($B172,'Patrimônio'!$A$7:$A$1003,0)),"")</f>
        <v/>
      </c>
      <c r="E172" s="17"/>
      <c r="F172" s="18"/>
      <c r="G172" s="19"/>
      <c r="H172" s="15"/>
      <c r="I172" s="17"/>
      <c r="J172" s="24" t="str">
        <f t="shared" si="1"/>
        <v/>
      </c>
      <c r="K172" s="17"/>
    </row>
    <row r="173" ht="15.0" customHeight="1">
      <c r="A173" s="19"/>
      <c r="B173" s="15"/>
      <c r="C173" s="26" t="str">
        <f t="array" ref="C173">IFERROR(INDEX('Patrimônio'!$C$7:$C$1003,MATCH($B173,'Patrimônio'!$A$7:$A$1003,0)),"")</f>
        <v/>
      </c>
      <c r="D173" s="26" t="str">
        <f t="array" ref="D173">IFERROR(INDEX('Patrimônio'!$B$7:$B$1003,MATCH($B173,'Patrimônio'!$A$7:$A$1003,0)),"")</f>
        <v/>
      </c>
      <c r="E173" s="17"/>
      <c r="F173" s="18"/>
      <c r="G173" s="19"/>
      <c r="H173" s="15"/>
      <c r="I173" s="17"/>
      <c r="J173" s="24" t="str">
        <f t="shared" si="1"/>
        <v/>
      </c>
      <c r="K173" s="17"/>
    </row>
    <row r="174" ht="15.0" customHeight="1">
      <c r="A174" s="19"/>
      <c r="B174" s="15"/>
      <c r="C174" s="26" t="str">
        <f t="array" ref="C174">IFERROR(INDEX('Patrimônio'!$C$7:$C$1003,MATCH($B174,'Patrimônio'!$A$7:$A$1003,0)),"")</f>
        <v/>
      </c>
      <c r="D174" s="26" t="str">
        <f t="array" ref="D174">IFERROR(INDEX('Patrimônio'!$B$7:$B$1003,MATCH($B174,'Patrimônio'!$A$7:$A$1003,0)),"")</f>
        <v/>
      </c>
      <c r="E174" s="17"/>
      <c r="F174" s="18"/>
      <c r="G174" s="19"/>
      <c r="H174" s="15"/>
      <c r="I174" s="17"/>
      <c r="J174" s="24" t="str">
        <f t="shared" si="1"/>
        <v/>
      </c>
      <c r="K174" s="17"/>
    </row>
    <row r="175" ht="15.0" customHeight="1">
      <c r="A175" s="19"/>
      <c r="B175" s="15"/>
      <c r="C175" s="26" t="str">
        <f t="array" ref="C175">IFERROR(INDEX('Patrimônio'!$C$7:$C$1003,MATCH($B175,'Patrimônio'!$A$7:$A$1003,0)),"")</f>
        <v/>
      </c>
      <c r="D175" s="26" t="str">
        <f t="array" ref="D175">IFERROR(INDEX('Patrimônio'!$B$7:$B$1003,MATCH($B175,'Patrimônio'!$A$7:$A$1003,0)),"")</f>
        <v/>
      </c>
      <c r="E175" s="17"/>
      <c r="F175" s="18"/>
      <c r="G175" s="19"/>
      <c r="H175" s="15"/>
      <c r="I175" s="17"/>
      <c r="J175" s="24" t="str">
        <f t="shared" si="1"/>
        <v/>
      </c>
      <c r="K175" s="17"/>
    </row>
    <row r="176" ht="15.0" customHeight="1">
      <c r="A176" s="19"/>
      <c r="B176" s="15"/>
      <c r="C176" s="26" t="str">
        <f t="array" ref="C176">IFERROR(INDEX('Patrimônio'!$C$7:$C$1003,MATCH($B176,'Patrimônio'!$A$7:$A$1003,0)),"")</f>
        <v/>
      </c>
      <c r="D176" s="26" t="str">
        <f t="array" ref="D176">IFERROR(INDEX('Patrimônio'!$B$7:$B$1003,MATCH($B176,'Patrimônio'!$A$7:$A$1003,0)),"")</f>
        <v/>
      </c>
      <c r="E176" s="17"/>
      <c r="F176" s="18"/>
      <c r="G176" s="19"/>
      <c r="H176" s="15"/>
      <c r="I176" s="17"/>
      <c r="J176" s="24" t="str">
        <f t="shared" si="1"/>
        <v/>
      </c>
      <c r="K176" s="17"/>
    </row>
    <row r="177" ht="15.0" customHeight="1">
      <c r="A177" s="19"/>
      <c r="B177" s="15"/>
      <c r="C177" s="26" t="str">
        <f t="array" ref="C177">IFERROR(INDEX('Patrimônio'!$C$7:$C$1003,MATCH($B177,'Patrimônio'!$A$7:$A$1003,0)),"")</f>
        <v/>
      </c>
      <c r="D177" s="26" t="str">
        <f t="array" ref="D177">IFERROR(INDEX('Patrimônio'!$B$7:$B$1003,MATCH($B177,'Patrimônio'!$A$7:$A$1003,0)),"")</f>
        <v/>
      </c>
      <c r="E177" s="17"/>
      <c r="F177" s="18"/>
      <c r="G177" s="19"/>
      <c r="H177" s="15"/>
      <c r="I177" s="17"/>
      <c r="J177" s="24" t="str">
        <f t="shared" si="1"/>
        <v/>
      </c>
      <c r="K177" s="17"/>
    </row>
    <row r="178" ht="15.0" customHeight="1">
      <c r="A178" s="19"/>
      <c r="B178" s="15"/>
      <c r="C178" s="26" t="str">
        <f t="array" ref="C178">IFERROR(INDEX('Patrimônio'!$C$7:$C$1003,MATCH($B178,'Patrimônio'!$A$7:$A$1003,0)),"")</f>
        <v/>
      </c>
      <c r="D178" s="26" t="str">
        <f t="array" ref="D178">IFERROR(INDEX('Patrimônio'!$B$7:$B$1003,MATCH($B178,'Patrimônio'!$A$7:$A$1003,0)),"")</f>
        <v/>
      </c>
      <c r="E178" s="17"/>
      <c r="F178" s="18"/>
      <c r="G178" s="19"/>
      <c r="H178" s="15"/>
      <c r="I178" s="17"/>
      <c r="J178" s="24" t="str">
        <f t="shared" si="1"/>
        <v/>
      </c>
      <c r="K178" s="17"/>
    </row>
    <row r="179" ht="15.0" customHeight="1">
      <c r="A179" s="19"/>
      <c r="B179" s="15"/>
      <c r="C179" s="26" t="str">
        <f t="array" ref="C179">IFERROR(INDEX('Patrimônio'!$C$7:$C$1003,MATCH($B179,'Patrimônio'!$A$7:$A$1003,0)),"")</f>
        <v/>
      </c>
      <c r="D179" s="26" t="str">
        <f t="array" ref="D179">IFERROR(INDEX('Patrimônio'!$B$7:$B$1003,MATCH($B179,'Patrimônio'!$A$7:$A$1003,0)),"")</f>
        <v/>
      </c>
      <c r="E179" s="17"/>
      <c r="F179" s="18"/>
      <c r="G179" s="19"/>
      <c r="H179" s="15"/>
      <c r="I179" s="17"/>
      <c r="J179" s="24" t="str">
        <f t="shared" si="1"/>
        <v/>
      </c>
      <c r="K179" s="17"/>
    </row>
    <row r="180" ht="15.0" customHeight="1">
      <c r="A180" s="19"/>
      <c r="B180" s="15"/>
      <c r="C180" s="26" t="str">
        <f t="array" ref="C180">IFERROR(INDEX('Patrimônio'!$C$7:$C$1003,MATCH($B180,'Patrimônio'!$A$7:$A$1003,0)),"")</f>
        <v/>
      </c>
      <c r="D180" s="26" t="str">
        <f t="array" ref="D180">IFERROR(INDEX('Patrimônio'!$B$7:$B$1003,MATCH($B180,'Patrimônio'!$A$7:$A$1003,0)),"")</f>
        <v/>
      </c>
      <c r="E180" s="17"/>
      <c r="F180" s="18"/>
      <c r="G180" s="19"/>
      <c r="H180" s="15"/>
      <c r="I180" s="17"/>
      <c r="J180" s="24" t="str">
        <f t="shared" si="1"/>
        <v/>
      </c>
      <c r="K180" s="17"/>
    </row>
    <row r="181" ht="15.0" customHeight="1">
      <c r="A181" s="19"/>
      <c r="B181" s="15"/>
      <c r="C181" s="26" t="str">
        <f t="array" ref="C181">IFERROR(INDEX('Patrimônio'!$C$7:$C$1003,MATCH($B181,'Patrimônio'!$A$7:$A$1003,0)),"")</f>
        <v/>
      </c>
      <c r="D181" s="26" t="str">
        <f t="array" ref="D181">IFERROR(INDEX('Patrimônio'!$B$7:$B$1003,MATCH($B181,'Patrimônio'!$A$7:$A$1003,0)),"")</f>
        <v/>
      </c>
      <c r="E181" s="17"/>
      <c r="F181" s="18"/>
      <c r="G181" s="19"/>
      <c r="H181" s="15"/>
      <c r="I181" s="17"/>
      <c r="J181" s="24" t="str">
        <f t="shared" si="1"/>
        <v/>
      </c>
      <c r="K181" s="17"/>
    </row>
    <row r="182" ht="15.0" customHeight="1">
      <c r="A182" s="19"/>
      <c r="B182" s="15"/>
      <c r="C182" s="26" t="str">
        <f t="array" ref="C182">IFERROR(INDEX('Patrimônio'!$C$7:$C$1003,MATCH($B182,'Patrimônio'!$A$7:$A$1003,0)),"")</f>
        <v/>
      </c>
      <c r="D182" s="26" t="str">
        <f t="array" ref="D182">IFERROR(INDEX('Patrimônio'!$B$7:$B$1003,MATCH($B182,'Patrimônio'!$A$7:$A$1003,0)),"")</f>
        <v/>
      </c>
      <c r="E182" s="17"/>
      <c r="F182" s="18"/>
      <c r="G182" s="19"/>
      <c r="H182" s="15"/>
      <c r="I182" s="17"/>
      <c r="J182" s="24" t="str">
        <f t="shared" si="1"/>
        <v/>
      </c>
      <c r="K182" s="17"/>
    </row>
    <row r="183" ht="15.0" customHeight="1">
      <c r="A183" s="19"/>
      <c r="B183" s="15"/>
      <c r="C183" s="26" t="str">
        <f t="array" ref="C183">IFERROR(INDEX('Patrimônio'!$C$7:$C$1003,MATCH($B183,'Patrimônio'!$A$7:$A$1003,0)),"")</f>
        <v/>
      </c>
      <c r="D183" s="26" t="str">
        <f t="array" ref="D183">IFERROR(INDEX('Patrimônio'!$B$7:$B$1003,MATCH($B183,'Patrimônio'!$A$7:$A$1003,0)),"")</f>
        <v/>
      </c>
      <c r="E183" s="17"/>
      <c r="F183" s="18"/>
      <c r="G183" s="19"/>
      <c r="H183" s="15"/>
      <c r="I183" s="17"/>
      <c r="J183" s="24" t="str">
        <f t="shared" si="1"/>
        <v/>
      </c>
      <c r="K183" s="17"/>
    </row>
    <row r="184" ht="15.0" customHeight="1">
      <c r="A184" s="19"/>
      <c r="B184" s="15"/>
      <c r="C184" s="26" t="str">
        <f t="array" ref="C184">IFERROR(INDEX('Patrimônio'!$C$7:$C$1003,MATCH($B184,'Patrimônio'!$A$7:$A$1003,0)),"")</f>
        <v/>
      </c>
      <c r="D184" s="26" t="str">
        <f t="array" ref="D184">IFERROR(INDEX('Patrimônio'!$B$7:$B$1003,MATCH($B184,'Patrimônio'!$A$7:$A$1003,0)),"")</f>
        <v/>
      </c>
      <c r="E184" s="17"/>
      <c r="F184" s="18"/>
      <c r="G184" s="19"/>
      <c r="H184" s="15"/>
      <c r="I184" s="17"/>
      <c r="J184" s="24" t="str">
        <f t="shared" si="1"/>
        <v/>
      </c>
      <c r="K184" s="17"/>
    </row>
    <row r="185" ht="15.0" customHeight="1">
      <c r="A185" s="19"/>
      <c r="B185" s="15"/>
      <c r="C185" s="26" t="str">
        <f t="array" ref="C185">IFERROR(INDEX('Patrimônio'!$C$7:$C$1003,MATCH($B185,'Patrimônio'!$A$7:$A$1003,0)),"")</f>
        <v/>
      </c>
      <c r="D185" s="26" t="str">
        <f t="array" ref="D185">IFERROR(INDEX('Patrimônio'!$B$7:$B$1003,MATCH($B185,'Patrimônio'!$A$7:$A$1003,0)),"")</f>
        <v/>
      </c>
      <c r="E185" s="17"/>
      <c r="F185" s="18"/>
      <c r="G185" s="19"/>
      <c r="H185" s="15"/>
      <c r="I185" s="17"/>
      <c r="J185" s="24" t="str">
        <f t="shared" si="1"/>
        <v/>
      </c>
      <c r="K185" s="17"/>
    </row>
    <row r="186" ht="15.0" customHeight="1">
      <c r="A186" s="19"/>
      <c r="B186" s="15"/>
      <c r="C186" s="26" t="str">
        <f t="array" ref="C186">IFERROR(INDEX('Patrimônio'!$C$7:$C$1003,MATCH($B186,'Patrimônio'!$A$7:$A$1003,0)),"")</f>
        <v/>
      </c>
      <c r="D186" s="26" t="str">
        <f t="array" ref="D186">IFERROR(INDEX('Patrimônio'!$B$7:$B$1003,MATCH($B186,'Patrimônio'!$A$7:$A$1003,0)),"")</f>
        <v/>
      </c>
      <c r="E186" s="17"/>
      <c r="F186" s="18"/>
      <c r="G186" s="19"/>
      <c r="H186" s="15"/>
      <c r="I186" s="17"/>
      <c r="J186" s="24" t="str">
        <f t="shared" si="1"/>
        <v/>
      </c>
      <c r="K186" s="17"/>
    </row>
    <row r="187" ht="15.0" customHeight="1">
      <c r="A187" s="19"/>
      <c r="B187" s="15"/>
      <c r="C187" s="26" t="str">
        <f t="array" ref="C187">IFERROR(INDEX('Patrimônio'!$C$7:$C$1003,MATCH($B187,'Patrimônio'!$A$7:$A$1003,0)),"")</f>
        <v/>
      </c>
      <c r="D187" s="26" t="str">
        <f t="array" ref="D187">IFERROR(INDEX('Patrimônio'!$B$7:$B$1003,MATCH($B187,'Patrimônio'!$A$7:$A$1003,0)),"")</f>
        <v/>
      </c>
      <c r="E187" s="17"/>
      <c r="F187" s="18"/>
      <c r="G187" s="19"/>
      <c r="H187" s="15"/>
      <c r="I187" s="17"/>
      <c r="J187" s="24" t="str">
        <f t="shared" si="1"/>
        <v/>
      </c>
      <c r="K187" s="17"/>
    </row>
    <row r="188" ht="15.0" customHeight="1">
      <c r="A188" s="19"/>
      <c r="B188" s="15"/>
      <c r="C188" s="26" t="str">
        <f t="array" ref="C188">IFERROR(INDEX('Patrimônio'!$C$7:$C$1003,MATCH($B188,'Patrimônio'!$A$7:$A$1003,0)),"")</f>
        <v/>
      </c>
      <c r="D188" s="26" t="str">
        <f t="array" ref="D188">IFERROR(INDEX('Patrimônio'!$B$7:$B$1003,MATCH($B188,'Patrimônio'!$A$7:$A$1003,0)),"")</f>
        <v/>
      </c>
      <c r="E188" s="17"/>
      <c r="F188" s="18"/>
      <c r="G188" s="19"/>
      <c r="H188" s="15"/>
      <c r="I188" s="17"/>
      <c r="J188" s="24" t="str">
        <f t="shared" si="1"/>
        <v/>
      </c>
      <c r="K188" s="17"/>
    </row>
    <row r="189" ht="15.0" customHeight="1">
      <c r="A189" s="19"/>
      <c r="B189" s="15"/>
      <c r="C189" s="26" t="str">
        <f t="array" ref="C189">IFERROR(INDEX('Patrimônio'!$C$7:$C$1003,MATCH($B189,'Patrimônio'!$A$7:$A$1003,0)),"")</f>
        <v/>
      </c>
      <c r="D189" s="26" t="str">
        <f t="array" ref="D189">IFERROR(INDEX('Patrimônio'!$B$7:$B$1003,MATCH($B189,'Patrimônio'!$A$7:$A$1003,0)),"")</f>
        <v/>
      </c>
      <c r="E189" s="17"/>
      <c r="F189" s="18"/>
      <c r="G189" s="19"/>
      <c r="H189" s="15"/>
      <c r="I189" s="17"/>
      <c r="J189" s="24" t="str">
        <f t="shared" si="1"/>
        <v/>
      </c>
      <c r="K189" s="17"/>
    </row>
    <row r="190" ht="15.0" customHeight="1">
      <c r="A190" s="19"/>
      <c r="B190" s="15"/>
      <c r="C190" s="26" t="str">
        <f t="array" ref="C190">IFERROR(INDEX('Patrimônio'!$C$7:$C$1003,MATCH($B190,'Patrimônio'!$A$7:$A$1003,0)),"")</f>
        <v/>
      </c>
      <c r="D190" s="26" t="str">
        <f t="array" ref="D190">IFERROR(INDEX('Patrimônio'!$B$7:$B$1003,MATCH($B190,'Patrimônio'!$A$7:$A$1003,0)),"")</f>
        <v/>
      </c>
      <c r="E190" s="17"/>
      <c r="F190" s="18"/>
      <c r="G190" s="19"/>
      <c r="H190" s="15"/>
      <c r="I190" s="17"/>
      <c r="J190" s="24" t="str">
        <f t="shared" si="1"/>
        <v/>
      </c>
      <c r="K190" s="17"/>
    </row>
    <row r="191" ht="15.0" customHeight="1">
      <c r="A191" s="19"/>
      <c r="B191" s="15"/>
      <c r="C191" s="26" t="str">
        <f t="array" ref="C191">IFERROR(INDEX('Patrimônio'!$C$7:$C$1003,MATCH($B191,'Patrimônio'!$A$7:$A$1003,0)),"")</f>
        <v/>
      </c>
      <c r="D191" s="26" t="str">
        <f t="array" ref="D191">IFERROR(INDEX('Patrimônio'!$B$7:$B$1003,MATCH($B191,'Patrimônio'!$A$7:$A$1003,0)),"")</f>
        <v/>
      </c>
      <c r="E191" s="17"/>
      <c r="F191" s="18"/>
      <c r="G191" s="19"/>
      <c r="H191" s="15"/>
      <c r="I191" s="17"/>
      <c r="J191" s="24" t="str">
        <f t="shared" si="1"/>
        <v/>
      </c>
      <c r="K191" s="17"/>
    </row>
    <row r="192" ht="15.0" customHeight="1">
      <c r="A192" s="19"/>
      <c r="B192" s="15"/>
      <c r="C192" s="26" t="str">
        <f t="array" ref="C192">IFERROR(INDEX('Patrimônio'!$C$7:$C$1003,MATCH($B192,'Patrimônio'!$A$7:$A$1003,0)),"")</f>
        <v/>
      </c>
      <c r="D192" s="26" t="str">
        <f t="array" ref="D192">IFERROR(INDEX('Patrimônio'!$B$7:$B$1003,MATCH($B192,'Patrimônio'!$A$7:$A$1003,0)),"")</f>
        <v/>
      </c>
      <c r="E192" s="17"/>
      <c r="F192" s="18"/>
      <c r="G192" s="19"/>
      <c r="H192" s="15"/>
      <c r="I192" s="17"/>
      <c r="J192" s="24" t="str">
        <f t="shared" si="1"/>
        <v/>
      </c>
      <c r="K192" s="17"/>
    </row>
    <row r="193" ht="15.0" customHeight="1">
      <c r="A193" s="19"/>
      <c r="B193" s="15"/>
      <c r="C193" s="26" t="str">
        <f t="array" ref="C193">IFERROR(INDEX('Patrimônio'!$C$7:$C$1003,MATCH($B193,'Patrimônio'!$A$7:$A$1003,0)),"")</f>
        <v/>
      </c>
      <c r="D193" s="26" t="str">
        <f t="array" ref="D193">IFERROR(INDEX('Patrimônio'!$B$7:$B$1003,MATCH($B193,'Patrimônio'!$A$7:$A$1003,0)),"")</f>
        <v/>
      </c>
      <c r="E193" s="17"/>
      <c r="F193" s="18"/>
      <c r="G193" s="19"/>
      <c r="H193" s="15"/>
      <c r="I193" s="17"/>
      <c r="J193" s="24" t="str">
        <f t="shared" si="1"/>
        <v/>
      </c>
      <c r="K193" s="17"/>
    </row>
    <row r="194" ht="15.0" customHeight="1">
      <c r="A194" s="19"/>
      <c r="B194" s="15"/>
      <c r="C194" s="26" t="str">
        <f t="array" ref="C194">IFERROR(INDEX('Patrimônio'!$C$7:$C$1003,MATCH($B194,'Patrimônio'!$A$7:$A$1003,0)),"")</f>
        <v/>
      </c>
      <c r="D194" s="26" t="str">
        <f t="array" ref="D194">IFERROR(INDEX('Patrimônio'!$B$7:$B$1003,MATCH($B194,'Patrimônio'!$A$7:$A$1003,0)),"")</f>
        <v/>
      </c>
      <c r="E194" s="17"/>
      <c r="F194" s="18"/>
      <c r="G194" s="19"/>
      <c r="H194" s="15"/>
      <c r="I194" s="17"/>
      <c r="J194" s="24" t="str">
        <f t="shared" si="1"/>
        <v/>
      </c>
      <c r="K194" s="17"/>
    </row>
    <row r="195" ht="15.0" customHeight="1">
      <c r="A195" s="19"/>
      <c r="B195" s="15"/>
      <c r="C195" s="26" t="str">
        <f t="array" ref="C195">IFERROR(INDEX('Patrimônio'!$C$7:$C$1003,MATCH($B195,'Patrimônio'!$A$7:$A$1003,0)),"")</f>
        <v/>
      </c>
      <c r="D195" s="26" t="str">
        <f t="array" ref="D195">IFERROR(INDEX('Patrimônio'!$B$7:$B$1003,MATCH($B195,'Patrimônio'!$A$7:$A$1003,0)),"")</f>
        <v/>
      </c>
      <c r="E195" s="17"/>
      <c r="F195" s="18"/>
      <c r="G195" s="19"/>
      <c r="H195" s="15"/>
      <c r="I195" s="17"/>
      <c r="J195" s="24" t="str">
        <f t="shared" si="1"/>
        <v/>
      </c>
      <c r="K195" s="17"/>
    </row>
    <row r="196" ht="15.0" customHeight="1">
      <c r="A196" s="19"/>
      <c r="B196" s="15"/>
      <c r="C196" s="26" t="str">
        <f t="array" ref="C196">IFERROR(INDEX('Patrimônio'!$C$7:$C$1003,MATCH($B196,'Patrimônio'!$A$7:$A$1003,0)),"")</f>
        <v/>
      </c>
      <c r="D196" s="26" t="str">
        <f t="array" ref="D196">IFERROR(INDEX('Patrimônio'!$B$7:$B$1003,MATCH($B196,'Patrimônio'!$A$7:$A$1003,0)),"")</f>
        <v/>
      </c>
      <c r="E196" s="17"/>
      <c r="F196" s="18"/>
      <c r="G196" s="19"/>
      <c r="H196" s="15"/>
      <c r="I196" s="17"/>
      <c r="J196" s="24" t="str">
        <f t="shared" si="1"/>
        <v/>
      </c>
      <c r="K196" s="17"/>
    </row>
    <row r="197" ht="15.0" customHeight="1">
      <c r="A197" s="19"/>
      <c r="B197" s="15"/>
      <c r="C197" s="26" t="str">
        <f t="array" ref="C197">IFERROR(INDEX('Patrimônio'!$C$7:$C$1003,MATCH($B197,'Patrimônio'!$A$7:$A$1003,0)),"")</f>
        <v/>
      </c>
      <c r="D197" s="26" t="str">
        <f t="array" ref="D197">IFERROR(INDEX('Patrimônio'!$B$7:$B$1003,MATCH($B197,'Patrimônio'!$A$7:$A$1003,0)),"")</f>
        <v/>
      </c>
      <c r="E197" s="17"/>
      <c r="F197" s="18"/>
      <c r="G197" s="19"/>
      <c r="H197" s="15"/>
      <c r="I197" s="17"/>
      <c r="J197" s="24" t="str">
        <f t="shared" si="1"/>
        <v/>
      </c>
      <c r="K197" s="17"/>
    </row>
    <row r="198" ht="15.0" customHeight="1">
      <c r="A198" s="19"/>
      <c r="B198" s="15"/>
      <c r="C198" s="26" t="str">
        <f t="array" ref="C198">IFERROR(INDEX('Patrimônio'!$C$7:$C$1003,MATCH($B198,'Patrimônio'!$A$7:$A$1003,0)),"")</f>
        <v/>
      </c>
      <c r="D198" s="26" t="str">
        <f t="array" ref="D198">IFERROR(INDEX('Patrimônio'!$B$7:$B$1003,MATCH($B198,'Patrimônio'!$A$7:$A$1003,0)),"")</f>
        <v/>
      </c>
      <c r="E198" s="17"/>
      <c r="F198" s="18"/>
      <c r="G198" s="19"/>
      <c r="H198" s="15"/>
      <c r="I198" s="17"/>
      <c r="J198" s="24" t="str">
        <f t="shared" si="1"/>
        <v/>
      </c>
      <c r="K198" s="17"/>
    </row>
    <row r="199" ht="15.0" customHeight="1">
      <c r="A199" s="19"/>
      <c r="B199" s="15"/>
      <c r="C199" s="26" t="str">
        <f t="array" ref="C199">IFERROR(INDEX('Patrimônio'!$C$7:$C$1003,MATCH($B199,'Patrimônio'!$A$7:$A$1003,0)),"")</f>
        <v/>
      </c>
      <c r="D199" s="26" t="str">
        <f t="array" ref="D199">IFERROR(INDEX('Patrimônio'!$B$7:$B$1003,MATCH($B199,'Patrimônio'!$A$7:$A$1003,0)),"")</f>
        <v/>
      </c>
      <c r="E199" s="17"/>
      <c r="F199" s="18"/>
      <c r="G199" s="19"/>
      <c r="H199" s="15"/>
      <c r="I199" s="17"/>
      <c r="J199" s="24" t="str">
        <f t="shared" si="1"/>
        <v/>
      </c>
      <c r="K199" s="17"/>
    </row>
    <row r="200" ht="15.0" customHeight="1">
      <c r="A200" s="19"/>
      <c r="B200" s="15"/>
      <c r="C200" s="26" t="str">
        <f t="array" ref="C200">IFERROR(INDEX('Patrimônio'!$C$7:$C$1003,MATCH($B200,'Patrimônio'!$A$7:$A$1003,0)),"")</f>
        <v/>
      </c>
      <c r="D200" s="26" t="str">
        <f t="array" ref="D200">IFERROR(INDEX('Patrimônio'!$B$7:$B$1003,MATCH($B200,'Patrimônio'!$A$7:$A$1003,0)),"")</f>
        <v/>
      </c>
      <c r="E200" s="17"/>
      <c r="F200" s="18"/>
      <c r="G200" s="19"/>
      <c r="H200" s="15"/>
      <c r="I200" s="17"/>
      <c r="J200" s="24" t="str">
        <f t="shared" si="1"/>
        <v/>
      </c>
      <c r="K200" s="17"/>
    </row>
    <row r="201" ht="15.0" customHeight="1">
      <c r="A201" s="19"/>
      <c r="B201" s="15"/>
      <c r="C201" s="26" t="str">
        <f t="array" ref="C201">IFERROR(INDEX('Patrimônio'!$C$7:$C$1003,MATCH($B201,'Patrimônio'!$A$7:$A$1003,0)),"")</f>
        <v/>
      </c>
      <c r="D201" s="26" t="str">
        <f t="array" ref="D201">IFERROR(INDEX('Patrimônio'!$B$7:$B$1003,MATCH($B201,'Patrimônio'!$A$7:$A$1003,0)),"")</f>
        <v/>
      </c>
      <c r="E201" s="17"/>
      <c r="F201" s="18"/>
      <c r="G201" s="19"/>
      <c r="H201" s="15"/>
      <c r="I201" s="17"/>
      <c r="J201" s="24" t="str">
        <f t="shared" si="1"/>
        <v/>
      </c>
      <c r="K201" s="17"/>
    </row>
    <row r="202" ht="15.0" customHeight="1">
      <c r="A202" s="19"/>
      <c r="B202" s="15"/>
      <c r="C202" s="26" t="str">
        <f t="array" ref="C202">IFERROR(INDEX('Patrimônio'!$C$7:$C$1003,MATCH($B202,'Patrimônio'!$A$7:$A$1003,0)),"")</f>
        <v/>
      </c>
      <c r="D202" s="26" t="str">
        <f t="array" ref="D202">IFERROR(INDEX('Patrimônio'!$B$7:$B$1003,MATCH($B202,'Patrimônio'!$A$7:$A$1003,0)),"")</f>
        <v/>
      </c>
      <c r="E202" s="17"/>
      <c r="F202" s="18"/>
      <c r="G202" s="19"/>
      <c r="H202" s="15"/>
      <c r="I202" s="17"/>
      <c r="J202" s="24" t="str">
        <f t="shared" si="1"/>
        <v/>
      </c>
      <c r="K202" s="17"/>
    </row>
    <row r="203" ht="15.0" customHeight="1">
      <c r="A203" s="19"/>
      <c r="B203" s="15"/>
      <c r="C203" s="26" t="str">
        <f t="array" ref="C203">IFERROR(INDEX('Patrimônio'!$C$7:$C$1003,MATCH($B203,'Patrimônio'!$A$7:$A$1003,0)),"")</f>
        <v/>
      </c>
      <c r="D203" s="26" t="str">
        <f t="array" ref="D203">IFERROR(INDEX('Patrimônio'!$B$7:$B$1003,MATCH($B203,'Patrimônio'!$A$7:$A$1003,0)),"")</f>
        <v/>
      </c>
      <c r="E203" s="17"/>
      <c r="F203" s="18"/>
      <c r="G203" s="19"/>
      <c r="H203" s="15"/>
      <c r="I203" s="17"/>
      <c r="J203" s="24" t="str">
        <f t="shared" si="1"/>
        <v/>
      </c>
      <c r="K203" s="17"/>
    </row>
    <row r="204" ht="15.0" customHeight="1">
      <c r="A204" s="19"/>
      <c r="B204" s="15"/>
      <c r="C204" s="26" t="str">
        <f t="array" ref="C204">IFERROR(INDEX('Patrimônio'!$C$7:$C$1003,MATCH($B204,'Patrimônio'!$A$7:$A$1003,0)),"")</f>
        <v/>
      </c>
      <c r="D204" s="26" t="str">
        <f t="array" ref="D204">IFERROR(INDEX('Patrimônio'!$B$7:$B$1003,MATCH($B204,'Patrimônio'!$A$7:$A$1003,0)),"")</f>
        <v/>
      </c>
      <c r="E204" s="17"/>
      <c r="F204" s="18"/>
      <c r="G204" s="19"/>
      <c r="H204" s="15"/>
      <c r="I204" s="17"/>
      <c r="J204" s="24" t="str">
        <f t="shared" si="1"/>
        <v/>
      </c>
      <c r="K204" s="17"/>
    </row>
    <row r="205" ht="15.0" customHeight="1">
      <c r="A205" s="19"/>
      <c r="B205" s="15"/>
      <c r="C205" s="26" t="str">
        <f t="array" ref="C205">IFERROR(INDEX('Patrimônio'!$C$7:$C$1003,MATCH($B205,'Patrimônio'!$A$7:$A$1003,0)),"")</f>
        <v/>
      </c>
      <c r="D205" s="26" t="str">
        <f t="array" ref="D205">IFERROR(INDEX('Patrimônio'!$B$7:$B$1003,MATCH($B205,'Patrimônio'!$A$7:$A$1003,0)),"")</f>
        <v/>
      </c>
      <c r="E205" s="17"/>
      <c r="F205" s="18"/>
      <c r="G205" s="19"/>
      <c r="H205" s="15"/>
      <c r="I205" s="17"/>
      <c r="J205" s="24" t="str">
        <f t="shared" si="1"/>
        <v/>
      </c>
      <c r="K205" s="17"/>
    </row>
    <row r="206" ht="15.0" customHeight="1">
      <c r="A206" s="19"/>
      <c r="B206" s="15"/>
      <c r="C206" s="26" t="str">
        <f t="array" ref="C206">IFERROR(INDEX('Patrimônio'!$C$7:$C$1003,MATCH($B206,'Patrimônio'!$A$7:$A$1003,0)),"")</f>
        <v/>
      </c>
      <c r="D206" s="26" t="str">
        <f t="array" ref="D206">IFERROR(INDEX('Patrimônio'!$B$7:$B$1003,MATCH($B206,'Patrimônio'!$A$7:$A$1003,0)),"")</f>
        <v/>
      </c>
      <c r="E206" s="17"/>
      <c r="F206" s="18"/>
      <c r="G206" s="19"/>
      <c r="H206" s="15"/>
      <c r="I206" s="17"/>
      <c r="J206" s="24" t="str">
        <f t="shared" si="1"/>
        <v/>
      </c>
      <c r="K206" s="17"/>
    </row>
    <row r="207" ht="15.0" customHeight="1">
      <c r="A207" s="19"/>
      <c r="B207" s="15"/>
      <c r="C207" s="26" t="str">
        <f t="array" ref="C207">IFERROR(INDEX('Patrimônio'!$C$7:$C$1003,MATCH($B207,'Patrimônio'!$A$7:$A$1003,0)),"")</f>
        <v/>
      </c>
      <c r="D207" s="26" t="str">
        <f t="array" ref="D207">IFERROR(INDEX('Patrimônio'!$B$7:$B$1003,MATCH($B207,'Patrimônio'!$A$7:$A$1003,0)),"")</f>
        <v/>
      </c>
      <c r="E207" s="17"/>
      <c r="F207" s="18"/>
      <c r="G207" s="19"/>
      <c r="H207" s="15"/>
      <c r="I207" s="17"/>
      <c r="J207" s="24" t="str">
        <f t="shared" si="1"/>
        <v/>
      </c>
      <c r="K207" s="17"/>
    </row>
    <row r="208" ht="15.0" customHeight="1">
      <c r="A208" s="19"/>
      <c r="B208" s="15"/>
      <c r="C208" s="26" t="str">
        <f t="array" ref="C208">IFERROR(INDEX('Patrimônio'!$C$7:$C$1003,MATCH($B208,'Patrimônio'!$A$7:$A$1003,0)),"")</f>
        <v/>
      </c>
      <c r="D208" s="26" t="str">
        <f t="array" ref="D208">IFERROR(INDEX('Patrimônio'!$B$7:$B$1003,MATCH($B208,'Patrimônio'!$A$7:$A$1003,0)),"")</f>
        <v/>
      </c>
      <c r="E208" s="17"/>
      <c r="F208" s="18"/>
      <c r="G208" s="19"/>
      <c r="H208" s="15"/>
      <c r="I208" s="17"/>
      <c r="J208" s="24" t="str">
        <f t="shared" si="1"/>
        <v/>
      </c>
      <c r="K208" s="17"/>
    </row>
    <row r="209" ht="15.0" customHeight="1">
      <c r="A209" s="19"/>
      <c r="B209" s="15"/>
      <c r="C209" s="26" t="str">
        <f t="array" ref="C209">IFERROR(INDEX('Patrimônio'!$C$7:$C$1003,MATCH($B209,'Patrimônio'!$A$7:$A$1003,0)),"")</f>
        <v/>
      </c>
      <c r="D209" s="26" t="str">
        <f t="array" ref="D209">IFERROR(INDEX('Patrimônio'!$B$7:$B$1003,MATCH($B209,'Patrimônio'!$A$7:$A$1003,0)),"")</f>
        <v/>
      </c>
      <c r="E209" s="17"/>
      <c r="F209" s="18"/>
      <c r="G209" s="19"/>
      <c r="H209" s="15"/>
      <c r="I209" s="17"/>
      <c r="J209" s="24" t="str">
        <f t="shared" si="1"/>
        <v/>
      </c>
      <c r="K209" s="17"/>
    </row>
    <row r="210" ht="15.0" customHeight="1">
      <c r="A210" s="19"/>
      <c r="B210" s="15"/>
      <c r="C210" s="26" t="str">
        <f t="array" ref="C210">IFERROR(INDEX('Patrimônio'!$C$7:$C$1003,MATCH($B210,'Patrimônio'!$A$7:$A$1003,0)),"")</f>
        <v/>
      </c>
      <c r="D210" s="26" t="str">
        <f t="array" ref="D210">IFERROR(INDEX('Patrimônio'!$B$7:$B$1003,MATCH($B210,'Patrimônio'!$A$7:$A$1003,0)),"")</f>
        <v/>
      </c>
      <c r="E210" s="17"/>
      <c r="F210" s="18"/>
      <c r="G210" s="19"/>
      <c r="H210" s="15"/>
      <c r="I210" s="17"/>
      <c r="J210" s="24" t="str">
        <f t="shared" si="1"/>
        <v/>
      </c>
      <c r="K210" s="17"/>
    </row>
    <row r="211" ht="15.0" customHeight="1">
      <c r="A211" s="19"/>
      <c r="B211" s="15"/>
      <c r="C211" s="26" t="str">
        <f t="array" ref="C211">IFERROR(INDEX('Patrimônio'!$C$7:$C$1003,MATCH($B211,'Patrimônio'!$A$7:$A$1003,0)),"")</f>
        <v/>
      </c>
      <c r="D211" s="26" t="str">
        <f t="array" ref="D211">IFERROR(INDEX('Patrimônio'!$B$7:$B$1003,MATCH($B211,'Patrimônio'!$A$7:$A$1003,0)),"")</f>
        <v/>
      </c>
      <c r="E211" s="17"/>
      <c r="F211" s="18"/>
      <c r="G211" s="19"/>
      <c r="H211" s="15"/>
      <c r="I211" s="17"/>
      <c r="J211" s="24" t="str">
        <f t="shared" si="1"/>
        <v/>
      </c>
      <c r="K211" s="17"/>
    </row>
    <row r="212" ht="15.0" customHeight="1">
      <c r="A212" s="19"/>
      <c r="B212" s="15"/>
      <c r="C212" s="26" t="str">
        <f t="array" ref="C212">IFERROR(INDEX('Patrimônio'!$C$7:$C$1003,MATCH($B212,'Patrimônio'!$A$7:$A$1003,0)),"")</f>
        <v/>
      </c>
      <c r="D212" s="26" t="str">
        <f t="array" ref="D212">IFERROR(INDEX('Patrimônio'!$B$7:$B$1003,MATCH($B212,'Patrimônio'!$A$7:$A$1003,0)),"")</f>
        <v/>
      </c>
      <c r="E212" s="17"/>
      <c r="F212" s="18"/>
      <c r="G212" s="19"/>
      <c r="H212" s="15"/>
      <c r="I212" s="17"/>
      <c r="J212" s="24" t="str">
        <f t="shared" si="1"/>
        <v/>
      </c>
      <c r="K212" s="17"/>
    </row>
    <row r="213" ht="15.0" customHeight="1">
      <c r="A213" s="19"/>
      <c r="B213" s="15"/>
      <c r="C213" s="26" t="str">
        <f t="array" ref="C213">IFERROR(INDEX('Patrimônio'!$C$7:$C$1003,MATCH($B213,'Patrimônio'!$A$7:$A$1003,0)),"")</f>
        <v/>
      </c>
      <c r="D213" s="26" t="str">
        <f t="array" ref="D213">IFERROR(INDEX('Patrimônio'!$B$7:$B$1003,MATCH($B213,'Patrimônio'!$A$7:$A$1003,0)),"")</f>
        <v/>
      </c>
      <c r="E213" s="17"/>
      <c r="F213" s="18"/>
      <c r="G213" s="19"/>
      <c r="H213" s="15"/>
      <c r="I213" s="17"/>
      <c r="J213" s="24" t="str">
        <f t="shared" si="1"/>
        <v/>
      </c>
      <c r="K213" s="17"/>
    </row>
    <row r="214" ht="15.0" customHeight="1">
      <c r="A214" s="19"/>
      <c r="B214" s="15"/>
      <c r="C214" s="26" t="str">
        <f t="array" ref="C214">IFERROR(INDEX('Patrimônio'!$C$7:$C$1003,MATCH($B214,'Patrimônio'!$A$7:$A$1003,0)),"")</f>
        <v/>
      </c>
      <c r="D214" s="26" t="str">
        <f t="array" ref="D214">IFERROR(INDEX('Patrimônio'!$B$7:$B$1003,MATCH($B214,'Patrimônio'!$A$7:$A$1003,0)),"")</f>
        <v/>
      </c>
      <c r="E214" s="17"/>
      <c r="F214" s="18"/>
      <c r="G214" s="19"/>
      <c r="H214" s="15"/>
      <c r="I214" s="17"/>
      <c r="J214" s="24" t="str">
        <f t="shared" si="1"/>
        <v/>
      </c>
      <c r="K214" s="17"/>
    </row>
    <row r="215" ht="15.0" customHeight="1">
      <c r="A215" s="19"/>
      <c r="B215" s="15"/>
      <c r="C215" s="26" t="str">
        <f t="array" ref="C215">IFERROR(INDEX('Patrimônio'!$C$7:$C$1003,MATCH($B215,'Patrimônio'!$A$7:$A$1003,0)),"")</f>
        <v/>
      </c>
      <c r="D215" s="26" t="str">
        <f t="array" ref="D215">IFERROR(INDEX('Patrimônio'!$B$7:$B$1003,MATCH($B215,'Patrimônio'!$A$7:$A$1003,0)),"")</f>
        <v/>
      </c>
      <c r="E215" s="17"/>
      <c r="F215" s="18"/>
      <c r="G215" s="19"/>
      <c r="H215" s="15"/>
      <c r="I215" s="17"/>
      <c r="J215" s="24" t="str">
        <f t="shared" si="1"/>
        <v/>
      </c>
      <c r="K215" s="17"/>
    </row>
    <row r="216" ht="15.0" customHeight="1">
      <c r="A216" s="19"/>
      <c r="B216" s="15"/>
      <c r="C216" s="26" t="str">
        <f t="array" ref="C216">IFERROR(INDEX('Patrimônio'!$C$7:$C$1003,MATCH($B216,'Patrimônio'!$A$7:$A$1003,0)),"")</f>
        <v/>
      </c>
      <c r="D216" s="26" t="str">
        <f t="array" ref="D216">IFERROR(INDEX('Patrimônio'!$B$7:$B$1003,MATCH($B216,'Patrimônio'!$A$7:$A$1003,0)),"")</f>
        <v/>
      </c>
      <c r="E216" s="17"/>
      <c r="F216" s="18"/>
      <c r="G216" s="19"/>
      <c r="H216" s="15"/>
      <c r="I216" s="17"/>
      <c r="J216" s="24" t="str">
        <f t="shared" si="1"/>
        <v/>
      </c>
      <c r="K216" s="17"/>
    </row>
    <row r="217" ht="15.0" customHeight="1">
      <c r="A217" s="19"/>
      <c r="B217" s="15"/>
      <c r="C217" s="26" t="str">
        <f t="array" ref="C217">IFERROR(INDEX('Patrimônio'!$C$7:$C$1003,MATCH($B217,'Patrimônio'!$A$7:$A$1003,0)),"")</f>
        <v/>
      </c>
      <c r="D217" s="26" t="str">
        <f t="array" ref="D217">IFERROR(INDEX('Patrimônio'!$B$7:$B$1003,MATCH($B217,'Patrimônio'!$A$7:$A$1003,0)),"")</f>
        <v/>
      </c>
      <c r="E217" s="17"/>
      <c r="F217" s="18"/>
      <c r="G217" s="19"/>
      <c r="H217" s="15"/>
      <c r="I217" s="17"/>
      <c r="J217" s="24" t="str">
        <f t="shared" si="1"/>
        <v/>
      </c>
      <c r="K217" s="17"/>
    </row>
    <row r="218" ht="15.0" customHeight="1">
      <c r="A218" s="19"/>
      <c r="B218" s="15"/>
      <c r="C218" s="26" t="str">
        <f t="array" ref="C218">IFERROR(INDEX('Patrimônio'!$C$7:$C$1003,MATCH($B218,'Patrimônio'!$A$7:$A$1003,0)),"")</f>
        <v/>
      </c>
      <c r="D218" s="26" t="str">
        <f t="array" ref="D218">IFERROR(INDEX('Patrimônio'!$B$7:$B$1003,MATCH($B218,'Patrimônio'!$A$7:$A$1003,0)),"")</f>
        <v/>
      </c>
      <c r="E218" s="17"/>
      <c r="F218" s="18"/>
      <c r="G218" s="19"/>
      <c r="H218" s="15"/>
      <c r="I218" s="17"/>
      <c r="J218" s="24" t="str">
        <f t="shared" si="1"/>
        <v/>
      </c>
      <c r="K218" s="17"/>
    </row>
    <row r="219" ht="15.0" customHeight="1">
      <c r="A219" s="19"/>
      <c r="B219" s="15"/>
      <c r="C219" s="26" t="str">
        <f t="array" ref="C219">IFERROR(INDEX('Patrimônio'!$C$7:$C$1003,MATCH($B219,'Patrimônio'!$A$7:$A$1003,0)),"")</f>
        <v/>
      </c>
      <c r="D219" s="26" t="str">
        <f t="array" ref="D219">IFERROR(INDEX('Patrimônio'!$B$7:$B$1003,MATCH($B219,'Patrimônio'!$A$7:$A$1003,0)),"")</f>
        <v/>
      </c>
      <c r="E219" s="17"/>
      <c r="F219" s="18"/>
      <c r="G219" s="19"/>
      <c r="H219" s="15"/>
      <c r="I219" s="17"/>
      <c r="J219" s="24" t="str">
        <f t="shared" si="1"/>
        <v/>
      </c>
      <c r="K219" s="17"/>
    </row>
    <row r="220" ht="15.0" customHeight="1">
      <c r="A220" s="19"/>
      <c r="B220" s="15"/>
      <c r="C220" s="26" t="str">
        <f t="array" ref="C220">IFERROR(INDEX('Patrimônio'!$C$7:$C$1003,MATCH($B220,'Patrimônio'!$A$7:$A$1003,0)),"")</f>
        <v/>
      </c>
      <c r="D220" s="26" t="str">
        <f t="array" ref="D220">IFERROR(INDEX('Patrimônio'!$B$7:$B$1003,MATCH($B220,'Patrimônio'!$A$7:$A$1003,0)),"")</f>
        <v/>
      </c>
      <c r="E220" s="17"/>
      <c r="F220" s="18"/>
      <c r="G220" s="19"/>
      <c r="H220" s="15"/>
      <c r="I220" s="17"/>
      <c r="J220" s="24" t="str">
        <f t="shared" si="1"/>
        <v/>
      </c>
      <c r="K220" s="17"/>
    </row>
    <row r="221" ht="15.0" customHeight="1">
      <c r="A221" s="19"/>
      <c r="B221" s="15"/>
      <c r="C221" s="26" t="str">
        <f t="array" ref="C221">IFERROR(INDEX('Patrimônio'!$C$7:$C$1003,MATCH($B221,'Patrimônio'!$A$7:$A$1003,0)),"")</f>
        <v/>
      </c>
      <c r="D221" s="26" t="str">
        <f t="array" ref="D221">IFERROR(INDEX('Patrimônio'!$B$7:$B$1003,MATCH($B221,'Patrimônio'!$A$7:$A$1003,0)),"")</f>
        <v/>
      </c>
      <c r="E221" s="17"/>
      <c r="F221" s="18"/>
      <c r="G221" s="19"/>
      <c r="H221" s="15"/>
      <c r="I221" s="17"/>
      <c r="J221" s="24" t="str">
        <f t="shared" si="1"/>
        <v/>
      </c>
      <c r="K221" s="17"/>
    </row>
    <row r="222" ht="15.0" customHeight="1">
      <c r="A222" s="19"/>
      <c r="B222" s="15"/>
      <c r="C222" s="26" t="str">
        <f t="array" ref="C222">IFERROR(INDEX('Patrimônio'!$C$7:$C$1003,MATCH($B222,'Patrimônio'!$A$7:$A$1003,0)),"")</f>
        <v/>
      </c>
      <c r="D222" s="26" t="str">
        <f t="array" ref="D222">IFERROR(INDEX('Patrimônio'!$B$7:$B$1003,MATCH($B222,'Patrimônio'!$A$7:$A$1003,0)),"")</f>
        <v/>
      </c>
      <c r="E222" s="17"/>
      <c r="F222" s="18"/>
      <c r="G222" s="19"/>
      <c r="H222" s="15"/>
      <c r="I222" s="17"/>
      <c r="J222" s="24" t="str">
        <f t="shared" si="1"/>
        <v/>
      </c>
      <c r="K222" s="17"/>
    </row>
    <row r="223" ht="15.0" customHeight="1">
      <c r="A223" s="19"/>
      <c r="B223" s="15"/>
      <c r="C223" s="26" t="str">
        <f t="array" ref="C223">IFERROR(INDEX('Patrimônio'!$C$7:$C$1003,MATCH($B223,'Patrimônio'!$A$7:$A$1003,0)),"")</f>
        <v/>
      </c>
      <c r="D223" s="26" t="str">
        <f t="array" ref="D223">IFERROR(INDEX('Patrimônio'!$B$7:$B$1003,MATCH($B223,'Patrimônio'!$A$7:$A$1003,0)),"")</f>
        <v/>
      </c>
      <c r="E223" s="17"/>
      <c r="F223" s="18"/>
      <c r="G223" s="19"/>
      <c r="H223" s="15"/>
      <c r="I223" s="17"/>
      <c r="J223" s="24" t="str">
        <f t="shared" si="1"/>
        <v/>
      </c>
      <c r="K223" s="17"/>
    </row>
    <row r="224" ht="15.0" customHeight="1">
      <c r="A224" s="19"/>
      <c r="B224" s="15"/>
      <c r="C224" s="26" t="str">
        <f t="array" ref="C224">IFERROR(INDEX('Patrimônio'!$C$7:$C$1003,MATCH($B224,'Patrimônio'!$A$7:$A$1003,0)),"")</f>
        <v/>
      </c>
      <c r="D224" s="26" t="str">
        <f t="array" ref="D224">IFERROR(INDEX('Patrimônio'!$B$7:$B$1003,MATCH($B224,'Patrimônio'!$A$7:$A$1003,0)),"")</f>
        <v/>
      </c>
      <c r="E224" s="17"/>
      <c r="F224" s="18"/>
      <c r="G224" s="19"/>
      <c r="H224" s="15"/>
      <c r="I224" s="17"/>
      <c r="J224" s="24" t="str">
        <f t="shared" si="1"/>
        <v/>
      </c>
      <c r="K224" s="17"/>
    </row>
    <row r="225" ht="15.0" customHeight="1">
      <c r="A225" s="19"/>
      <c r="B225" s="15"/>
      <c r="C225" s="26" t="str">
        <f t="array" ref="C225">IFERROR(INDEX('Patrimônio'!$C$7:$C$1003,MATCH($B225,'Patrimônio'!$A$7:$A$1003,0)),"")</f>
        <v/>
      </c>
      <c r="D225" s="26" t="str">
        <f t="array" ref="D225">IFERROR(INDEX('Patrimônio'!$B$7:$B$1003,MATCH($B225,'Patrimônio'!$A$7:$A$1003,0)),"")</f>
        <v/>
      </c>
      <c r="E225" s="17"/>
      <c r="F225" s="18"/>
      <c r="G225" s="19"/>
      <c r="H225" s="15"/>
      <c r="I225" s="17"/>
      <c r="J225" s="24" t="str">
        <f t="shared" si="1"/>
        <v/>
      </c>
      <c r="K225" s="17"/>
    </row>
    <row r="226" ht="15.0" customHeight="1">
      <c r="A226" s="19"/>
      <c r="B226" s="15"/>
      <c r="C226" s="26" t="str">
        <f t="array" ref="C226">IFERROR(INDEX('Patrimônio'!$C$7:$C$1003,MATCH($B226,'Patrimônio'!$A$7:$A$1003,0)),"")</f>
        <v/>
      </c>
      <c r="D226" s="26" t="str">
        <f t="array" ref="D226">IFERROR(INDEX('Patrimônio'!$B$7:$B$1003,MATCH($B226,'Patrimônio'!$A$7:$A$1003,0)),"")</f>
        <v/>
      </c>
      <c r="E226" s="17"/>
      <c r="F226" s="18"/>
      <c r="G226" s="19"/>
      <c r="H226" s="15"/>
      <c r="I226" s="17"/>
      <c r="J226" s="24" t="str">
        <f t="shared" si="1"/>
        <v/>
      </c>
      <c r="K226" s="17"/>
    </row>
    <row r="227" ht="15.0" customHeight="1">
      <c r="A227" s="19"/>
      <c r="B227" s="15"/>
      <c r="C227" s="26" t="str">
        <f t="array" ref="C227">IFERROR(INDEX('Patrimônio'!$C$7:$C$1003,MATCH($B227,'Patrimônio'!$A$7:$A$1003,0)),"")</f>
        <v/>
      </c>
      <c r="D227" s="26" t="str">
        <f t="array" ref="D227">IFERROR(INDEX('Patrimônio'!$B$7:$B$1003,MATCH($B227,'Patrimônio'!$A$7:$A$1003,0)),"")</f>
        <v/>
      </c>
      <c r="E227" s="17"/>
      <c r="F227" s="18"/>
      <c r="G227" s="19"/>
      <c r="H227" s="15"/>
      <c r="I227" s="17"/>
      <c r="J227" s="24" t="str">
        <f t="shared" si="1"/>
        <v/>
      </c>
      <c r="K227" s="17"/>
    </row>
    <row r="228" ht="15.0" customHeight="1">
      <c r="A228" s="19"/>
      <c r="B228" s="15"/>
      <c r="C228" s="26" t="str">
        <f t="array" ref="C228">IFERROR(INDEX('Patrimônio'!$C$7:$C$1003,MATCH($B228,'Patrimônio'!$A$7:$A$1003,0)),"")</f>
        <v/>
      </c>
      <c r="D228" s="26" t="str">
        <f t="array" ref="D228">IFERROR(INDEX('Patrimônio'!$B$7:$B$1003,MATCH($B228,'Patrimônio'!$A$7:$A$1003,0)),"")</f>
        <v/>
      </c>
      <c r="E228" s="17"/>
      <c r="F228" s="18"/>
      <c r="G228" s="19"/>
      <c r="H228" s="15"/>
      <c r="I228" s="17"/>
      <c r="J228" s="24" t="str">
        <f t="shared" si="1"/>
        <v/>
      </c>
      <c r="K228" s="17"/>
    </row>
    <row r="229" ht="15.0" customHeight="1">
      <c r="A229" s="19"/>
      <c r="B229" s="15"/>
      <c r="C229" s="26" t="str">
        <f t="array" ref="C229">IFERROR(INDEX('Patrimônio'!$C$7:$C$1003,MATCH($B229,'Patrimônio'!$A$7:$A$1003,0)),"")</f>
        <v/>
      </c>
      <c r="D229" s="26" t="str">
        <f t="array" ref="D229">IFERROR(INDEX('Patrimônio'!$B$7:$B$1003,MATCH($B229,'Patrimônio'!$A$7:$A$1003,0)),"")</f>
        <v/>
      </c>
      <c r="E229" s="17"/>
      <c r="F229" s="18"/>
      <c r="G229" s="19"/>
      <c r="H229" s="15"/>
      <c r="I229" s="17"/>
      <c r="J229" s="24" t="str">
        <f t="shared" si="1"/>
        <v/>
      </c>
      <c r="K229" s="17"/>
    </row>
    <row r="230" ht="15.0" customHeight="1">
      <c r="A230" s="19"/>
      <c r="B230" s="15"/>
      <c r="C230" s="26" t="str">
        <f t="array" ref="C230">IFERROR(INDEX('Patrimônio'!$C$7:$C$1003,MATCH($B230,'Patrimônio'!$A$7:$A$1003,0)),"")</f>
        <v/>
      </c>
      <c r="D230" s="26" t="str">
        <f t="array" ref="D230">IFERROR(INDEX('Patrimônio'!$B$7:$B$1003,MATCH($B230,'Patrimônio'!$A$7:$A$1003,0)),"")</f>
        <v/>
      </c>
      <c r="E230" s="17"/>
      <c r="F230" s="18"/>
      <c r="G230" s="19"/>
      <c r="H230" s="15"/>
      <c r="I230" s="17"/>
      <c r="J230" s="24" t="str">
        <f t="shared" si="1"/>
        <v/>
      </c>
      <c r="K230" s="17"/>
    </row>
    <row r="231" ht="15.0" customHeight="1">
      <c r="A231" s="19"/>
      <c r="B231" s="15"/>
      <c r="C231" s="26" t="str">
        <f t="array" ref="C231">IFERROR(INDEX('Patrimônio'!$C$7:$C$1003,MATCH($B231,'Patrimônio'!$A$7:$A$1003,0)),"")</f>
        <v/>
      </c>
      <c r="D231" s="26" t="str">
        <f t="array" ref="D231">IFERROR(INDEX('Patrimônio'!$B$7:$B$1003,MATCH($B231,'Patrimônio'!$A$7:$A$1003,0)),"")</f>
        <v/>
      </c>
      <c r="E231" s="17"/>
      <c r="F231" s="18"/>
      <c r="G231" s="19"/>
      <c r="H231" s="15"/>
      <c r="I231" s="17"/>
      <c r="J231" s="24" t="str">
        <f t="shared" si="1"/>
        <v/>
      </c>
      <c r="K231" s="17"/>
    </row>
    <row r="232" ht="15.0" customHeight="1">
      <c r="A232" s="19"/>
      <c r="B232" s="15"/>
      <c r="C232" s="26" t="str">
        <f t="array" ref="C232">IFERROR(INDEX('Patrimônio'!$C$7:$C$1003,MATCH($B232,'Patrimônio'!$A$7:$A$1003,0)),"")</f>
        <v/>
      </c>
      <c r="D232" s="26" t="str">
        <f t="array" ref="D232">IFERROR(INDEX('Patrimônio'!$B$7:$B$1003,MATCH($B232,'Patrimônio'!$A$7:$A$1003,0)),"")</f>
        <v/>
      </c>
      <c r="E232" s="17"/>
      <c r="F232" s="18"/>
      <c r="G232" s="19"/>
      <c r="H232" s="15"/>
      <c r="I232" s="17"/>
      <c r="J232" s="24" t="str">
        <f t="shared" si="1"/>
        <v/>
      </c>
      <c r="K232" s="17"/>
    </row>
    <row r="233" ht="15.0" customHeight="1">
      <c r="A233" s="19"/>
      <c r="B233" s="15"/>
      <c r="C233" s="26" t="str">
        <f t="array" ref="C233">IFERROR(INDEX('Patrimônio'!$C$7:$C$1003,MATCH($B233,'Patrimônio'!$A$7:$A$1003,0)),"")</f>
        <v/>
      </c>
      <c r="D233" s="26" t="str">
        <f t="array" ref="D233">IFERROR(INDEX('Patrimônio'!$B$7:$B$1003,MATCH($B233,'Patrimônio'!$A$7:$A$1003,0)),"")</f>
        <v/>
      </c>
      <c r="E233" s="17"/>
      <c r="F233" s="18"/>
      <c r="G233" s="19"/>
      <c r="H233" s="15"/>
      <c r="I233" s="17"/>
      <c r="J233" s="24" t="str">
        <f t="shared" si="1"/>
        <v/>
      </c>
      <c r="K233" s="17"/>
    </row>
    <row r="234" ht="15.0" customHeight="1">
      <c r="A234" s="19"/>
      <c r="B234" s="15"/>
      <c r="C234" s="26" t="str">
        <f t="array" ref="C234">IFERROR(INDEX('Patrimônio'!$C$7:$C$1003,MATCH($B234,'Patrimônio'!$A$7:$A$1003,0)),"")</f>
        <v/>
      </c>
      <c r="D234" s="26" t="str">
        <f t="array" ref="D234">IFERROR(INDEX('Patrimônio'!$B$7:$B$1003,MATCH($B234,'Patrimônio'!$A$7:$A$1003,0)),"")</f>
        <v/>
      </c>
      <c r="E234" s="17"/>
      <c r="F234" s="18"/>
      <c r="G234" s="19"/>
      <c r="H234" s="15"/>
      <c r="I234" s="17"/>
      <c r="J234" s="24" t="str">
        <f t="shared" si="1"/>
        <v/>
      </c>
      <c r="K234" s="17"/>
    </row>
    <row r="235" ht="15.0" customHeight="1">
      <c r="A235" s="19"/>
      <c r="B235" s="15"/>
      <c r="C235" s="26" t="str">
        <f t="array" ref="C235">IFERROR(INDEX('Patrimônio'!$C$7:$C$1003,MATCH($B235,'Patrimônio'!$A$7:$A$1003,0)),"")</f>
        <v/>
      </c>
      <c r="D235" s="26" t="str">
        <f t="array" ref="D235">IFERROR(INDEX('Patrimônio'!$B$7:$B$1003,MATCH($B235,'Patrimônio'!$A$7:$A$1003,0)),"")</f>
        <v/>
      </c>
      <c r="E235" s="17"/>
      <c r="F235" s="18"/>
      <c r="G235" s="19"/>
      <c r="H235" s="15"/>
      <c r="I235" s="17"/>
      <c r="J235" s="24" t="str">
        <f t="shared" si="1"/>
        <v/>
      </c>
      <c r="K235" s="17"/>
    </row>
    <row r="236" ht="15.0" customHeight="1">
      <c r="A236" s="19"/>
      <c r="B236" s="15"/>
      <c r="C236" s="26" t="str">
        <f t="array" ref="C236">IFERROR(INDEX('Patrimônio'!$C$7:$C$1003,MATCH($B236,'Patrimônio'!$A$7:$A$1003,0)),"")</f>
        <v/>
      </c>
      <c r="D236" s="26" t="str">
        <f t="array" ref="D236">IFERROR(INDEX('Patrimônio'!$B$7:$B$1003,MATCH($B236,'Patrimônio'!$A$7:$A$1003,0)),"")</f>
        <v/>
      </c>
      <c r="E236" s="17"/>
      <c r="F236" s="18"/>
      <c r="G236" s="19"/>
      <c r="H236" s="15"/>
      <c r="I236" s="17"/>
      <c r="J236" s="24" t="str">
        <f t="shared" si="1"/>
        <v/>
      </c>
      <c r="K236" s="17"/>
    </row>
    <row r="237" ht="15.0" customHeight="1">
      <c r="A237" s="19"/>
      <c r="B237" s="15"/>
      <c r="C237" s="26" t="str">
        <f t="array" ref="C237">IFERROR(INDEX('Patrimônio'!$C$7:$C$1003,MATCH($B237,'Patrimônio'!$A$7:$A$1003,0)),"")</f>
        <v/>
      </c>
      <c r="D237" s="26" t="str">
        <f t="array" ref="D237">IFERROR(INDEX('Patrimônio'!$B$7:$B$1003,MATCH($B237,'Patrimônio'!$A$7:$A$1003,0)),"")</f>
        <v/>
      </c>
      <c r="E237" s="17"/>
      <c r="F237" s="18"/>
      <c r="G237" s="19"/>
      <c r="H237" s="15"/>
      <c r="I237" s="17"/>
      <c r="J237" s="24" t="str">
        <f t="shared" si="1"/>
        <v/>
      </c>
      <c r="K237" s="17"/>
    </row>
    <row r="238" ht="15.0" customHeight="1">
      <c r="A238" s="19"/>
      <c r="B238" s="15"/>
      <c r="C238" s="26" t="str">
        <f t="array" ref="C238">IFERROR(INDEX('Patrimônio'!$C$7:$C$1003,MATCH($B238,'Patrimônio'!$A$7:$A$1003,0)),"")</f>
        <v/>
      </c>
      <c r="D238" s="26" t="str">
        <f t="array" ref="D238">IFERROR(INDEX('Patrimônio'!$B$7:$B$1003,MATCH($B238,'Patrimônio'!$A$7:$A$1003,0)),"")</f>
        <v/>
      </c>
      <c r="E238" s="17"/>
      <c r="F238" s="18"/>
      <c r="G238" s="19"/>
      <c r="H238" s="15"/>
      <c r="I238" s="17"/>
      <c r="J238" s="24" t="str">
        <f t="shared" si="1"/>
        <v/>
      </c>
      <c r="K238" s="17"/>
    </row>
    <row r="239" ht="15.0" customHeight="1">
      <c r="A239" s="19"/>
      <c r="B239" s="15"/>
      <c r="C239" s="26" t="str">
        <f t="array" ref="C239">IFERROR(INDEX('Patrimônio'!$C$7:$C$1003,MATCH($B239,'Patrimônio'!$A$7:$A$1003,0)),"")</f>
        <v/>
      </c>
      <c r="D239" s="26" t="str">
        <f t="array" ref="D239">IFERROR(INDEX('Patrimônio'!$B$7:$B$1003,MATCH($B239,'Patrimônio'!$A$7:$A$1003,0)),"")</f>
        <v/>
      </c>
      <c r="E239" s="17"/>
      <c r="F239" s="18"/>
      <c r="G239" s="19"/>
      <c r="H239" s="15"/>
      <c r="I239" s="17"/>
      <c r="J239" s="24" t="str">
        <f t="shared" si="1"/>
        <v/>
      </c>
      <c r="K239" s="17"/>
    </row>
    <row r="240" ht="15.0" customHeight="1">
      <c r="A240" s="19"/>
      <c r="B240" s="15"/>
      <c r="C240" s="26" t="str">
        <f t="array" ref="C240">IFERROR(INDEX('Patrimônio'!$C$7:$C$1003,MATCH($B240,'Patrimônio'!$A$7:$A$1003,0)),"")</f>
        <v/>
      </c>
      <c r="D240" s="26" t="str">
        <f t="array" ref="D240">IFERROR(INDEX('Patrimônio'!$B$7:$B$1003,MATCH($B240,'Patrimônio'!$A$7:$A$1003,0)),"")</f>
        <v/>
      </c>
      <c r="E240" s="17"/>
      <c r="F240" s="18"/>
      <c r="G240" s="19"/>
      <c r="H240" s="15"/>
      <c r="I240" s="17"/>
      <c r="J240" s="24" t="str">
        <f t="shared" si="1"/>
        <v/>
      </c>
      <c r="K240" s="17"/>
    </row>
    <row r="241" ht="15.0" customHeight="1">
      <c r="A241" s="19"/>
      <c r="B241" s="15"/>
      <c r="C241" s="26" t="str">
        <f t="array" ref="C241">IFERROR(INDEX('Patrimônio'!$C$7:$C$1003,MATCH($B241,'Patrimônio'!$A$7:$A$1003,0)),"")</f>
        <v/>
      </c>
      <c r="D241" s="26" t="str">
        <f t="array" ref="D241">IFERROR(INDEX('Patrimônio'!$B$7:$B$1003,MATCH($B241,'Patrimônio'!$A$7:$A$1003,0)),"")</f>
        <v/>
      </c>
      <c r="E241" s="17"/>
      <c r="F241" s="18"/>
      <c r="G241" s="19"/>
      <c r="H241" s="15"/>
      <c r="I241" s="17"/>
      <c r="J241" s="24" t="str">
        <f t="shared" si="1"/>
        <v/>
      </c>
      <c r="K241" s="17"/>
    </row>
    <row r="242" ht="15.0" customHeight="1">
      <c r="A242" s="19"/>
      <c r="B242" s="15"/>
      <c r="C242" s="26" t="str">
        <f t="array" ref="C242">IFERROR(INDEX('Patrimônio'!$C$7:$C$1003,MATCH($B242,'Patrimônio'!$A$7:$A$1003,0)),"")</f>
        <v/>
      </c>
      <c r="D242" s="26" t="str">
        <f t="array" ref="D242">IFERROR(INDEX('Patrimônio'!$B$7:$B$1003,MATCH($B242,'Patrimônio'!$A$7:$A$1003,0)),"")</f>
        <v/>
      </c>
      <c r="E242" s="17"/>
      <c r="F242" s="18"/>
      <c r="G242" s="19"/>
      <c r="H242" s="15"/>
      <c r="I242" s="17"/>
      <c r="J242" s="24" t="str">
        <f t="shared" si="1"/>
        <v/>
      </c>
      <c r="K242" s="17"/>
    </row>
    <row r="243" ht="15.0" customHeight="1">
      <c r="A243" s="19"/>
      <c r="B243" s="15"/>
      <c r="C243" s="26" t="str">
        <f t="array" ref="C243">IFERROR(INDEX('Patrimônio'!$C$7:$C$1003,MATCH($B243,'Patrimônio'!$A$7:$A$1003,0)),"")</f>
        <v/>
      </c>
      <c r="D243" s="26" t="str">
        <f t="array" ref="D243">IFERROR(INDEX('Patrimônio'!$B$7:$B$1003,MATCH($B243,'Patrimônio'!$A$7:$A$1003,0)),"")</f>
        <v/>
      </c>
      <c r="E243" s="17"/>
      <c r="F243" s="18"/>
      <c r="G243" s="19"/>
      <c r="H243" s="15"/>
      <c r="I243" s="17"/>
      <c r="J243" s="24" t="str">
        <f t="shared" si="1"/>
        <v/>
      </c>
      <c r="K243" s="17"/>
    </row>
    <row r="244" ht="15.0" customHeight="1">
      <c r="A244" s="19"/>
      <c r="B244" s="15"/>
      <c r="C244" s="26" t="str">
        <f t="array" ref="C244">IFERROR(INDEX('Patrimônio'!$C$7:$C$1003,MATCH($B244,'Patrimônio'!$A$7:$A$1003,0)),"")</f>
        <v/>
      </c>
      <c r="D244" s="26" t="str">
        <f t="array" ref="D244">IFERROR(INDEX('Patrimônio'!$B$7:$B$1003,MATCH($B244,'Patrimônio'!$A$7:$A$1003,0)),"")</f>
        <v/>
      </c>
      <c r="E244" s="17"/>
      <c r="F244" s="18"/>
      <c r="G244" s="19"/>
      <c r="H244" s="15"/>
      <c r="I244" s="17"/>
      <c r="J244" s="24" t="str">
        <f t="shared" si="1"/>
        <v/>
      </c>
      <c r="K244" s="17"/>
    </row>
    <row r="245" ht="15.0" customHeight="1">
      <c r="A245" s="19"/>
      <c r="B245" s="15"/>
      <c r="C245" s="26" t="str">
        <f t="array" ref="C245">IFERROR(INDEX('Patrimônio'!$C$7:$C$1003,MATCH($B245,'Patrimônio'!$A$7:$A$1003,0)),"")</f>
        <v/>
      </c>
      <c r="D245" s="26" t="str">
        <f t="array" ref="D245">IFERROR(INDEX('Patrimônio'!$B$7:$B$1003,MATCH($B245,'Patrimônio'!$A$7:$A$1003,0)),"")</f>
        <v/>
      </c>
      <c r="E245" s="17"/>
      <c r="F245" s="18"/>
      <c r="G245" s="19"/>
      <c r="H245" s="15"/>
      <c r="I245" s="17"/>
      <c r="J245" s="24" t="str">
        <f t="shared" si="1"/>
        <v/>
      </c>
      <c r="K245" s="17"/>
    </row>
    <row r="246" ht="15.0" customHeight="1">
      <c r="A246" s="19"/>
      <c r="B246" s="15"/>
      <c r="C246" s="26" t="str">
        <f t="array" ref="C246">IFERROR(INDEX('Patrimônio'!$C$7:$C$1003,MATCH($B246,'Patrimônio'!$A$7:$A$1003,0)),"")</f>
        <v/>
      </c>
      <c r="D246" s="26" t="str">
        <f t="array" ref="D246">IFERROR(INDEX('Patrimônio'!$B$7:$B$1003,MATCH($B246,'Patrimônio'!$A$7:$A$1003,0)),"")</f>
        <v/>
      </c>
      <c r="E246" s="17"/>
      <c r="F246" s="18"/>
      <c r="G246" s="19"/>
      <c r="H246" s="15"/>
      <c r="I246" s="17"/>
      <c r="J246" s="24" t="str">
        <f t="shared" si="1"/>
        <v/>
      </c>
      <c r="K246" s="17"/>
    </row>
    <row r="247" ht="15.0" customHeight="1">
      <c r="A247" s="19"/>
      <c r="B247" s="15"/>
      <c r="C247" s="26" t="str">
        <f t="array" ref="C247">IFERROR(INDEX('Patrimônio'!$C$7:$C$1003,MATCH($B247,'Patrimônio'!$A$7:$A$1003,0)),"")</f>
        <v/>
      </c>
      <c r="D247" s="26" t="str">
        <f t="array" ref="D247">IFERROR(INDEX('Patrimônio'!$B$7:$B$1003,MATCH($B247,'Patrimônio'!$A$7:$A$1003,0)),"")</f>
        <v/>
      </c>
      <c r="E247" s="17"/>
      <c r="F247" s="18"/>
      <c r="G247" s="19"/>
      <c r="H247" s="15"/>
      <c r="I247" s="17"/>
      <c r="J247" s="24" t="str">
        <f t="shared" si="1"/>
        <v/>
      </c>
      <c r="K247" s="17"/>
    </row>
    <row r="248" ht="15.0" customHeight="1">
      <c r="A248" s="19"/>
      <c r="B248" s="15"/>
      <c r="C248" s="26" t="str">
        <f t="array" ref="C248">IFERROR(INDEX('Patrimônio'!$C$7:$C$1003,MATCH($B248,'Patrimônio'!$A$7:$A$1003,0)),"")</f>
        <v/>
      </c>
      <c r="D248" s="26" t="str">
        <f t="array" ref="D248">IFERROR(INDEX('Patrimônio'!$B$7:$B$1003,MATCH($B248,'Patrimônio'!$A$7:$A$1003,0)),"")</f>
        <v/>
      </c>
      <c r="E248" s="17"/>
      <c r="F248" s="18"/>
      <c r="G248" s="19"/>
      <c r="H248" s="15"/>
      <c r="I248" s="17"/>
      <c r="J248" s="24" t="str">
        <f t="shared" si="1"/>
        <v/>
      </c>
      <c r="K248" s="17"/>
    </row>
    <row r="249" ht="15.0" customHeight="1">
      <c r="A249" s="19"/>
      <c r="B249" s="15"/>
      <c r="C249" s="26" t="str">
        <f t="array" ref="C249">IFERROR(INDEX('Patrimônio'!$C$7:$C$1003,MATCH($B249,'Patrimônio'!$A$7:$A$1003,0)),"")</f>
        <v/>
      </c>
      <c r="D249" s="26" t="str">
        <f t="array" ref="D249">IFERROR(INDEX('Patrimônio'!$B$7:$B$1003,MATCH($B249,'Patrimônio'!$A$7:$A$1003,0)),"")</f>
        <v/>
      </c>
      <c r="E249" s="17"/>
      <c r="F249" s="18"/>
      <c r="G249" s="19"/>
      <c r="H249" s="15"/>
      <c r="I249" s="17"/>
      <c r="J249" s="24" t="str">
        <f t="shared" si="1"/>
        <v/>
      </c>
      <c r="K249" s="17"/>
    </row>
    <row r="250" ht="15.0" customHeight="1">
      <c r="A250" s="19"/>
      <c r="B250" s="15"/>
      <c r="C250" s="26" t="str">
        <f t="array" ref="C250">IFERROR(INDEX('Patrimônio'!$C$7:$C$1003,MATCH($B250,'Patrimônio'!$A$7:$A$1003,0)),"")</f>
        <v/>
      </c>
      <c r="D250" s="26" t="str">
        <f t="array" ref="D250">IFERROR(INDEX('Patrimônio'!$B$7:$B$1003,MATCH($B250,'Patrimônio'!$A$7:$A$1003,0)),"")</f>
        <v/>
      </c>
      <c r="E250" s="17"/>
      <c r="F250" s="18"/>
      <c r="G250" s="19"/>
      <c r="H250" s="15"/>
      <c r="I250" s="17"/>
      <c r="J250" s="24" t="str">
        <f t="shared" si="1"/>
        <v/>
      </c>
      <c r="K250" s="17"/>
    </row>
    <row r="251" ht="15.0" customHeight="1">
      <c r="A251" s="19"/>
      <c r="B251" s="15"/>
      <c r="C251" s="26" t="str">
        <f t="array" ref="C251">IFERROR(INDEX('Patrimônio'!$C$7:$C$1003,MATCH($B251,'Patrimônio'!$A$7:$A$1003,0)),"")</f>
        <v/>
      </c>
      <c r="D251" s="26" t="str">
        <f t="array" ref="D251">IFERROR(INDEX('Patrimônio'!$B$7:$B$1003,MATCH($B251,'Patrimônio'!$A$7:$A$1003,0)),"")</f>
        <v/>
      </c>
      <c r="E251" s="17"/>
      <c r="F251" s="18"/>
      <c r="G251" s="19"/>
      <c r="H251" s="15"/>
      <c r="I251" s="17"/>
      <c r="J251" s="24" t="str">
        <f t="shared" si="1"/>
        <v/>
      </c>
      <c r="K251" s="17"/>
    </row>
    <row r="252" ht="15.0" customHeight="1">
      <c r="A252" s="19"/>
      <c r="B252" s="15"/>
      <c r="C252" s="26" t="str">
        <f t="array" ref="C252">IFERROR(INDEX('Patrimônio'!$C$7:$C$1003,MATCH($B252,'Patrimônio'!$A$7:$A$1003,0)),"")</f>
        <v/>
      </c>
      <c r="D252" s="26" t="str">
        <f t="array" ref="D252">IFERROR(INDEX('Patrimônio'!$B$7:$B$1003,MATCH($B252,'Patrimônio'!$A$7:$A$1003,0)),"")</f>
        <v/>
      </c>
      <c r="E252" s="17"/>
      <c r="F252" s="18"/>
      <c r="G252" s="19"/>
      <c r="H252" s="15"/>
      <c r="I252" s="17"/>
      <c r="J252" s="24" t="str">
        <f t="shared" si="1"/>
        <v/>
      </c>
      <c r="K252" s="17"/>
    </row>
    <row r="253" ht="15.0" customHeight="1">
      <c r="A253" s="19"/>
      <c r="B253" s="15"/>
      <c r="C253" s="26" t="str">
        <f t="array" ref="C253">IFERROR(INDEX('Patrimônio'!$C$7:$C$1003,MATCH($B253,'Patrimônio'!$A$7:$A$1003,0)),"")</f>
        <v/>
      </c>
      <c r="D253" s="26" t="str">
        <f t="array" ref="D253">IFERROR(INDEX('Patrimônio'!$B$7:$B$1003,MATCH($B253,'Patrimônio'!$A$7:$A$1003,0)),"")</f>
        <v/>
      </c>
      <c r="E253" s="17"/>
      <c r="F253" s="18"/>
      <c r="G253" s="19"/>
      <c r="H253" s="15"/>
      <c r="I253" s="17"/>
      <c r="J253" s="24" t="str">
        <f t="shared" si="1"/>
        <v/>
      </c>
      <c r="K253" s="17"/>
    </row>
    <row r="254" ht="15.0" customHeight="1">
      <c r="A254" s="19"/>
      <c r="B254" s="15"/>
      <c r="C254" s="26" t="str">
        <f t="array" ref="C254">IFERROR(INDEX('Patrimônio'!$C$7:$C$1003,MATCH($B254,'Patrimônio'!$A$7:$A$1003,0)),"")</f>
        <v/>
      </c>
      <c r="D254" s="26" t="str">
        <f t="array" ref="D254">IFERROR(INDEX('Patrimônio'!$B$7:$B$1003,MATCH($B254,'Patrimônio'!$A$7:$A$1003,0)),"")</f>
        <v/>
      </c>
      <c r="E254" s="17"/>
      <c r="F254" s="18"/>
      <c r="G254" s="19"/>
      <c r="H254" s="15"/>
      <c r="I254" s="17"/>
      <c r="J254" s="24" t="str">
        <f t="shared" si="1"/>
        <v/>
      </c>
      <c r="K254" s="17"/>
    </row>
    <row r="255" ht="15.0" customHeight="1">
      <c r="A255" s="19"/>
      <c r="B255" s="15"/>
      <c r="C255" s="26" t="str">
        <f t="array" ref="C255">IFERROR(INDEX('Patrimônio'!$C$7:$C$1003,MATCH($B255,'Patrimônio'!$A$7:$A$1003,0)),"")</f>
        <v/>
      </c>
      <c r="D255" s="26" t="str">
        <f t="array" ref="D255">IFERROR(INDEX('Patrimônio'!$B$7:$B$1003,MATCH($B255,'Patrimônio'!$A$7:$A$1003,0)),"")</f>
        <v/>
      </c>
      <c r="E255" s="17"/>
      <c r="F255" s="18"/>
      <c r="G255" s="19"/>
      <c r="H255" s="15"/>
      <c r="I255" s="17"/>
      <c r="J255" s="24" t="str">
        <f t="shared" si="1"/>
        <v/>
      </c>
      <c r="K255" s="17"/>
    </row>
    <row r="256" ht="15.0" customHeight="1">
      <c r="A256" s="19"/>
      <c r="B256" s="15"/>
      <c r="C256" s="26" t="str">
        <f t="array" ref="C256">IFERROR(INDEX('Patrimônio'!$C$7:$C$1003,MATCH($B256,'Patrimônio'!$A$7:$A$1003,0)),"")</f>
        <v/>
      </c>
      <c r="D256" s="26" t="str">
        <f t="array" ref="D256">IFERROR(INDEX('Patrimônio'!$B$7:$B$1003,MATCH($B256,'Patrimônio'!$A$7:$A$1003,0)),"")</f>
        <v/>
      </c>
      <c r="E256" s="17"/>
      <c r="F256" s="18"/>
      <c r="G256" s="19"/>
      <c r="H256" s="15"/>
      <c r="I256" s="17"/>
      <c r="J256" s="24" t="str">
        <f t="shared" si="1"/>
        <v/>
      </c>
      <c r="K256" s="17"/>
    </row>
    <row r="257" ht="15.0" customHeight="1">
      <c r="A257" s="19"/>
      <c r="B257" s="15"/>
      <c r="C257" s="26" t="str">
        <f t="array" ref="C257">IFERROR(INDEX('Patrimônio'!$C$7:$C$1003,MATCH($B257,'Patrimônio'!$A$7:$A$1003,0)),"")</f>
        <v/>
      </c>
      <c r="D257" s="26" t="str">
        <f t="array" ref="D257">IFERROR(INDEX('Patrimônio'!$B$7:$B$1003,MATCH($B257,'Patrimônio'!$A$7:$A$1003,0)),"")</f>
        <v/>
      </c>
      <c r="E257" s="17"/>
      <c r="F257" s="18"/>
      <c r="G257" s="19"/>
      <c r="H257" s="15"/>
      <c r="I257" s="17"/>
      <c r="J257" s="24" t="str">
        <f t="shared" si="1"/>
        <v/>
      </c>
      <c r="K257" s="17"/>
    </row>
    <row r="258" ht="15.0" customHeight="1">
      <c r="A258" s="19"/>
      <c r="B258" s="15"/>
      <c r="C258" s="26" t="str">
        <f t="array" ref="C258">IFERROR(INDEX('Patrimônio'!$C$7:$C$1003,MATCH($B258,'Patrimônio'!$A$7:$A$1003,0)),"")</f>
        <v/>
      </c>
      <c r="D258" s="26" t="str">
        <f t="array" ref="D258">IFERROR(INDEX('Patrimônio'!$B$7:$B$1003,MATCH($B258,'Patrimônio'!$A$7:$A$1003,0)),"")</f>
        <v/>
      </c>
      <c r="E258" s="17"/>
      <c r="F258" s="18"/>
      <c r="G258" s="19"/>
      <c r="H258" s="15"/>
      <c r="I258" s="17"/>
      <c r="J258" s="24" t="str">
        <f t="shared" si="1"/>
        <v/>
      </c>
      <c r="K258" s="17"/>
    </row>
    <row r="259" ht="15.0" customHeight="1">
      <c r="A259" s="19"/>
      <c r="B259" s="15"/>
      <c r="C259" s="26" t="str">
        <f t="array" ref="C259">IFERROR(INDEX('Patrimônio'!$C$7:$C$1003,MATCH($B259,'Patrimônio'!$A$7:$A$1003,0)),"")</f>
        <v/>
      </c>
      <c r="D259" s="26" t="str">
        <f t="array" ref="D259">IFERROR(INDEX('Patrimônio'!$B$7:$B$1003,MATCH($B259,'Patrimônio'!$A$7:$A$1003,0)),"")</f>
        <v/>
      </c>
      <c r="E259" s="17"/>
      <c r="F259" s="18"/>
      <c r="G259" s="19"/>
      <c r="H259" s="15"/>
      <c r="I259" s="17"/>
      <c r="J259" s="24" t="str">
        <f t="shared" si="1"/>
        <v/>
      </c>
      <c r="K259" s="17"/>
    </row>
    <row r="260" ht="15.0" customHeight="1">
      <c r="A260" s="19"/>
      <c r="B260" s="15"/>
      <c r="C260" s="26" t="str">
        <f t="array" ref="C260">IFERROR(INDEX('Patrimônio'!$C$7:$C$1003,MATCH($B260,'Patrimônio'!$A$7:$A$1003,0)),"")</f>
        <v/>
      </c>
      <c r="D260" s="26" t="str">
        <f t="array" ref="D260">IFERROR(INDEX('Patrimônio'!$B$7:$B$1003,MATCH($B260,'Patrimônio'!$A$7:$A$1003,0)),"")</f>
        <v/>
      </c>
      <c r="E260" s="17"/>
      <c r="F260" s="18"/>
      <c r="G260" s="19"/>
      <c r="H260" s="15"/>
      <c r="I260" s="17"/>
      <c r="J260" s="24" t="str">
        <f t="shared" si="1"/>
        <v/>
      </c>
      <c r="K260" s="17"/>
    </row>
    <row r="261" ht="15.0" customHeight="1">
      <c r="A261" s="19"/>
      <c r="B261" s="15"/>
      <c r="C261" s="26" t="str">
        <f t="array" ref="C261">IFERROR(INDEX('Patrimônio'!$C$7:$C$1003,MATCH($B261,'Patrimônio'!$A$7:$A$1003,0)),"")</f>
        <v/>
      </c>
      <c r="D261" s="26" t="str">
        <f t="array" ref="D261">IFERROR(INDEX('Patrimônio'!$B$7:$B$1003,MATCH($B261,'Patrimônio'!$A$7:$A$1003,0)),"")</f>
        <v/>
      </c>
      <c r="E261" s="17"/>
      <c r="F261" s="18"/>
      <c r="G261" s="19"/>
      <c r="H261" s="15"/>
      <c r="I261" s="17"/>
      <c r="J261" s="24" t="str">
        <f t="shared" si="1"/>
        <v/>
      </c>
      <c r="K261" s="17"/>
    </row>
    <row r="262" ht="15.0" customHeight="1">
      <c r="A262" s="19"/>
      <c r="B262" s="15"/>
      <c r="C262" s="26" t="str">
        <f t="array" ref="C262">IFERROR(INDEX('Patrimônio'!$C$7:$C$1003,MATCH($B262,'Patrimônio'!$A$7:$A$1003,0)),"")</f>
        <v/>
      </c>
      <c r="D262" s="26" t="str">
        <f t="array" ref="D262">IFERROR(INDEX('Patrimônio'!$B$7:$B$1003,MATCH($B262,'Patrimônio'!$A$7:$A$1003,0)),"")</f>
        <v/>
      </c>
      <c r="E262" s="17"/>
      <c r="F262" s="18"/>
      <c r="G262" s="19"/>
      <c r="H262" s="15"/>
      <c r="I262" s="17"/>
      <c r="J262" s="24" t="str">
        <f t="shared" si="1"/>
        <v/>
      </c>
      <c r="K262" s="17"/>
    </row>
    <row r="263" ht="15.0" customHeight="1">
      <c r="A263" s="19"/>
      <c r="B263" s="15"/>
      <c r="C263" s="26" t="str">
        <f t="array" ref="C263">IFERROR(INDEX('Patrimônio'!$C$7:$C$1003,MATCH($B263,'Patrimônio'!$A$7:$A$1003,0)),"")</f>
        <v/>
      </c>
      <c r="D263" s="26" t="str">
        <f t="array" ref="D263">IFERROR(INDEX('Patrimônio'!$B$7:$B$1003,MATCH($B263,'Patrimônio'!$A$7:$A$1003,0)),"")</f>
        <v/>
      </c>
      <c r="E263" s="17"/>
      <c r="F263" s="18"/>
      <c r="G263" s="19"/>
      <c r="H263" s="15"/>
      <c r="I263" s="17"/>
      <c r="J263" s="24" t="str">
        <f t="shared" si="1"/>
        <v/>
      </c>
      <c r="K263" s="17"/>
    </row>
    <row r="264" ht="15.0" customHeight="1">
      <c r="A264" s="19"/>
      <c r="B264" s="15"/>
      <c r="C264" s="26" t="str">
        <f t="array" ref="C264">IFERROR(INDEX('Patrimônio'!$C$7:$C$1003,MATCH($B264,'Patrimônio'!$A$7:$A$1003,0)),"")</f>
        <v/>
      </c>
      <c r="D264" s="26" t="str">
        <f t="array" ref="D264">IFERROR(INDEX('Patrimônio'!$B$7:$B$1003,MATCH($B264,'Patrimônio'!$A$7:$A$1003,0)),"")</f>
        <v/>
      </c>
      <c r="E264" s="17"/>
      <c r="F264" s="18"/>
      <c r="G264" s="19"/>
      <c r="H264" s="15"/>
      <c r="I264" s="17"/>
      <c r="J264" s="24" t="str">
        <f t="shared" si="1"/>
        <v/>
      </c>
      <c r="K264" s="17"/>
    </row>
    <row r="265" ht="15.0" customHeight="1">
      <c r="A265" s="19"/>
      <c r="B265" s="15"/>
      <c r="C265" s="26" t="str">
        <f t="array" ref="C265">IFERROR(INDEX('Patrimônio'!$C$7:$C$1003,MATCH($B265,'Patrimônio'!$A$7:$A$1003,0)),"")</f>
        <v/>
      </c>
      <c r="D265" s="26" t="str">
        <f t="array" ref="D265">IFERROR(INDEX('Patrimônio'!$B$7:$B$1003,MATCH($B265,'Patrimônio'!$A$7:$A$1003,0)),"")</f>
        <v/>
      </c>
      <c r="E265" s="17"/>
      <c r="F265" s="18"/>
      <c r="G265" s="19"/>
      <c r="H265" s="15"/>
      <c r="I265" s="17"/>
      <c r="J265" s="24" t="str">
        <f t="shared" si="1"/>
        <v/>
      </c>
      <c r="K265" s="17"/>
    </row>
    <row r="266" ht="15.0" customHeight="1">
      <c r="A266" s="19"/>
      <c r="B266" s="15"/>
      <c r="C266" s="26" t="str">
        <f t="array" ref="C266">IFERROR(INDEX('Patrimônio'!$C$7:$C$1003,MATCH($B266,'Patrimônio'!$A$7:$A$1003,0)),"")</f>
        <v/>
      </c>
      <c r="D266" s="26" t="str">
        <f t="array" ref="D266">IFERROR(INDEX('Patrimônio'!$B$7:$B$1003,MATCH($B266,'Patrimônio'!$A$7:$A$1003,0)),"")</f>
        <v/>
      </c>
      <c r="E266" s="17"/>
      <c r="F266" s="18"/>
      <c r="G266" s="19"/>
      <c r="H266" s="15"/>
      <c r="I266" s="17"/>
      <c r="J266" s="24" t="str">
        <f t="shared" si="1"/>
        <v/>
      </c>
      <c r="K266" s="17"/>
    </row>
    <row r="267" ht="15.0" customHeight="1">
      <c r="A267" s="19"/>
      <c r="B267" s="15"/>
      <c r="C267" s="26" t="str">
        <f t="array" ref="C267">IFERROR(INDEX('Patrimônio'!$C$7:$C$1003,MATCH($B267,'Patrimônio'!$A$7:$A$1003,0)),"")</f>
        <v/>
      </c>
      <c r="D267" s="26" t="str">
        <f t="array" ref="D267">IFERROR(INDEX('Patrimônio'!$B$7:$B$1003,MATCH($B267,'Patrimônio'!$A$7:$A$1003,0)),"")</f>
        <v/>
      </c>
      <c r="E267" s="17"/>
      <c r="F267" s="18"/>
      <c r="G267" s="19"/>
      <c r="H267" s="15"/>
      <c r="I267" s="17"/>
      <c r="J267" s="24" t="str">
        <f t="shared" si="1"/>
        <v/>
      </c>
      <c r="K267" s="17"/>
    </row>
    <row r="268" ht="15.0" customHeight="1">
      <c r="A268" s="19"/>
      <c r="B268" s="15"/>
      <c r="C268" s="26" t="str">
        <f t="array" ref="C268">IFERROR(INDEX('Patrimônio'!$C$7:$C$1003,MATCH($B268,'Patrimônio'!$A$7:$A$1003,0)),"")</f>
        <v/>
      </c>
      <c r="D268" s="26" t="str">
        <f t="array" ref="D268">IFERROR(INDEX('Patrimônio'!$B$7:$B$1003,MATCH($B268,'Patrimônio'!$A$7:$A$1003,0)),"")</f>
        <v/>
      </c>
      <c r="E268" s="17"/>
      <c r="F268" s="18"/>
      <c r="G268" s="19"/>
      <c r="H268" s="15"/>
      <c r="I268" s="17"/>
      <c r="J268" s="24" t="str">
        <f t="shared" si="1"/>
        <v/>
      </c>
      <c r="K268" s="17"/>
    </row>
    <row r="269" ht="15.0" customHeight="1">
      <c r="A269" s="19"/>
      <c r="B269" s="15"/>
      <c r="C269" s="26" t="str">
        <f t="array" ref="C269">IFERROR(INDEX('Patrimônio'!$C$7:$C$1003,MATCH($B269,'Patrimônio'!$A$7:$A$1003,0)),"")</f>
        <v/>
      </c>
      <c r="D269" s="26" t="str">
        <f t="array" ref="D269">IFERROR(INDEX('Patrimônio'!$B$7:$B$1003,MATCH($B269,'Patrimônio'!$A$7:$A$1003,0)),"")</f>
        <v/>
      </c>
      <c r="E269" s="17"/>
      <c r="F269" s="18"/>
      <c r="G269" s="19"/>
      <c r="H269" s="15"/>
      <c r="I269" s="17"/>
      <c r="J269" s="24" t="str">
        <f t="shared" si="1"/>
        <v/>
      </c>
      <c r="K269" s="17"/>
    </row>
    <row r="270" ht="15.0" customHeight="1">
      <c r="A270" s="19"/>
      <c r="B270" s="15"/>
      <c r="C270" s="26" t="str">
        <f t="array" ref="C270">IFERROR(INDEX('Patrimônio'!$C$7:$C$1003,MATCH($B270,'Patrimônio'!$A$7:$A$1003,0)),"")</f>
        <v/>
      </c>
      <c r="D270" s="26" t="str">
        <f t="array" ref="D270">IFERROR(INDEX('Patrimônio'!$B$7:$B$1003,MATCH($B270,'Patrimônio'!$A$7:$A$1003,0)),"")</f>
        <v/>
      </c>
      <c r="E270" s="17"/>
      <c r="F270" s="18"/>
      <c r="G270" s="19"/>
      <c r="H270" s="15"/>
      <c r="I270" s="17"/>
      <c r="J270" s="24" t="str">
        <f t="shared" si="1"/>
        <v/>
      </c>
      <c r="K270" s="17"/>
    </row>
    <row r="271" ht="15.0" customHeight="1">
      <c r="A271" s="19"/>
      <c r="B271" s="15"/>
      <c r="C271" s="26" t="str">
        <f t="array" ref="C271">IFERROR(INDEX('Patrimônio'!$C$7:$C$1003,MATCH($B271,'Patrimônio'!$A$7:$A$1003,0)),"")</f>
        <v/>
      </c>
      <c r="D271" s="26" t="str">
        <f t="array" ref="D271">IFERROR(INDEX('Patrimônio'!$B$7:$B$1003,MATCH($B271,'Patrimônio'!$A$7:$A$1003,0)),"")</f>
        <v/>
      </c>
      <c r="E271" s="17"/>
      <c r="F271" s="18"/>
      <c r="G271" s="19"/>
      <c r="H271" s="15"/>
      <c r="I271" s="17"/>
      <c r="J271" s="24" t="str">
        <f t="shared" si="1"/>
        <v/>
      </c>
      <c r="K271" s="17"/>
    </row>
    <row r="272" ht="15.0" customHeight="1">
      <c r="A272" s="19"/>
      <c r="B272" s="15"/>
      <c r="C272" s="26" t="str">
        <f t="array" ref="C272">IFERROR(INDEX('Patrimônio'!$C$7:$C$1003,MATCH($B272,'Patrimônio'!$A$7:$A$1003,0)),"")</f>
        <v/>
      </c>
      <c r="D272" s="26" t="str">
        <f t="array" ref="D272">IFERROR(INDEX('Patrimônio'!$B$7:$B$1003,MATCH($B272,'Patrimônio'!$A$7:$A$1003,0)),"")</f>
        <v/>
      </c>
      <c r="E272" s="17"/>
      <c r="F272" s="18"/>
      <c r="G272" s="19"/>
      <c r="H272" s="15"/>
      <c r="I272" s="17"/>
      <c r="J272" s="24" t="str">
        <f t="shared" si="1"/>
        <v/>
      </c>
      <c r="K272" s="17"/>
    </row>
    <row r="273" ht="15.0" customHeight="1">
      <c r="A273" s="19"/>
      <c r="B273" s="15"/>
      <c r="C273" s="26" t="str">
        <f t="array" ref="C273">IFERROR(INDEX('Patrimônio'!$C$7:$C$1003,MATCH($B273,'Patrimônio'!$A$7:$A$1003,0)),"")</f>
        <v/>
      </c>
      <c r="D273" s="26" t="str">
        <f t="array" ref="D273">IFERROR(INDEX('Patrimônio'!$B$7:$B$1003,MATCH($B273,'Patrimônio'!$A$7:$A$1003,0)),"")</f>
        <v/>
      </c>
      <c r="E273" s="17"/>
      <c r="F273" s="18"/>
      <c r="G273" s="19"/>
      <c r="H273" s="15"/>
      <c r="I273" s="17"/>
      <c r="J273" s="24" t="str">
        <f t="shared" si="1"/>
        <v/>
      </c>
      <c r="K273" s="17"/>
    </row>
    <row r="274" ht="15.0" customHeight="1">
      <c r="A274" s="19"/>
      <c r="B274" s="15"/>
      <c r="C274" s="26" t="str">
        <f t="array" ref="C274">IFERROR(INDEX('Patrimônio'!$C$7:$C$1003,MATCH($B274,'Patrimônio'!$A$7:$A$1003,0)),"")</f>
        <v/>
      </c>
      <c r="D274" s="26" t="str">
        <f t="array" ref="D274">IFERROR(INDEX('Patrimônio'!$B$7:$B$1003,MATCH($B274,'Patrimônio'!$A$7:$A$1003,0)),"")</f>
        <v/>
      </c>
      <c r="E274" s="17"/>
      <c r="F274" s="18"/>
      <c r="G274" s="19"/>
      <c r="H274" s="15"/>
      <c r="I274" s="17"/>
      <c r="J274" s="24" t="str">
        <f t="shared" si="1"/>
        <v/>
      </c>
      <c r="K274" s="17"/>
    </row>
    <row r="275" ht="15.0" customHeight="1">
      <c r="A275" s="19"/>
      <c r="B275" s="15"/>
      <c r="C275" s="26" t="str">
        <f t="array" ref="C275">IFERROR(INDEX('Patrimônio'!$C$7:$C$1003,MATCH($B275,'Patrimônio'!$A$7:$A$1003,0)),"")</f>
        <v/>
      </c>
      <c r="D275" s="26" t="str">
        <f t="array" ref="D275">IFERROR(INDEX('Patrimônio'!$B$7:$B$1003,MATCH($B275,'Patrimônio'!$A$7:$A$1003,0)),"")</f>
        <v/>
      </c>
      <c r="E275" s="17"/>
      <c r="F275" s="18"/>
      <c r="G275" s="19"/>
      <c r="H275" s="15"/>
      <c r="I275" s="17"/>
      <c r="J275" s="24" t="str">
        <f t="shared" si="1"/>
        <v/>
      </c>
      <c r="K275" s="17"/>
    </row>
    <row r="276" ht="15.0" customHeight="1">
      <c r="A276" s="19"/>
      <c r="B276" s="15"/>
      <c r="C276" s="26" t="str">
        <f t="array" ref="C276">IFERROR(INDEX('Patrimônio'!$C$7:$C$1003,MATCH($B276,'Patrimônio'!$A$7:$A$1003,0)),"")</f>
        <v/>
      </c>
      <c r="D276" s="26" t="str">
        <f t="array" ref="D276">IFERROR(INDEX('Patrimônio'!$B$7:$B$1003,MATCH($B276,'Patrimônio'!$A$7:$A$1003,0)),"")</f>
        <v/>
      </c>
      <c r="E276" s="17"/>
      <c r="F276" s="18"/>
      <c r="G276" s="19"/>
      <c r="H276" s="15"/>
      <c r="I276" s="17"/>
      <c r="J276" s="24" t="str">
        <f t="shared" si="1"/>
        <v/>
      </c>
      <c r="K276" s="17"/>
    </row>
    <row r="277" ht="15.0" customHeight="1">
      <c r="A277" s="19"/>
      <c r="B277" s="15"/>
      <c r="C277" s="26" t="str">
        <f t="array" ref="C277">IFERROR(INDEX('Patrimônio'!$C$7:$C$1003,MATCH($B277,'Patrimônio'!$A$7:$A$1003,0)),"")</f>
        <v/>
      </c>
      <c r="D277" s="26" t="str">
        <f t="array" ref="D277">IFERROR(INDEX('Patrimônio'!$B$7:$B$1003,MATCH($B277,'Patrimônio'!$A$7:$A$1003,0)),"")</f>
        <v/>
      </c>
      <c r="E277" s="17"/>
      <c r="F277" s="18"/>
      <c r="G277" s="19"/>
      <c r="H277" s="15"/>
      <c r="I277" s="17"/>
      <c r="J277" s="24" t="str">
        <f t="shared" si="1"/>
        <v/>
      </c>
      <c r="K277" s="17"/>
    </row>
    <row r="278" ht="15.0" customHeight="1">
      <c r="A278" s="19"/>
      <c r="B278" s="15"/>
      <c r="C278" s="26" t="str">
        <f t="array" ref="C278">IFERROR(INDEX('Patrimônio'!$C$7:$C$1003,MATCH($B278,'Patrimônio'!$A$7:$A$1003,0)),"")</f>
        <v/>
      </c>
      <c r="D278" s="26" t="str">
        <f t="array" ref="D278">IFERROR(INDEX('Patrimônio'!$B$7:$B$1003,MATCH($B278,'Patrimônio'!$A$7:$A$1003,0)),"")</f>
        <v/>
      </c>
      <c r="E278" s="17"/>
      <c r="F278" s="18"/>
      <c r="G278" s="19"/>
      <c r="H278" s="15"/>
      <c r="I278" s="17"/>
      <c r="J278" s="24" t="str">
        <f t="shared" si="1"/>
        <v/>
      </c>
      <c r="K278" s="17"/>
    </row>
    <row r="279" ht="15.0" customHeight="1">
      <c r="A279" s="19"/>
      <c r="B279" s="15"/>
      <c r="C279" s="26" t="str">
        <f t="array" ref="C279">IFERROR(INDEX('Patrimônio'!$C$7:$C$1003,MATCH($B279,'Patrimônio'!$A$7:$A$1003,0)),"")</f>
        <v/>
      </c>
      <c r="D279" s="26" t="str">
        <f t="array" ref="D279">IFERROR(INDEX('Patrimônio'!$B$7:$B$1003,MATCH($B279,'Patrimônio'!$A$7:$A$1003,0)),"")</f>
        <v/>
      </c>
      <c r="E279" s="17"/>
      <c r="F279" s="18"/>
      <c r="G279" s="19"/>
      <c r="H279" s="15"/>
      <c r="I279" s="17"/>
      <c r="J279" s="24" t="str">
        <f t="shared" si="1"/>
        <v/>
      </c>
      <c r="K279" s="17"/>
    </row>
    <row r="280" ht="15.0" customHeight="1">
      <c r="A280" s="19"/>
      <c r="B280" s="15"/>
      <c r="C280" s="26" t="str">
        <f t="array" ref="C280">IFERROR(INDEX('Patrimônio'!$C$7:$C$1003,MATCH($B280,'Patrimônio'!$A$7:$A$1003,0)),"")</f>
        <v/>
      </c>
      <c r="D280" s="26" t="str">
        <f t="array" ref="D280">IFERROR(INDEX('Patrimônio'!$B$7:$B$1003,MATCH($B280,'Patrimônio'!$A$7:$A$1003,0)),"")</f>
        <v/>
      </c>
      <c r="E280" s="17"/>
      <c r="F280" s="18"/>
      <c r="G280" s="19"/>
      <c r="H280" s="15"/>
      <c r="I280" s="17"/>
      <c r="J280" s="24" t="str">
        <f t="shared" si="1"/>
        <v/>
      </c>
      <c r="K280" s="17"/>
    </row>
    <row r="281" ht="15.0" customHeight="1">
      <c r="A281" s="19"/>
      <c r="B281" s="15"/>
      <c r="C281" s="26" t="str">
        <f t="array" ref="C281">IFERROR(INDEX('Patrimônio'!$C$7:$C$1003,MATCH($B281,'Patrimônio'!$A$7:$A$1003,0)),"")</f>
        <v/>
      </c>
      <c r="D281" s="26" t="str">
        <f t="array" ref="D281">IFERROR(INDEX('Patrimônio'!$B$7:$B$1003,MATCH($B281,'Patrimônio'!$A$7:$A$1003,0)),"")</f>
        <v/>
      </c>
      <c r="E281" s="17"/>
      <c r="F281" s="18"/>
      <c r="G281" s="19"/>
      <c r="H281" s="15"/>
      <c r="I281" s="17"/>
      <c r="J281" s="24" t="str">
        <f t="shared" si="1"/>
        <v/>
      </c>
      <c r="K281" s="17"/>
    </row>
    <row r="282" ht="15.0" customHeight="1">
      <c r="A282" s="19"/>
      <c r="B282" s="15"/>
      <c r="C282" s="26" t="str">
        <f t="array" ref="C282">IFERROR(INDEX('Patrimônio'!$C$7:$C$1003,MATCH($B282,'Patrimônio'!$A$7:$A$1003,0)),"")</f>
        <v/>
      </c>
      <c r="D282" s="26" t="str">
        <f t="array" ref="D282">IFERROR(INDEX('Patrimônio'!$B$7:$B$1003,MATCH($B282,'Patrimônio'!$A$7:$A$1003,0)),"")</f>
        <v/>
      </c>
      <c r="E282" s="17"/>
      <c r="F282" s="18"/>
      <c r="G282" s="19"/>
      <c r="H282" s="15"/>
      <c r="I282" s="17"/>
      <c r="J282" s="24" t="str">
        <f t="shared" si="1"/>
        <v/>
      </c>
      <c r="K282" s="17"/>
    </row>
    <row r="283" ht="15.0" customHeight="1">
      <c r="A283" s="19"/>
      <c r="B283" s="15"/>
      <c r="C283" s="26" t="str">
        <f t="array" ref="C283">IFERROR(INDEX('Patrimônio'!$C$7:$C$1003,MATCH($B283,'Patrimônio'!$A$7:$A$1003,0)),"")</f>
        <v/>
      </c>
      <c r="D283" s="26" t="str">
        <f t="array" ref="D283">IFERROR(INDEX('Patrimônio'!$B$7:$B$1003,MATCH($B283,'Patrimônio'!$A$7:$A$1003,0)),"")</f>
        <v/>
      </c>
      <c r="E283" s="17"/>
      <c r="F283" s="18"/>
      <c r="G283" s="19"/>
      <c r="H283" s="15"/>
      <c r="I283" s="17"/>
      <c r="J283" s="24" t="str">
        <f t="shared" si="1"/>
        <v/>
      </c>
      <c r="K283" s="17"/>
    </row>
    <row r="284" ht="15.0" customHeight="1">
      <c r="A284" s="19"/>
      <c r="B284" s="15"/>
      <c r="C284" s="26" t="str">
        <f t="array" ref="C284">IFERROR(INDEX('Patrimônio'!$C$7:$C$1003,MATCH($B284,'Patrimônio'!$A$7:$A$1003,0)),"")</f>
        <v/>
      </c>
      <c r="D284" s="26" t="str">
        <f t="array" ref="D284">IFERROR(INDEX('Patrimônio'!$B$7:$B$1003,MATCH($B284,'Patrimônio'!$A$7:$A$1003,0)),"")</f>
        <v/>
      </c>
      <c r="E284" s="17"/>
      <c r="F284" s="18"/>
      <c r="G284" s="19"/>
      <c r="H284" s="15"/>
      <c r="I284" s="17"/>
      <c r="J284" s="24" t="str">
        <f t="shared" si="1"/>
        <v/>
      </c>
      <c r="K284" s="17"/>
    </row>
    <row r="285" ht="15.0" customHeight="1">
      <c r="A285" s="19"/>
      <c r="B285" s="15"/>
      <c r="C285" s="26" t="str">
        <f t="array" ref="C285">IFERROR(INDEX('Patrimônio'!$C$7:$C$1003,MATCH($B285,'Patrimônio'!$A$7:$A$1003,0)),"")</f>
        <v/>
      </c>
      <c r="D285" s="26" t="str">
        <f t="array" ref="D285">IFERROR(INDEX('Patrimônio'!$B$7:$B$1003,MATCH($B285,'Patrimônio'!$A$7:$A$1003,0)),"")</f>
        <v/>
      </c>
      <c r="E285" s="17"/>
      <c r="F285" s="18"/>
      <c r="G285" s="19"/>
      <c r="H285" s="15"/>
      <c r="I285" s="17"/>
      <c r="J285" s="24" t="str">
        <f t="shared" si="1"/>
        <v/>
      </c>
      <c r="K285" s="17"/>
    </row>
    <row r="286" ht="15.0" customHeight="1">
      <c r="A286" s="19"/>
      <c r="B286" s="15"/>
      <c r="C286" s="26" t="str">
        <f t="array" ref="C286">IFERROR(INDEX('Patrimônio'!$C$7:$C$1003,MATCH($B286,'Patrimônio'!$A$7:$A$1003,0)),"")</f>
        <v/>
      </c>
      <c r="D286" s="26" t="str">
        <f t="array" ref="D286">IFERROR(INDEX('Patrimônio'!$B$7:$B$1003,MATCH($B286,'Patrimônio'!$A$7:$A$1003,0)),"")</f>
        <v/>
      </c>
      <c r="E286" s="17"/>
      <c r="F286" s="18"/>
      <c r="G286" s="19"/>
      <c r="H286" s="15"/>
      <c r="I286" s="17"/>
      <c r="J286" s="24" t="str">
        <f t="shared" si="1"/>
        <v/>
      </c>
      <c r="K286" s="17"/>
    </row>
    <row r="287" ht="15.0" customHeight="1">
      <c r="A287" s="19"/>
      <c r="B287" s="15"/>
      <c r="C287" s="26" t="str">
        <f t="array" ref="C287">IFERROR(INDEX('Patrimônio'!$C$7:$C$1003,MATCH($B287,'Patrimônio'!$A$7:$A$1003,0)),"")</f>
        <v/>
      </c>
      <c r="D287" s="26" t="str">
        <f t="array" ref="D287">IFERROR(INDEX('Patrimônio'!$B$7:$B$1003,MATCH($B287,'Patrimônio'!$A$7:$A$1003,0)),"")</f>
        <v/>
      </c>
      <c r="E287" s="17"/>
      <c r="F287" s="18"/>
      <c r="G287" s="19"/>
      <c r="H287" s="15"/>
      <c r="I287" s="17"/>
      <c r="J287" s="24" t="str">
        <f t="shared" si="1"/>
        <v/>
      </c>
      <c r="K287" s="17"/>
    </row>
    <row r="288" ht="15.0" customHeight="1">
      <c r="A288" s="19"/>
      <c r="B288" s="15"/>
      <c r="C288" s="26" t="str">
        <f t="array" ref="C288">IFERROR(INDEX('Patrimônio'!$C$7:$C$1003,MATCH($B288,'Patrimônio'!$A$7:$A$1003,0)),"")</f>
        <v/>
      </c>
      <c r="D288" s="26" t="str">
        <f t="array" ref="D288">IFERROR(INDEX('Patrimônio'!$B$7:$B$1003,MATCH($B288,'Patrimônio'!$A$7:$A$1003,0)),"")</f>
        <v/>
      </c>
      <c r="E288" s="17"/>
      <c r="F288" s="18"/>
      <c r="G288" s="19"/>
      <c r="H288" s="15"/>
      <c r="I288" s="17"/>
      <c r="J288" s="24" t="str">
        <f t="shared" si="1"/>
        <v/>
      </c>
      <c r="K288" s="17"/>
    </row>
    <row r="289" ht="15.0" customHeight="1">
      <c r="A289" s="19"/>
      <c r="B289" s="15"/>
      <c r="C289" s="26" t="str">
        <f t="array" ref="C289">IFERROR(INDEX('Patrimônio'!$C$7:$C$1003,MATCH($B289,'Patrimônio'!$A$7:$A$1003,0)),"")</f>
        <v/>
      </c>
      <c r="D289" s="26" t="str">
        <f t="array" ref="D289">IFERROR(INDEX('Patrimônio'!$B$7:$B$1003,MATCH($B289,'Patrimônio'!$A$7:$A$1003,0)),"")</f>
        <v/>
      </c>
      <c r="E289" s="17"/>
      <c r="F289" s="18"/>
      <c r="G289" s="19"/>
      <c r="H289" s="15"/>
      <c r="I289" s="17"/>
      <c r="J289" s="24" t="str">
        <f t="shared" si="1"/>
        <v/>
      </c>
      <c r="K289" s="17"/>
    </row>
    <row r="290" ht="15.0" customHeight="1">
      <c r="A290" s="19"/>
      <c r="B290" s="15"/>
      <c r="C290" s="26" t="str">
        <f t="array" ref="C290">IFERROR(INDEX('Patrimônio'!$C$7:$C$1003,MATCH($B290,'Patrimônio'!$A$7:$A$1003,0)),"")</f>
        <v/>
      </c>
      <c r="D290" s="26" t="str">
        <f t="array" ref="D290">IFERROR(INDEX('Patrimônio'!$B$7:$B$1003,MATCH($B290,'Patrimônio'!$A$7:$A$1003,0)),"")</f>
        <v/>
      </c>
      <c r="E290" s="17"/>
      <c r="F290" s="18"/>
      <c r="G290" s="19"/>
      <c r="H290" s="15"/>
      <c r="I290" s="17"/>
      <c r="J290" s="24" t="str">
        <f t="shared" si="1"/>
        <v/>
      </c>
      <c r="K290" s="17"/>
    </row>
    <row r="291" ht="15.0" customHeight="1">
      <c r="A291" s="19"/>
      <c r="B291" s="15"/>
      <c r="C291" s="26" t="str">
        <f t="array" ref="C291">IFERROR(INDEX('Patrimônio'!$C$7:$C$1003,MATCH($B291,'Patrimônio'!$A$7:$A$1003,0)),"")</f>
        <v/>
      </c>
      <c r="D291" s="26" t="str">
        <f t="array" ref="D291">IFERROR(INDEX('Patrimônio'!$B$7:$B$1003,MATCH($B291,'Patrimônio'!$A$7:$A$1003,0)),"")</f>
        <v/>
      </c>
      <c r="E291" s="17"/>
      <c r="F291" s="18"/>
      <c r="G291" s="19"/>
      <c r="H291" s="15"/>
      <c r="I291" s="17"/>
      <c r="J291" s="24" t="str">
        <f t="shared" si="1"/>
        <v/>
      </c>
      <c r="K291" s="17"/>
    </row>
    <row r="292" ht="15.0" customHeight="1">
      <c r="A292" s="19"/>
      <c r="B292" s="15"/>
      <c r="C292" s="26" t="str">
        <f t="array" ref="C292">IFERROR(INDEX('Patrimônio'!$C$7:$C$1003,MATCH($B292,'Patrimônio'!$A$7:$A$1003,0)),"")</f>
        <v/>
      </c>
      <c r="D292" s="26" t="str">
        <f t="array" ref="D292">IFERROR(INDEX('Patrimônio'!$B$7:$B$1003,MATCH($B292,'Patrimônio'!$A$7:$A$1003,0)),"")</f>
        <v/>
      </c>
      <c r="E292" s="17"/>
      <c r="F292" s="18"/>
      <c r="G292" s="19"/>
      <c r="H292" s="15"/>
      <c r="I292" s="17"/>
      <c r="J292" s="24" t="str">
        <f t="shared" si="1"/>
        <v/>
      </c>
      <c r="K292" s="17"/>
    </row>
    <row r="293" ht="15.0" customHeight="1">
      <c r="A293" s="19"/>
      <c r="B293" s="15"/>
      <c r="C293" s="26" t="str">
        <f t="array" ref="C293">IFERROR(INDEX('Patrimônio'!$C$7:$C$1003,MATCH($B293,'Patrimônio'!$A$7:$A$1003,0)),"")</f>
        <v/>
      </c>
      <c r="D293" s="26" t="str">
        <f t="array" ref="D293">IFERROR(INDEX('Patrimônio'!$B$7:$B$1003,MATCH($B293,'Patrimônio'!$A$7:$A$1003,0)),"")</f>
        <v/>
      </c>
      <c r="E293" s="17"/>
      <c r="F293" s="18"/>
      <c r="G293" s="19"/>
      <c r="H293" s="15"/>
      <c r="I293" s="17"/>
      <c r="J293" s="24" t="str">
        <f t="shared" si="1"/>
        <v/>
      </c>
      <c r="K293" s="17"/>
    </row>
    <row r="294" ht="15.0" customHeight="1">
      <c r="A294" s="19"/>
      <c r="B294" s="15"/>
      <c r="C294" s="26" t="str">
        <f t="array" ref="C294">IFERROR(INDEX('Patrimônio'!$C$7:$C$1003,MATCH($B294,'Patrimônio'!$A$7:$A$1003,0)),"")</f>
        <v/>
      </c>
      <c r="D294" s="26" t="str">
        <f t="array" ref="D294">IFERROR(INDEX('Patrimônio'!$B$7:$B$1003,MATCH($B294,'Patrimônio'!$A$7:$A$1003,0)),"")</f>
        <v/>
      </c>
      <c r="E294" s="17"/>
      <c r="F294" s="18"/>
      <c r="G294" s="19"/>
      <c r="H294" s="15"/>
      <c r="I294" s="17"/>
      <c r="J294" s="24" t="str">
        <f t="shared" si="1"/>
        <v/>
      </c>
      <c r="K294" s="17"/>
    </row>
    <row r="295" ht="15.0" customHeight="1">
      <c r="A295" s="19"/>
      <c r="B295" s="15"/>
      <c r="C295" s="26" t="str">
        <f t="array" ref="C295">IFERROR(INDEX('Patrimônio'!$C$7:$C$1003,MATCH($B295,'Patrimônio'!$A$7:$A$1003,0)),"")</f>
        <v/>
      </c>
      <c r="D295" s="26" t="str">
        <f t="array" ref="D295">IFERROR(INDEX('Patrimônio'!$B$7:$B$1003,MATCH($B295,'Patrimônio'!$A$7:$A$1003,0)),"")</f>
        <v/>
      </c>
      <c r="E295" s="17"/>
      <c r="F295" s="18"/>
      <c r="G295" s="19"/>
      <c r="H295" s="15"/>
      <c r="I295" s="17"/>
      <c r="J295" s="24" t="str">
        <f t="shared" si="1"/>
        <v/>
      </c>
      <c r="K295" s="17"/>
    </row>
    <row r="296" ht="15.0" customHeight="1">
      <c r="A296" s="19"/>
      <c r="B296" s="15"/>
      <c r="C296" s="26" t="str">
        <f t="array" ref="C296">IFERROR(INDEX('Patrimônio'!$C$7:$C$1003,MATCH($B296,'Patrimônio'!$A$7:$A$1003,0)),"")</f>
        <v/>
      </c>
      <c r="D296" s="26" t="str">
        <f t="array" ref="D296">IFERROR(INDEX('Patrimônio'!$B$7:$B$1003,MATCH($B296,'Patrimônio'!$A$7:$A$1003,0)),"")</f>
        <v/>
      </c>
      <c r="E296" s="17"/>
      <c r="F296" s="18"/>
      <c r="G296" s="19"/>
      <c r="H296" s="15"/>
      <c r="I296" s="17"/>
      <c r="J296" s="24" t="str">
        <f t="shared" si="1"/>
        <v/>
      </c>
      <c r="K296" s="17"/>
    </row>
    <row r="297" ht="15.0" customHeight="1">
      <c r="A297" s="19"/>
      <c r="B297" s="15"/>
      <c r="C297" s="26" t="str">
        <f t="array" ref="C297">IFERROR(INDEX('Patrimônio'!$C$7:$C$1003,MATCH($B297,'Patrimônio'!$A$7:$A$1003,0)),"")</f>
        <v/>
      </c>
      <c r="D297" s="26" t="str">
        <f t="array" ref="D297">IFERROR(INDEX('Patrimônio'!$B$7:$B$1003,MATCH($B297,'Patrimônio'!$A$7:$A$1003,0)),"")</f>
        <v/>
      </c>
      <c r="E297" s="17"/>
      <c r="F297" s="18"/>
      <c r="G297" s="19"/>
      <c r="H297" s="15"/>
      <c r="I297" s="17"/>
      <c r="J297" s="24" t="str">
        <f t="shared" si="1"/>
        <v/>
      </c>
      <c r="K297" s="17"/>
    </row>
    <row r="298" ht="15.0" customHeight="1">
      <c r="A298" s="19"/>
      <c r="B298" s="15"/>
      <c r="C298" s="26" t="str">
        <f t="array" ref="C298">IFERROR(INDEX('Patrimônio'!$C$7:$C$1003,MATCH($B298,'Patrimônio'!$A$7:$A$1003,0)),"")</f>
        <v/>
      </c>
      <c r="D298" s="26" t="str">
        <f t="array" ref="D298">IFERROR(INDEX('Patrimônio'!$B$7:$B$1003,MATCH($B298,'Patrimônio'!$A$7:$A$1003,0)),"")</f>
        <v/>
      </c>
      <c r="E298" s="17"/>
      <c r="F298" s="18"/>
      <c r="G298" s="19"/>
      <c r="H298" s="15"/>
      <c r="I298" s="17"/>
      <c r="J298" s="24" t="str">
        <f t="shared" si="1"/>
        <v/>
      </c>
      <c r="K298" s="17"/>
    </row>
    <row r="299" ht="15.0" customHeight="1">
      <c r="A299" s="19"/>
      <c r="B299" s="15"/>
      <c r="C299" s="26" t="str">
        <f t="array" ref="C299">IFERROR(INDEX('Patrimônio'!$C$7:$C$1003,MATCH($B299,'Patrimônio'!$A$7:$A$1003,0)),"")</f>
        <v/>
      </c>
      <c r="D299" s="26" t="str">
        <f t="array" ref="D299">IFERROR(INDEX('Patrimônio'!$B$7:$B$1003,MATCH($B299,'Patrimônio'!$A$7:$A$1003,0)),"")</f>
        <v/>
      </c>
      <c r="E299" s="17"/>
      <c r="F299" s="18"/>
      <c r="G299" s="19"/>
      <c r="H299" s="15"/>
      <c r="I299" s="17"/>
      <c r="J299" s="24" t="str">
        <f t="shared" si="1"/>
        <v/>
      </c>
      <c r="K299" s="17"/>
    </row>
    <row r="300" ht="15.0" customHeight="1">
      <c r="A300" s="19"/>
      <c r="B300" s="15"/>
      <c r="C300" s="26" t="str">
        <f t="array" ref="C300">IFERROR(INDEX('Patrimônio'!$C$7:$C$1003,MATCH($B300,'Patrimônio'!$A$7:$A$1003,0)),"")</f>
        <v/>
      </c>
      <c r="D300" s="26" t="str">
        <f t="array" ref="D300">IFERROR(INDEX('Patrimônio'!$B$7:$B$1003,MATCH($B300,'Patrimônio'!$A$7:$A$1003,0)),"")</f>
        <v/>
      </c>
      <c r="E300" s="17"/>
      <c r="F300" s="18"/>
      <c r="G300" s="19"/>
      <c r="H300" s="15"/>
      <c r="I300" s="17"/>
      <c r="J300" s="24" t="str">
        <f t="shared" si="1"/>
        <v/>
      </c>
      <c r="K300" s="17"/>
    </row>
    <row r="301" ht="15.0" customHeight="1">
      <c r="A301" s="19"/>
      <c r="B301" s="15"/>
      <c r="C301" s="26" t="str">
        <f t="array" ref="C301">IFERROR(INDEX('Patrimônio'!$C$7:$C$1003,MATCH($B301,'Patrimônio'!$A$7:$A$1003,0)),"")</f>
        <v/>
      </c>
      <c r="D301" s="26" t="str">
        <f t="array" ref="D301">IFERROR(INDEX('Patrimônio'!$B$7:$B$1003,MATCH($B301,'Patrimônio'!$A$7:$A$1003,0)),"")</f>
        <v/>
      </c>
      <c r="E301" s="17"/>
      <c r="F301" s="18"/>
      <c r="G301" s="19"/>
      <c r="H301" s="15"/>
      <c r="I301" s="17"/>
      <c r="J301" s="24" t="str">
        <f t="shared" si="1"/>
        <v/>
      </c>
      <c r="K301" s="17"/>
    </row>
    <row r="302" ht="15.0" customHeight="1">
      <c r="A302" s="19"/>
      <c r="B302" s="15"/>
      <c r="C302" s="26" t="str">
        <f t="array" ref="C302">IFERROR(INDEX('Patrimônio'!$C$7:$C$1003,MATCH($B302,'Patrimônio'!$A$7:$A$1003,0)),"")</f>
        <v/>
      </c>
      <c r="D302" s="26" t="str">
        <f t="array" ref="D302">IFERROR(INDEX('Patrimônio'!$B$7:$B$1003,MATCH($B302,'Patrimônio'!$A$7:$A$1003,0)),"")</f>
        <v/>
      </c>
      <c r="E302" s="17"/>
      <c r="F302" s="18"/>
      <c r="G302" s="19"/>
      <c r="H302" s="15"/>
      <c r="I302" s="17"/>
      <c r="J302" s="24" t="str">
        <f t="shared" si="1"/>
        <v/>
      </c>
      <c r="K302" s="17"/>
    </row>
    <row r="303" ht="15.0" customHeight="1">
      <c r="A303" s="19"/>
      <c r="B303" s="15"/>
      <c r="C303" s="26" t="str">
        <f t="array" ref="C303">IFERROR(INDEX('Patrimônio'!$C$7:$C$1003,MATCH($B303,'Patrimônio'!$A$7:$A$1003,0)),"")</f>
        <v/>
      </c>
      <c r="D303" s="26" t="str">
        <f t="array" ref="D303">IFERROR(INDEX('Patrimônio'!$B$7:$B$1003,MATCH($B303,'Patrimônio'!$A$7:$A$1003,0)),"")</f>
        <v/>
      </c>
      <c r="E303" s="17"/>
      <c r="F303" s="18"/>
      <c r="G303" s="19"/>
      <c r="H303" s="15"/>
      <c r="I303" s="17"/>
      <c r="J303" s="24" t="str">
        <f t="shared" si="1"/>
        <v/>
      </c>
      <c r="K303" s="17"/>
    </row>
    <row r="304" ht="15.0" customHeight="1">
      <c r="A304" s="19"/>
      <c r="B304" s="15"/>
      <c r="C304" s="26" t="str">
        <f t="array" ref="C304">IFERROR(INDEX('Patrimônio'!$C$7:$C$1003,MATCH($B304,'Patrimônio'!$A$7:$A$1003,0)),"")</f>
        <v/>
      </c>
      <c r="D304" s="26" t="str">
        <f t="array" ref="D304">IFERROR(INDEX('Patrimônio'!$B$7:$B$1003,MATCH($B304,'Patrimônio'!$A$7:$A$1003,0)),"")</f>
        <v/>
      </c>
      <c r="E304" s="17"/>
      <c r="F304" s="18"/>
      <c r="G304" s="19"/>
      <c r="H304" s="15"/>
      <c r="I304" s="17"/>
      <c r="J304" s="24" t="str">
        <f t="shared" si="1"/>
        <v/>
      </c>
      <c r="K304" s="17"/>
    </row>
    <row r="305" ht="15.0" customHeight="1">
      <c r="A305" s="19"/>
      <c r="B305" s="15"/>
      <c r="C305" s="26" t="str">
        <f t="array" ref="C305">IFERROR(INDEX('Patrimônio'!$C$7:$C$1003,MATCH($B305,'Patrimônio'!$A$7:$A$1003,0)),"")</f>
        <v/>
      </c>
      <c r="D305" s="26" t="str">
        <f t="array" ref="D305">IFERROR(INDEX('Patrimônio'!$B$7:$B$1003,MATCH($B305,'Patrimônio'!$A$7:$A$1003,0)),"")</f>
        <v/>
      </c>
      <c r="E305" s="17"/>
      <c r="F305" s="18"/>
      <c r="G305" s="19"/>
      <c r="H305" s="15"/>
      <c r="I305" s="17"/>
      <c r="J305" s="24" t="str">
        <f t="shared" si="1"/>
        <v/>
      </c>
      <c r="K305" s="17"/>
    </row>
    <row r="306" ht="15.0" customHeight="1">
      <c r="A306" s="19"/>
      <c r="B306" s="15"/>
      <c r="C306" s="26" t="str">
        <f t="array" ref="C306">IFERROR(INDEX('Patrimônio'!$C$7:$C$1003,MATCH($B306,'Patrimônio'!$A$7:$A$1003,0)),"")</f>
        <v/>
      </c>
      <c r="D306" s="26" t="str">
        <f t="array" ref="D306">IFERROR(INDEX('Patrimônio'!$B$7:$B$1003,MATCH($B306,'Patrimônio'!$A$7:$A$1003,0)),"")</f>
        <v/>
      </c>
      <c r="E306" s="17"/>
      <c r="F306" s="18"/>
      <c r="G306" s="19"/>
      <c r="H306" s="15"/>
      <c r="I306" s="17"/>
      <c r="J306" s="24" t="str">
        <f t="shared" si="1"/>
        <v/>
      </c>
      <c r="K306" s="17"/>
    </row>
    <row r="307" ht="15.0" customHeight="1">
      <c r="A307" s="19"/>
      <c r="B307" s="15"/>
      <c r="C307" s="26" t="str">
        <f t="array" ref="C307">IFERROR(INDEX('Patrimônio'!$C$7:$C$1003,MATCH($B307,'Patrimônio'!$A$7:$A$1003,0)),"")</f>
        <v/>
      </c>
      <c r="D307" s="26" t="str">
        <f t="array" ref="D307">IFERROR(INDEX('Patrimônio'!$B$7:$B$1003,MATCH($B307,'Patrimônio'!$A$7:$A$1003,0)),"")</f>
        <v/>
      </c>
      <c r="E307" s="17"/>
      <c r="F307" s="18"/>
      <c r="G307" s="19"/>
      <c r="H307" s="15"/>
      <c r="I307" s="17"/>
      <c r="J307" s="24" t="str">
        <f t="shared" si="1"/>
        <v/>
      </c>
      <c r="K307" s="17"/>
    </row>
    <row r="308" ht="15.0" customHeight="1">
      <c r="A308" s="19"/>
      <c r="B308" s="15"/>
      <c r="C308" s="26" t="str">
        <f t="array" ref="C308">IFERROR(INDEX('Patrimônio'!$C$7:$C$1003,MATCH($B308,'Patrimônio'!$A$7:$A$1003,0)),"")</f>
        <v/>
      </c>
      <c r="D308" s="26" t="str">
        <f t="array" ref="D308">IFERROR(INDEX('Patrimônio'!$B$7:$B$1003,MATCH($B308,'Patrimônio'!$A$7:$A$1003,0)),"")</f>
        <v/>
      </c>
      <c r="E308" s="17"/>
      <c r="F308" s="18"/>
      <c r="G308" s="19"/>
      <c r="H308" s="15"/>
      <c r="I308" s="17"/>
      <c r="J308" s="24" t="str">
        <f t="shared" si="1"/>
        <v/>
      </c>
      <c r="K308" s="17"/>
    </row>
    <row r="309" ht="15.0" customHeight="1">
      <c r="A309" s="19"/>
      <c r="B309" s="15"/>
      <c r="C309" s="26" t="str">
        <f t="array" ref="C309">IFERROR(INDEX('Patrimônio'!$C$7:$C$1003,MATCH($B309,'Patrimônio'!$A$7:$A$1003,0)),"")</f>
        <v/>
      </c>
      <c r="D309" s="26" t="str">
        <f t="array" ref="D309">IFERROR(INDEX('Patrimônio'!$B$7:$B$1003,MATCH($B309,'Patrimônio'!$A$7:$A$1003,0)),"")</f>
        <v/>
      </c>
      <c r="E309" s="17"/>
      <c r="F309" s="18"/>
      <c r="G309" s="19"/>
      <c r="H309" s="15"/>
      <c r="I309" s="17"/>
      <c r="J309" s="24" t="str">
        <f t="shared" si="1"/>
        <v/>
      </c>
      <c r="K309" s="17"/>
    </row>
    <row r="310" ht="15.0" customHeight="1">
      <c r="A310" s="19"/>
      <c r="B310" s="15"/>
      <c r="C310" s="26" t="str">
        <f t="array" ref="C310">IFERROR(INDEX('Patrimônio'!$C$7:$C$1003,MATCH($B310,'Patrimônio'!$A$7:$A$1003,0)),"")</f>
        <v/>
      </c>
      <c r="D310" s="26" t="str">
        <f t="array" ref="D310">IFERROR(INDEX('Patrimônio'!$B$7:$B$1003,MATCH($B310,'Patrimônio'!$A$7:$A$1003,0)),"")</f>
        <v/>
      </c>
      <c r="E310" s="17"/>
      <c r="F310" s="18"/>
      <c r="G310" s="19"/>
      <c r="H310" s="15"/>
      <c r="I310" s="17"/>
      <c r="J310" s="24" t="str">
        <f t="shared" si="1"/>
        <v/>
      </c>
      <c r="K310" s="17"/>
    </row>
    <row r="311" ht="15.0" customHeight="1">
      <c r="A311" s="19"/>
      <c r="B311" s="15"/>
      <c r="C311" s="26" t="str">
        <f t="array" ref="C311">IFERROR(INDEX('Patrimônio'!$C$7:$C$1003,MATCH($B311,'Patrimônio'!$A$7:$A$1003,0)),"")</f>
        <v/>
      </c>
      <c r="D311" s="26" t="str">
        <f t="array" ref="D311">IFERROR(INDEX('Patrimônio'!$B$7:$B$1003,MATCH($B311,'Patrimônio'!$A$7:$A$1003,0)),"")</f>
        <v/>
      </c>
      <c r="E311" s="17"/>
      <c r="F311" s="18"/>
      <c r="G311" s="19"/>
      <c r="H311" s="15"/>
      <c r="I311" s="17"/>
      <c r="J311" s="24" t="str">
        <f t="shared" si="1"/>
        <v/>
      </c>
      <c r="K311" s="17"/>
    </row>
    <row r="312" ht="15.0" customHeight="1">
      <c r="A312" s="19"/>
      <c r="B312" s="15"/>
      <c r="C312" s="26" t="str">
        <f t="array" ref="C312">IFERROR(INDEX('Patrimônio'!$C$7:$C$1003,MATCH($B312,'Patrimônio'!$A$7:$A$1003,0)),"")</f>
        <v/>
      </c>
      <c r="D312" s="26" t="str">
        <f t="array" ref="D312">IFERROR(INDEX('Patrimônio'!$B$7:$B$1003,MATCH($B312,'Patrimônio'!$A$7:$A$1003,0)),"")</f>
        <v/>
      </c>
      <c r="E312" s="17"/>
      <c r="F312" s="18"/>
      <c r="G312" s="19"/>
      <c r="H312" s="15"/>
      <c r="I312" s="17"/>
      <c r="J312" s="24" t="str">
        <f t="shared" si="1"/>
        <v/>
      </c>
      <c r="K312" s="17"/>
    </row>
    <row r="313" ht="15.0" customHeight="1">
      <c r="A313" s="19"/>
      <c r="B313" s="15"/>
      <c r="C313" s="26" t="str">
        <f t="array" ref="C313">IFERROR(INDEX('Patrimônio'!$C$7:$C$1003,MATCH($B313,'Patrimônio'!$A$7:$A$1003,0)),"")</f>
        <v/>
      </c>
      <c r="D313" s="26" t="str">
        <f t="array" ref="D313">IFERROR(INDEX('Patrimônio'!$B$7:$B$1003,MATCH($B313,'Patrimônio'!$A$7:$A$1003,0)),"")</f>
        <v/>
      </c>
      <c r="E313" s="17"/>
      <c r="F313" s="18"/>
      <c r="G313" s="19"/>
      <c r="H313" s="15"/>
      <c r="I313" s="17"/>
      <c r="J313" s="24" t="str">
        <f t="shared" si="1"/>
        <v/>
      </c>
      <c r="K313" s="17"/>
    </row>
    <row r="314" ht="15.0" customHeight="1">
      <c r="A314" s="19"/>
      <c r="B314" s="15"/>
      <c r="C314" s="26" t="str">
        <f t="array" ref="C314">IFERROR(INDEX('Patrimônio'!$C$7:$C$1003,MATCH($B314,'Patrimônio'!$A$7:$A$1003,0)),"")</f>
        <v/>
      </c>
      <c r="D314" s="26" t="str">
        <f t="array" ref="D314">IFERROR(INDEX('Patrimônio'!$B$7:$B$1003,MATCH($B314,'Patrimônio'!$A$7:$A$1003,0)),"")</f>
        <v/>
      </c>
      <c r="E314" s="17"/>
      <c r="F314" s="18"/>
      <c r="G314" s="19"/>
      <c r="H314" s="15"/>
      <c r="I314" s="17"/>
      <c r="J314" s="24" t="str">
        <f t="shared" si="1"/>
        <v/>
      </c>
      <c r="K314" s="17"/>
    </row>
    <row r="315" ht="15.0" customHeight="1">
      <c r="A315" s="19"/>
      <c r="B315" s="15"/>
      <c r="C315" s="26" t="str">
        <f t="array" ref="C315">IFERROR(INDEX('Patrimônio'!$C$7:$C$1003,MATCH($B315,'Patrimônio'!$A$7:$A$1003,0)),"")</f>
        <v/>
      </c>
      <c r="D315" s="26" t="str">
        <f t="array" ref="D315">IFERROR(INDEX('Patrimônio'!$B$7:$B$1003,MATCH($B315,'Patrimônio'!$A$7:$A$1003,0)),"")</f>
        <v/>
      </c>
      <c r="E315" s="17"/>
      <c r="F315" s="18"/>
      <c r="G315" s="19"/>
      <c r="H315" s="15"/>
      <c r="I315" s="17"/>
      <c r="J315" s="24" t="str">
        <f t="shared" si="1"/>
        <v/>
      </c>
      <c r="K315" s="17"/>
    </row>
    <row r="316" ht="15.0" customHeight="1">
      <c r="A316" s="19"/>
      <c r="B316" s="15"/>
      <c r="C316" s="26" t="str">
        <f t="array" ref="C316">IFERROR(INDEX('Patrimônio'!$C$7:$C$1003,MATCH($B316,'Patrimônio'!$A$7:$A$1003,0)),"")</f>
        <v/>
      </c>
      <c r="D316" s="26" t="str">
        <f t="array" ref="D316">IFERROR(INDEX('Patrimônio'!$B$7:$B$1003,MATCH($B316,'Patrimônio'!$A$7:$A$1003,0)),"")</f>
        <v/>
      </c>
      <c r="E316" s="17"/>
      <c r="F316" s="18"/>
      <c r="G316" s="19"/>
      <c r="H316" s="15"/>
      <c r="I316" s="17"/>
      <c r="J316" s="24" t="str">
        <f t="shared" si="1"/>
        <v/>
      </c>
      <c r="K316" s="17"/>
    </row>
    <row r="317" ht="15.0" customHeight="1">
      <c r="A317" s="19"/>
      <c r="B317" s="15"/>
      <c r="C317" s="26" t="str">
        <f t="array" ref="C317">IFERROR(INDEX('Patrimônio'!$C$7:$C$1003,MATCH($B317,'Patrimônio'!$A$7:$A$1003,0)),"")</f>
        <v/>
      </c>
      <c r="D317" s="26" t="str">
        <f t="array" ref="D317">IFERROR(INDEX('Patrimônio'!$B$7:$B$1003,MATCH($B317,'Patrimônio'!$A$7:$A$1003,0)),"")</f>
        <v/>
      </c>
      <c r="E317" s="17"/>
      <c r="F317" s="18"/>
      <c r="G317" s="19"/>
      <c r="H317" s="15"/>
      <c r="I317" s="17"/>
      <c r="J317" s="24" t="str">
        <f t="shared" si="1"/>
        <v/>
      </c>
      <c r="K317" s="17"/>
    </row>
    <row r="318" ht="15.0" customHeight="1">
      <c r="A318" s="19"/>
      <c r="B318" s="15"/>
      <c r="C318" s="26" t="str">
        <f t="array" ref="C318">IFERROR(INDEX('Patrimônio'!$C$7:$C$1003,MATCH($B318,'Patrimônio'!$A$7:$A$1003,0)),"")</f>
        <v/>
      </c>
      <c r="D318" s="26" t="str">
        <f t="array" ref="D318">IFERROR(INDEX('Patrimônio'!$B$7:$B$1003,MATCH($B318,'Patrimônio'!$A$7:$A$1003,0)),"")</f>
        <v/>
      </c>
      <c r="E318" s="17"/>
      <c r="F318" s="18"/>
      <c r="G318" s="19"/>
      <c r="H318" s="15"/>
      <c r="I318" s="17"/>
      <c r="J318" s="24" t="str">
        <f t="shared" si="1"/>
        <v/>
      </c>
      <c r="K318" s="17"/>
    </row>
    <row r="319" ht="15.0" customHeight="1">
      <c r="A319" s="19"/>
      <c r="B319" s="15"/>
      <c r="C319" s="26" t="str">
        <f t="array" ref="C319">IFERROR(INDEX('Patrimônio'!$C$7:$C$1003,MATCH($B319,'Patrimônio'!$A$7:$A$1003,0)),"")</f>
        <v/>
      </c>
      <c r="D319" s="26" t="str">
        <f t="array" ref="D319">IFERROR(INDEX('Patrimônio'!$B$7:$B$1003,MATCH($B319,'Patrimônio'!$A$7:$A$1003,0)),"")</f>
        <v/>
      </c>
      <c r="E319" s="17"/>
      <c r="F319" s="18"/>
      <c r="G319" s="19"/>
      <c r="H319" s="15"/>
      <c r="I319" s="17"/>
      <c r="J319" s="24" t="str">
        <f t="shared" si="1"/>
        <v/>
      </c>
      <c r="K319" s="17"/>
    </row>
    <row r="320" ht="15.0" customHeight="1">
      <c r="A320" s="19"/>
      <c r="B320" s="15"/>
      <c r="C320" s="26" t="str">
        <f t="array" ref="C320">IFERROR(INDEX('Patrimônio'!$C$7:$C$1003,MATCH($B320,'Patrimônio'!$A$7:$A$1003,0)),"")</f>
        <v/>
      </c>
      <c r="D320" s="26" t="str">
        <f t="array" ref="D320">IFERROR(INDEX('Patrimônio'!$B$7:$B$1003,MATCH($B320,'Patrimônio'!$A$7:$A$1003,0)),"")</f>
        <v/>
      </c>
      <c r="E320" s="17"/>
      <c r="F320" s="18"/>
      <c r="G320" s="19"/>
      <c r="H320" s="15"/>
      <c r="I320" s="17"/>
      <c r="J320" s="24" t="str">
        <f t="shared" si="1"/>
        <v/>
      </c>
      <c r="K320" s="17"/>
    </row>
    <row r="321" ht="15.0" customHeight="1">
      <c r="A321" s="19"/>
      <c r="B321" s="15"/>
      <c r="C321" s="26" t="str">
        <f t="array" ref="C321">IFERROR(INDEX('Patrimônio'!$C$7:$C$1003,MATCH($B321,'Patrimônio'!$A$7:$A$1003,0)),"")</f>
        <v/>
      </c>
      <c r="D321" s="26" t="str">
        <f t="array" ref="D321">IFERROR(INDEX('Patrimônio'!$B$7:$B$1003,MATCH($B321,'Patrimônio'!$A$7:$A$1003,0)),"")</f>
        <v/>
      </c>
      <c r="E321" s="17"/>
      <c r="F321" s="18"/>
      <c r="G321" s="19"/>
      <c r="H321" s="15"/>
      <c r="I321" s="17"/>
      <c r="J321" s="24" t="str">
        <f t="shared" si="1"/>
        <v/>
      </c>
      <c r="K321" s="17"/>
    </row>
    <row r="322" ht="15.0" customHeight="1">
      <c r="A322" s="19"/>
      <c r="B322" s="15"/>
      <c r="C322" s="26" t="str">
        <f t="array" ref="C322">IFERROR(INDEX('Patrimônio'!$C$7:$C$1003,MATCH($B322,'Patrimônio'!$A$7:$A$1003,0)),"")</f>
        <v/>
      </c>
      <c r="D322" s="26" t="str">
        <f t="array" ref="D322">IFERROR(INDEX('Patrimônio'!$B$7:$B$1003,MATCH($B322,'Patrimônio'!$A$7:$A$1003,0)),"")</f>
        <v/>
      </c>
      <c r="E322" s="17"/>
      <c r="F322" s="18"/>
      <c r="G322" s="19"/>
      <c r="H322" s="15"/>
      <c r="I322" s="17"/>
      <c r="J322" s="24" t="str">
        <f t="shared" si="1"/>
        <v/>
      </c>
      <c r="K322" s="17"/>
    </row>
    <row r="323" ht="15.0" customHeight="1">
      <c r="A323" s="19"/>
      <c r="B323" s="15"/>
      <c r="C323" s="26" t="str">
        <f t="array" ref="C323">IFERROR(INDEX('Patrimônio'!$C$7:$C$1003,MATCH($B323,'Patrimônio'!$A$7:$A$1003,0)),"")</f>
        <v/>
      </c>
      <c r="D323" s="26" t="str">
        <f t="array" ref="D323">IFERROR(INDEX('Patrimônio'!$B$7:$B$1003,MATCH($B323,'Patrimônio'!$A$7:$A$1003,0)),"")</f>
        <v/>
      </c>
      <c r="E323" s="17"/>
      <c r="F323" s="18"/>
      <c r="G323" s="19"/>
      <c r="H323" s="15"/>
      <c r="I323" s="17"/>
      <c r="J323" s="24" t="str">
        <f t="shared" si="1"/>
        <v/>
      </c>
      <c r="K323" s="17"/>
    </row>
    <row r="324" ht="15.0" customHeight="1">
      <c r="A324" s="19"/>
      <c r="B324" s="15"/>
      <c r="C324" s="26" t="str">
        <f t="array" ref="C324">IFERROR(INDEX('Patrimônio'!$C$7:$C$1003,MATCH($B324,'Patrimônio'!$A$7:$A$1003,0)),"")</f>
        <v/>
      </c>
      <c r="D324" s="26" t="str">
        <f t="array" ref="D324">IFERROR(INDEX('Patrimônio'!$B$7:$B$1003,MATCH($B324,'Patrimônio'!$A$7:$A$1003,0)),"")</f>
        <v/>
      </c>
      <c r="E324" s="17"/>
      <c r="F324" s="18"/>
      <c r="G324" s="19"/>
      <c r="H324" s="15"/>
      <c r="I324" s="17"/>
      <c r="J324" s="24" t="str">
        <f t="shared" si="1"/>
        <v/>
      </c>
      <c r="K324" s="17"/>
    </row>
    <row r="325" ht="15.0" customHeight="1">
      <c r="A325" s="19"/>
      <c r="B325" s="15"/>
      <c r="C325" s="26" t="str">
        <f t="array" ref="C325">IFERROR(INDEX('Patrimônio'!$C$7:$C$1003,MATCH($B325,'Patrimônio'!$A$7:$A$1003,0)),"")</f>
        <v/>
      </c>
      <c r="D325" s="26" t="str">
        <f t="array" ref="D325">IFERROR(INDEX('Patrimônio'!$B$7:$B$1003,MATCH($B325,'Patrimônio'!$A$7:$A$1003,0)),"")</f>
        <v/>
      </c>
      <c r="E325" s="17"/>
      <c r="F325" s="18"/>
      <c r="G325" s="19"/>
      <c r="H325" s="15"/>
      <c r="I325" s="17"/>
      <c r="J325" s="24" t="str">
        <f t="shared" si="1"/>
        <v/>
      </c>
      <c r="K325" s="17"/>
    </row>
    <row r="326" ht="15.0" customHeight="1">
      <c r="A326" s="19"/>
      <c r="B326" s="15"/>
      <c r="C326" s="26" t="str">
        <f t="array" ref="C326">IFERROR(INDEX('Patrimônio'!$C$7:$C$1003,MATCH($B326,'Patrimônio'!$A$7:$A$1003,0)),"")</f>
        <v/>
      </c>
      <c r="D326" s="26" t="str">
        <f t="array" ref="D326">IFERROR(INDEX('Patrimônio'!$B$7:$B$1003,MATCH($B326,'Patrimônio'!$A$7:$A$1003,0)),"")</f>
        <v/>
      </c>
      <c r="E326" s="17"/>
      <c r="F326" s="18"/>
      <c r="G326" s="19"/>
      <c r="H326" s="15"/>
      <c r="I326" s="17"/>
      <c r="J326" s="24" t="str">
        <f t="shared" si="1"/>
        <v/>
      </c>
      <c r="K326" s="17"/>
    </row>
    <row r="327" ht="15.0" customHeight="1">
      <c r="A327" s="19"/>
      <c r="B327" s="15"/>
      <c r="C327" s="26" t="str">
        <f t="array" ref="C327">IFERROR(INDEX('Patrimônio'!$C$7:$C$1003,MATCH($B327,'Patrimônio'!$A$7:$A$1003,0)),"")</f>
        <v/>
      </c>
      <c r="D327" s="26" t="str">
        <f t="array" ref="D327">IFERROR(INDEX('Patrimônio'!$B$7:$B$1003,MATCH($B327,'Patrimônio'!$A$7:$A$1003,0)),"")</f>
        <v/>
      </c>
      <c r="E327" s="17"/>
      <c r="F327" s="18"/>
      <c r="G327" s="19"/>
      <c r="H327" s="15"/>
      <c r="I327" s="17"/>
      <c r="J327" s="24" t="str">
        <f t="shared" si="1"/>
        <v/>
      </c>
      <c r="K327" s="17"/>
    </row>
    <row r="328" ht="15.0" customHeight="1">
      <c r="A328" s="19"/>
      <c r="B328" s="15"/>
      <c r="C328" s="26" t="str">
        <f t="array" ref="C328">IFERROR(INDEX('Patrimônio'!$C$7:$C$1003,MATCH($B328,'Patrimônio'!$A$7:$A$1003,0)),"")</f>
        <v/>
      </c>
      <c r="D328" s="26" t="str">
        <f t="array" ref="D328">IFERROR(INDEX('Patrimônio'!$B$7:$B$1003,MATCH($B328,'Patrimônio'!$A$7:$A$1003,0)),"")</f>
        <v/>
      </c>
      <c r="E328" s="17"/>
      <c r="F328" s="18"/>
      <c r="G328" s="19"/>
      <c r="H328" s="15"/>
      <c r="I328" s="17"/>
      <c r="J328" s="24" t="str">
        <f t="shared" si="1"/>
        <v/>
      </c>
      <c r="K328" s="17"/>
    </row>
    <row r="329" ht="15.0" customHeight="1">
      <c r="A329" s="19"/>
      <c r="B329" s="15"/>
      <c r="C329" s="26" t="str">
        <f t="array" ref="C329">IFERROR(INDEX('Patrimônio'!$C$7:$C$1003,MATCH($B329,'Patrimônio'!$A$7:$A$1003,0)),"")</f>
        <v/>
      </c>
      <c r="D329" s="26" t="str">
        <f t="array" ref="D329">IFERROR(INDEX('Patrimônio'!$B$7:$B$1003,MATCH($B329,'Patrimônio'!$A$7:$A$1003,0)),"")</f>
        <v/>
      </c>
      <c r="E329" s="17"/>
      <c r="F329" s="18"/>
      <c r="G329" s="19"/>
      <c r="H329" s="15"/>
      <c r="I329" s="17"/>
      <c r="J329" s="24" t="str">
        <f t="shared" si="1"/>
        <v/>
      </c>
      <c r="K329" s="17"/>
    </row>
    <row r="330" ht="15.0" customHeight="1">
      <c r="A330" s="19"/>
      <c r="B330" s="15"/>
      <c r="C330" s="26" t="str">
        <f t="array" ref="C330">IFERROR(INDEX('Patrimônio'!$C$7:$C$1003,MATCH($B330,'Patrimônio'!$A$7:$A$1003,0)),"")</f>
        <v/>
      </c>
      <c r="D330" s="26" t="str">
        <f t="array" ref="D330">IFERROR(INDEX('Patrimônio'!$B$7:$B$1003,MATCH($B330,'Patrimônio'!$A$7:$A$1003,0)),"")</f>
        <v/>
      </c>
      <c r="E330" s="17"/>
      <c r="F330" s="18"/>
      <c r="G330" s="19"/>
      <c r="H330" s="15"/>
      <c r="I330" s="17"/>
      <c r="J330" s="24" t="str">
        <f t="shared" si="1"/>
        <v/>
      </c>
      <c r="K330" s="17"/>
    </row>
    <row r="331" ht="15.0" customHeight="1">
      <c r="A331" s="19"/>
      <c r="B331" s="15"/>
      <c r="C331" s="26" t="str">
        <f t="array" ref="C331">IFERROR(INDEX('Patrimônio'!$C$7:$C$1003,MATCH($B331,'Patrimônio'!$A$7:$A$1003,0)),"")</f>
        <v/>
      </c>
      <c r="D331" s="26" t="str">
        <f t="array" ref="D331">IFERROR(INDEX('Patrimônio'!$B$7:$B$1003,MATCH($B331,'Patrimônio'!$A$7:$A$1003,0)),"")</f>
        <v/>
      </c>
      <c r="E331" s="17"/>
      <c r="F331" s="18"/>
      <c r="G331" s="19"/>
      <c r="H331" s="15"/>
      <c r="I331" s="17"/>
      <c r="J331" s="24" t="str">
        <f t="shared" si="1"/>
        <v/>
      </c>
      <c r="K331" s="17"/>
    </row>
    <row r="332" ht="15.0" customHeight="1">
      <c r="A332" s="19"/>
      <c r="B332" s="15"/>
      <c r="C332" s="26" t="str">
        <f t="array" ref="C332">IFERROR(INDEX('Patrimônio'!$C$7:$C$1003,MATCH($B332,'Patrimônio'!$A$7:$A$1003,0)),"")</f>
        <v/>
      </c>
      <c r="D332" s="26" t="str">
        <f t="array" ref="D332">IFERROR(INDEX('Patrimônio'!$B$7:$B$1003,MATCH($B332,'Patrimônio'!$A$7:$A$1003,0)),"")</f>
        <v/>
      </c>
      <c r="E332" s="17"/>
      <c r="F332" s="18"/>
      <c r="G332" s="19"/>
      <c r="H332" s="15"/>
      <c r="I332" s="17"/>
      <c r="J332" s="24" t="str">
        <f t="shared" si="1"/>
        <v/>
      </c>
      <c r="K332" s="17"/>
    </row>
    <row r="333" ht="15.0" customHeight="1">
      <c r="A333" s="19"/>
      <c r="B333" s="15"/>
      <c r="C333" s="26" t="str">
        <f t="array" ref="C333">IFERROR(INDEX('Patrimônio'!$C$7:$C$1003,MATCH($B333,'Patrimônio'!$A$7:$A$1003,0)),"")</f>
        <v/>
      </c>
      <c r="D333" s="26" t="str">
        <f t="array" ref="D333">IFERROR(INDEX('Patrimônio'!$B$7:$B$1003,MATCH($B333,'Patrimônio'!$A$7:$A$1003,0)),"")</f>
        <v/>
      </c>
      <c r="E333" s="17"/>
      <c r="F333" s="18"/>
      <c r="G333" s="19"/>
      <c r="H333" s="15"/>
      <c r="I333" s="17"/>
      <c r="J333" s="24" t="str">
        <f t="shared" si="1"/>
        <v/>
      </c>
      <c r="K333" s="17"/>
    </row>
    <row r="334" ht="15.0" customHeight="1">
      <c r="A334" s="19"/>
      <c r="B334" s="15"/>
      <c r="C334" s="26" t="str">
        <f t="array" ref="C334">IFERROR(INDEX('Patrimônio'!$C$7:$C$1003,MATCH($B334,'Patrimônio'!$A$7:$A$1003,0)),"")</f>
        <v/>
      </c>
      <c r="D334" s="26" t="str">
        <f t="array" ref="D334">IFERROR(INDEX('Patrimônio'!$B$7:$B$1003,MATCH($B334,'Patrimônio'!$A$7:$A$1003,0)),"")</f>
        <v/>
      </c>
      <c r="E334" s="17"/>
      <c r="F334" s="18"/>
      <c r="G334" s="19"/>
      <c r="H334" s="15"/>
      <c r="I334" s="17"/>
      <c r="J334" s="24" t="str">
        <f t="shared" si="1"/>
        <v/>
      </c>
      <c r="K334" s="17"/>
    </row>
    <row r="335" ht="15.0" customHeight="1">
      <c r="A335" s="19"/>
      <c r="B335" s="15"/>
      <c r="C335" s="26" t="str">
        <f t="array" ref="C335">IFERROR(INDEX('Patrimônio'!$C$7:$C$1003,MATCH($B335,'Patrimônio'!$A$7:$A$1003,0)),"")</f>
        <v/>
      </c>
      <c r="D335" s="26" t="str">
        <f t="array" ref="D335">IFERROR(INDEX('Patrimônio'!$B$7:$B$1003,MATCH($B335,'Patrimônio'!$A$7:$A$1003,0)),"")</f>
        <v/>
      </c>
      <c r="E335" s="17"/>
      <c r="F335" s="18"/>
      <c r="G335" s="19"/>
      <c r="H335" s="15"/>
      <c r="I335" s="17"/>
      <c r="J335" s="24" t="str">
        <f t="shared" si="1"/>
        <v/>
      </c>
      <c r="K335" s="17"/>
    </row>
    <row r="336" ht="15.0" customHeight="1">
      <c r="A336" s="19"/>
      <c r="B336" s="15"/>
      <c r="C336" s="26" t="str">
        <f t="array" ref="C336">IFERROR(INDEX('Patrimônio'!$C$7:$C$1003,MATCH($B336,'Patrimônio'!$A$7:$A$1003,0)),"")</f>
        <v/>
      </c>
      <c r="D336" s="26" t="str">
        <f t="array" ref="D336">IFERROR(INDEX('Patrimônio'!$B$7:$B$1003,MATCH($B336,'Patrimônio'!$A$7:$A$1003,0)),"")</f>
        <v/>
      </c>
      <c r="E336" s="17"/>
      <c r="F336" s="18"/>
      <c r="G336" s="19"/>
      <c r="H336" s="15"/>
      <c r="I336" s="17"/>
      <c r="J336" s="24" t="str">
        <f t="shared" si="1"/>
        <v/>
      </c>
      <c r="K336" s="17"/>
    </row>
    <row r="337" ht="15.0" customHeight="1">
      <c r="A337" s="19"/>
      <c r="B337" s="15"/>
      <c r="C337" s="26" t="str">
        <f t="array" ref="C337">IFERROR(INDEX('Patrimônio'!$C$7:$C$1003,MATCH($B337,'Patrimônio'!$A$7:$A$1003,0)),"")</f>
        <v/>
      </c>
      <c r="D337" s="26" t="str">
        <f t="array" ref="D337">IFERROR(INDEX('Patrimônio'!$B$7:$B$1003,MATCH($B337,'Patrimônio'!$A$7:$A$1003,0)),"")</f>
        <v/>
      </c>
      <c r="E337" s="17"/>
      <c r="F337" s="18"/>
      <c r="G337" s="19"/>
      <c r="H337" s="15"/>
      <c r="I337" s="17"/>
      <c r="J337" s="24" t="str">
        <f t="shared" si="1"/>
        <v/>
      </c>
      <c r="K337" s="17"/>
    </row>
    <row r="338" ht="15.0" customHeight="1">
      <c r="A338" s="19"/>
      <c r="B338" s="15"/>
      <c r="C338" s="26" t="str">
        <f t="array" ref="C338">IFERROR(INDEX('Patrimônio'!$C$7:$C$1003,MATCH($B338,'Patrimônio'!$A$7:$A$1003,0)),"")</f>
        <v/>
      </c>
      <c r="D338" s="26" t="str">
        <f t="array" ref="D338">IFERROR(INDEX('Patrimônio'!$B$7:$B$1003,MATCH($B338,'Patrimônio'!$A$7:$A$1003,0)),"")</f>
        <v/>
      </c>
      <c r="E338" s="17"/>
      <c r="F338" s="18"/>
      <c r="G338" s="19"/>
      <c r="H338" s="15"/>
      <c r="I338" s="17"/>
      <c r="J338" s="24" t="str">
        <f t="shared" si="1"/>
        <v/>
      </c>
      <c r="K338" s="17"/>
    </row>
    <row r="339" ht="15.0" customHeight="1">
      <c r="A339" s="19"/>
      <c r="B339" s="15"/>
      <c r="C339" s="26" t="str">
        <f t="array" ref="C339">IFERROR(INDEX('Patrimônio'!$C$7:$C$1003,MATCH($B339,'Patrimônio'!$A$7:$A$1003,0)),"")</f>
        <v/>
      </c>
      <c r="D339" s="26" t="str">
        <f t="array" ref="D339">IFERROR(INDEX('Patrimônio'!$B$7:$B$1003,MATCH($B339,'Patrimônio'!$A$7:$A$1003,0)),"")</f>
        <v/>
      </c>
      <c r="E339" s="17"/>
      <c r="F339" s="18"/>
      <c r="G339" s="19"/>
      <c r="H339" s="15"/>
      <c r="I339" s="17"/>
      <c r="J339" s="24" t="str">
        <f t="shared" si="1"/>
        <v/>
      </c>
      <c r="K339" s="17"/>
    </row>
    <row r="340" ht="15.0" customHeight="1">
      <c r="A340" s="19"/>
      <c r="B340" s="15"/>
      <c r="C340" s="26" t="str">
        <f t="array" ref="C340">IFERROR(INDEX('Patrimônio'!$C$7:$C$1003,MATCH($B340,'Patrimônio'!$A$7:$A$1003,0)),"")</f>
        <v/>
      </c>
      <c r="D340" s="26" t="str">
        <f t="array" ref="D340">IFERROR(INDEX('Patrimônio'!$B$7:$B$1003,MATCH($B340,'Patrimônio'!$A$7:$A$1003,0)),"")</f>
        <v/>
      </c>
      <c r="E340" s="17"/>
      <c r="F340" s="18"/>
      <c r="G340" s="19"/>
      <c r="H340" s="15"/>
      <c r="I340" s="17"/>
      <c r="J340" s="24" t="str">
        <f t="shared" si="1"/>
        <v/>
      </c>
      <c r="K340" s="17"/>
    </row>
    <row r="341" ht="15.0" customHeight="1">
      <c r="A341" s="19"/>
      <c r="B341" s="15"/>
      <c r="C341" s="26" t="str">
        <f t="array" ref="C341">IFERROR(INDEX('Patrimônio'!$C$7:$C$1003,MATCH($B341,'Patrimônio'!$A$7:$A$1003,0)),"")</f>
        <v/>
      </c>
      <c r="D341" s="26" t="str">
        <f t="array" ref="D341">IFERROR(INDEX('Patrimônio'!$B$7:$B$1003,MATCH($B341,'Patrimônio'!$A$7:$A$1003,0)),"")</f>
        <v/>
      </c>
      <c r="E341" s="17"/>
      <c r="F341" s="18"/>
      <c r="G341" s="19"/>
      <c r="H341" s="15"/>
      <c r="I341" s="17"/>
      <c r="J341" s="24" t="str">
        <f t="shared" si="1"/>
        <v/>
      </c>
      <c r="K341" s="17"/>
    </row>
    <row r="342" ht="15.0" customHeight="1">
      <c r="A342" s="19"/>
      <c r="B342" s="15"/>
      <c r="C342" s="26" t="str">
        <f t="array" ref="C342">IFERROR(INDEX('Patrimônio'!$C$7:$C$1003,MATCH($B342,'Patrimônio'!$A$7:$A$1003,0)),"")</f>
        <v/>
      </c>
      <c r="D342" s="26" t="str">
        <f t="array" ref="D342">IFERROR(INDEX('Patrimônio'!$B$7:$B$1003,MATCH($B342,'Patrimônio'!$A$7:$A$1003,0)),"")</f>
        <v/>
      </c>
      <c r="E342" s="17"/>
      <c r="F342" s="18"/>
      <c r="G342" s="19"/>
      <c r="H342" s="15"/>
      <c r="I342" s="17"/>
      <c r="J342" s="24" t="str">
        <f t="shared" si="1"/>
        <v/>
      </c>
      <c r="K342" s="17"/>
    </row>
    <row r="343" ht="15.0" customHeight="1">
      <c r="A343" s="19"/>
      <c r="B343" s="15"/>
      <c r="C343" s="26" t="str">
        <f t="array" ref="C343">IFERROR(INDEX('Patrimônio'!$C$7:$C$1003,MATCH($B343,'Patrimônio'!$A$7:$A$1003,0)),"")</f>
        <v/>
      </c>
      <c r="D343" s="26" t="str">
        <f t="array" ref="D343">IFERROR(INDEX('Patrimônio'!$B$7:$B$1003,MATCH($B343,'Patrimônio'!$A$7:$A$1003,0)),"")</f>
        <v/>
      </c>
      <c r="E343" s="17"/>
      <c r="F343" s="18"/>
      <c r="G343" s="19"/>
      <c r="H343" s="15"/>
      <c r="I343" s="17"/>
      <c r="J343" s="24" t="str">
        <f t="shared" si="1"/>
        <v/>
      </c>
      <c r="K343" s="17"/>
    </row>
    <row r="344" ht="15.0" customHeight="1">
      <c r="A344" s="19"/>
      <c r="B344" s="15"/>
      <c r="C344" s="26" t="str">
        <f t="array" ref="C344">IFERROR(INDEX('Patrimônio'!$C$7:$C$1003,MATCH($B344,'Patrimônio'!$A$7:$A$1003,0)),"")</f>
        <v/>
      </c>
      <c r="D344" s="26" t="str">
        <f t="array" ref="D344">IFERROR(INDEX('Patrimônio'!$B$7:$B$1003,MATCH($B344,'Patrimônio'!$A$7:$A$1003,0)),"")</f>
        <v/>
      </c>
      <c r="E344" s="17"/>
      <c r="F344" s="18"/>
      <c r="G344" s="19"/>
      <c r="H344" s="15"/>
      <c r="I344" s="17"/>
      <c r="J344" s="24" t="str">
        <f t="shared" si="1"/>
        <v/>
      </c>
      <c r="K344" s="17"/>
    </row>
    <row r="345" ht="15.0" customHeight="1">
      <c r="A345" s="19"/>
      <c r="B345" s="15"/>
      <c r="C345" s="26" t="str">
        <f t="array" ref="C345">IFERROR(INDEX('Patrimônio'!$C$7:$C$1003,MATCH($B345,'Patrimônio'!$A$7:$A$1003,0)),"")</f>
        <v/>
      </c>
      <c r="D345" s="26" t="str">
        <f t="array" ref="D345">IFERROR(INDEX('Patrimônio'!$B$7:$B$1003,MATCH($B345,'Patrimônio'!$A$7:$A$1003,0)),"")</f>
        <v/>
      </c>
      <c r="E345" s="17"/>
      <c r="F345" s="18"/>
      <c r="G345" s="19"/>
      <c r="H345" s="15"/>
      <c r="I345" s="17"/>
      <c r="J345" s="24" t="str">
        <f t="shared" si="1"/>
        <v/>
      </c>
      <c r="K345" s="17"/>
    </row>
    <row r="346" ht="15.0" customHeight="1">
      <c r="A346" s="19"/>
      <c r="B346" s="15"/>
      <c r="C346" s="26" t="str">
        <f t="array" ref="C346">IFERROR(INDEX('Patrimônio'!$C$7:$C$1003,MATCH($B346,'Patrimônio'!$A$7:$A$1003,0)),"")</f>
        <v/>
      </c>
      <c r="D346" s="26" t="str">
        <f t="array" ref="D346">IFERROR(INDEX('Patrimônio'!$B$7:$B$1003,MATCH($B346,'Patrimônio'!$A$7:$A$1003,0)),"")</f>
        <v/>
      </c>
      <c r="E346" s="17"/>
      <c r="F346" s="18"/>
      <c r="G346" s="19"/>
      <c r="H346" s="15"/>
      <c r="I346" s="17"/>
      <c r="J346" s="24" t="str">
        <f t="shared" si="1"/>
        <v/>
      </c>
      <c r="K346" s="17"/>
    </row>
    <row r="347" ht="15.0" customHeight="1">
      <c r="A347" s="19"/>
      <c r="B347" s="15"/>
      <c r="C347" s="26" t="str">
        <f t="array" ref="C347">IFERROR(INDEX('Patrimônio'!$C$7:$C$1003,MATCH($B347,'Patrimônio'!$A$7:$A$1003,0)),"")</f>
        <v/>
      </c>
      <c r="D347" s="26" t="str">
        <f t="array" ref="D347">IFERROR(INDEX('Patrimônio'!$B$7:$B$1003,MATCH($B347,'Patrimônio'!$A$7:$A$1003,0)),"")</f>
        <v/>
      </c>
      <c r="E347" s="17"/>
      <c r="F347" s="18"/>
      <c r="G347" s="19"/>
      <c r="H347" s="15"/>
      <c r="I347" s="17"/>
      <c r="J347" s="24" t="str">
        <f t="shared" si="1"/>
        <v/>
      </c>
      <c r="K347" s="17"/>
    </row>
    <row r="348" ht="15.0" customHeight="1">
      <c r="A348" s="19"/>
      <c r="B348" s="15"/>
      <c r="C348" s="26" t="str">
        <f t="array" ref="C348">IFERROR(INDEX('Patrimônio'!$C$7:$C$1003,MATCH($B348,'Patrimônio'!$A$7:$A$1003,0)),"")</f>
        <v/>
      </c>
      <c r="D348" s="26" t="str">
        <f t="array" ref="D348">IFERROR(INDEX('Patrimônio'!$B$7:$B$1003,MATCH($B348,'Patrimônio'!$A$7:$A$1003,0)),"")</f>
        <v/>
      </c>
      <c r="E348" s="17"/>
      <c r="F348" s="18"/>
      <c r="G348" s="19"/>
      <c r="H348" s="15"/>
      <c r="I348" s="17"/>
      <c r="J348" s="24" t="str">
        <f t="shared" si="1"/>
        <v/>
      </c>
      <c r="K348" s="17"/>
    </row>
    <row r="349" ht="15.0" customHeight="1">
      <c r="A349" s="19"/>
      <c r="B349" s="15"/>
      <c r="C349" s="26" t="str">
        <f t="array" ref="C349">IFERROR(INDEX('Patrimônio'!$C$7:$C$1003,MATCH($B349,'Patrimônio'!$A$7:$A$1003,0)),"")</f>
        <v/>
      </c>
      <c r="D349" s="26" t="str">
        <f t="array" ref="D349">IFERROR(INDEX('Patrimônio'!$B$7:$B$1003,MATCH($B349,'Patrimônio'!$A$7:$A$1003,0)),"")</f>
        <v/>
      </c>
      <c r="E349" s="17"/>
      <c r="F349" s="18"/>
      <c r="G349" s="19"/>
      <c r="H349" s="15"/>
      <c r="I349" s="17"/>
      <c r="J349" s="24" t="str">
        <f t="shared" si="1"/>
        <v/>
      </c>
      <c r="K349" s="17"/>
    </row>
    <row r="350" ht="15.0" customHeight="1">
      <c r="A350" s="19"/>
      <c r="B350" s="15"/>
      <c r="C350" s="26" t="str">
        <f t="array" ref="C350">IFERROR(INDEX('Patrimônio'!$C$7:$C$1003,MATCH($B350,'Patrimônio'!$A$7:$A$1003,0)),"")</f>
        <v/>
      </c>
      <c r="D350" s="26" t="str">
        <f t="array" ref="D350">IFERROR(INDEX('Patrimônio'!$B$7:$B$1003,MATCH($B350,'Patrimônio'!$A$7:$A$1003,0)),"")</f>
        <v/>
      </c>
      <c r="E350" s="17"/>
      <c r="F350" s="18"/>
      <c r="G350" s="19"/>
      <c r="H350" s="15"/>
      <c r="I350" s="17"/>
      <c r="J350" s="24" t="str">
        <f t="shared" si="1"/>
        <v/>
      </c>
      <c r="K350" s="17"/>
    </row>
    <row r="351" ht="15.0" customHeight="1">
      <c r="A351" s="19"/>
      <c r="B351" s="15"/>
      <c r="C351" s="26" t="str">
        <f t="array" ref="C351">IFERROR(INDEX('Patrimônio'!$C$7:$C$1003,MATCH($B351,'Patrimônio'!$A$7:$A$1003,0)),"")</f>
        <v/>
      </c>
      <c r="D351" s="26" t="str">
        <f t="array" ref="D351">IFERROR(INDEX('Patrimônio'!$B$7:$B$1003,MATCH($B351,'Patrimônio'!$A$7:$A$1003,0)),"")</f>
        <v/>
      </c>
      <c r="E351" s="17"/>
      <c r="F351" s="18"/>
      <c r="G351" s="19"/>
      <c r="H351" s="15"/>
      <c r="I351" s="17"/>
      <c r="J351" s="24" t="str">
        <f t="shared" si="1"/>
        <v/>
      </c>
      <c r="K351" s="17"/>
    </row>
    <row r="352" ht="15.0" customHeight="1">
      <c r="A352" s="19"/>
      <c r="B352" s="15"/>
      <c r="C352" s="26" t="str">
        <f t="array" ref="C352">IFERROR(INDEX('Patrimônio'!$C$7:$C$1003,MATCH($B352,'Patrimônio'!$A$7:$A$1003,0)),"")</f>
        <v/>
      </c>
      <c r="D352" s="26" t="str">
        <f t="array" ref="D352">IFERROR(INDEX('Patrimônio'!$B$7:$B$1003,MATCH($B352,'Patrimônio'!$A$7:$A$1003,0)),"")</f>
        <v/>
      </c>
      <c r="E352" s="17"/>
      <c r="F352" s="18"/>
      <c r="G352" s="19"/>
      <c r="H352" s="15"/>
      <c r="I352" s="17"/>
      <c r="J352" s="24" t="str">
        <f t="shared" si="1"/>
        <v/>
      </c>
      <c r="K352" s="17"/>
    </row>
    <row r="353" ht="15.0" customHeight="1">
      <c r="A353" s="19"/>
      <c r="B353" s="15"/>
      <c r="C353" s="26" t="str">
        <f t="array" ref="C353">IFERROR(INDEX('Patrimônio'!$C$7:$C$1003,MATCH($B353,'Patrimônio'!$A$7:$A$1003,0)),"")</f>
        <v/>
      </c>
      <c r="D353" s="26" t="str">
        <f t="array" ref="D353">IFERROR(INDEX('Patrimônio'!$B$7:$B$1003,MATCH($B353,'Patrimônio'!$A$7:$A$1003,0)),"")</f>
        <v/>
      </c>
      <c r="E353" s="17"/>
      <c r="F353" s="18"/>
      <c r="G353" s="19"/>
      <c r="H353" s="15"/>
      <c r="I353" s="17"/>
      <c r="J353" s="24" t="str">
        <f t="shared" si="1"/>
        <v/>
      </c>
      <c r="K353" s="17"/>
    </row>
    <row r="354" ht="15.0" customHeight="1">
      <c r="A354" s="19"/>
      <c r="B354" s="15"/>
      <c r="C354" s="26" t="str">
        <f t="array" ref="C354">IFERROR(INDEX('Patrimônio'!$C$7:$C$1003,MATCH($B354,'Patrimônio'!$A$7:$A$1003,0)),"")</f>
        <v/>
      </c>
      <c r="D354" s="26" t="str">
        <f t="array" ref="D354">IFERROR(INDEX('Patrimônio'!$B$7:$B$1003,MATCH($B354,'Patrimônio'!$A$7:$A$1003,0)),"")</f>
        <v/>
      </c>
      <c r="E354" s="17"/>
      <c r="F354" s="18"/>
      <c r="G354" s="19"/>
      <c r="H354" s="15"/>
      <c r="I354" s="17"/>
      <c r="J354" s="24" t="str">
        <f t="shared" si="1"/>
        <v/>
      </c>
      <c r="K354" s="17"/>
    </row>
    <row r="355" ht="15.0" customHeight="1">
      <c r="A355" s="19"/>
      <c r="B355" s="15"/>
      <c r="C355" s="26" t="str">
        <f t="array" ref="C355">IFERROR(INDEX('Patrimônio'!$C$7:$C$1003,MATCH($B355,'Patrimônio'!$A$7:$A$1003,0)),"")</f>
        <v/>
      </c>
      <c r="D355" s="26" t="str">
        <f t="array" ref="D355">IFERROR(INDEX('Patrimônio'!$B$7:$B$1003,MATCH($B355,'Patrimônio'!$A$7:$A$1003,0)),"")</f>
        <v/>
      </c>
      <c r="E355" s="17"/>
      <c r="F355" s="18"/>
      <c r="G355" s="19"/>
      <c r="H355" s="15"/>
      <c r="I355" s="17"/>
      <c r="J355" s="24" t="str">
        <f t="shared" si="1"/>
        <v/>
      </c>
      <c r="K355" s="17"/>
    </row>
    <row r="356" ht="15.0" customHeight="1">
      <c r="A356" s="19"/>
      <c r="B356" s="15"/>
      <c r="C356" s="26" t="str">
        <f t="array" ref="C356">IFERROR(INDEX('Patrimônio'!$C$7:$C$1003,MATCH($B356,'Patrimônio'!$A$7:$A$1003,0)),"")</f>
        <v/>
      </c>
      <c r="D356" s="26" t="str">
        <f t="array" ref="D356">IFERROR(INDEX('Patrimônio'!$B$7:$B$1003,MATCH($B356,'Patrimônio'!$A$7:$A$1003,0)),"")</f>
        <v/>
      </c>
      <c r="E356" s="17"/>
      <c r="F356" s="18"/>
      <c r="G356" s="19"/>
      <c r="H356" s="15"/>
      <c r="I356" s="17"/>
      <c r="J356" s="24" t="str">
        <f t="shared" si="1"/>
        <v/>
      </c>
      <c r="K356" s="17"/>
    </row>
    <row r="357" ht="15.0" customHeight="1">
      <c r="A357" s="19"/>
      <c r="B357" s="15"/>
      <c r="C357" s="26" t="str">
        <f t="array" ref="C357">IFERROR(INDEX('Patrimônio'!$C$7:$C$1003,MATCH($B357,'Patrimônio'!$A$7:$A$1003,0)),"")</f>
        <v/>
      </c>
      <c r="D357" s="26" t="str">
        <f t="array" ref="D357">IFERROR(INDEX('Patrimônio'!$B$7:$B$1003,MATCH($B357,'Patrimônio'!$A$7:$A$1003,0)),"")</f>
        <v/>
      </c>
      <c r="E357" s="17"/>
      <c r="F357" s="18"/>
      <c r="G357" s="19"/>
      <c r="H357" s="15"/>
      <c r="I357" s="17"/>
      <c r="J357" s="24" t="str">
        <f t="shared" si="1"/>
        <v/>
      </c>
      <c r="K357" s="17"/>
    </row>
    <row r="358" ht="15.0" customHeight="1">
      <c r="A358" s="19"/>
      <c r="B358" s="15"/>
      <c r="C358" s="26" t="str">
        <f t="array" ref="C358">IFERROR(INDEX('Patrimônio'!$C$7:$C$1003,MATCH($B358,'Patrimônio'!$A$7:$A$1003,0)),"")</f>
        <v/>
      </c>
      <c r="D358" s="26" t="str">
        <f t="array" ref="D358">IFERROR(INDEX('Patrimônio'!$B$7:$B$1003,MATCH($B358,'Patrimônio'!$A$7:$A$1003,0)),"")</f>
        <v/>
      </c>
      <c r="E358" s="17"/>
      <c r="F358" s="18"/>
      <c r="G358" s="19"/>
      <c r="H358" s="15"/>
      <c r="I358" s="17"/>
      <c r="J358" s="24" t="str">
        <f t="shared" si="1"/>
        <v/>
      </c>
      <c r="K358" s="17"/>
    </row>
    <row r="359" ht="15.0" customHeight="1">
      <c r="A359" s="19"/>
      <c r="B359" s="15"/>
      <c r="C359" s="26" t="str">
        <f t="array" ref="C359">IFERROR(INDEX('Patrimônio'!$C$7:$C$1003,MATCH($B359,'Patrimônio'!$A$7:$A$1003,0)),"")</f>
        <v/>
      </c>
      <c r="D359" s="26" t="str">
        <f t="array" ref="D359">IFERROR(INDEX('Patrimônio'!$B$7:$B$1003,MATCH($B359,'Patrimônio'!$A$7:$A$1003,0)),"")</f>
        <v/>
      </c>
      <c r="E359" s="17"/>
      <c r="F359" s="18"/>
      <c r="G359" s="19"/>
      <c r="H359" s="15"/>
      <c r="I359" s="17"/>
      <c r="J359" s="24" t="str">
        <f t="shared" si="1"/>
        <v/>
      </c>
      <c r="K359" s="17"/>
    </row>
    <row r="360" ht="15.0" customHeight="1">
      <c r="A360" s="19"/>
      <c r="B360" s="15"/>
      <c r="C360" s="26" t="str">
        <f t="array" ref="C360">IFERROR(INDEX('Patrimônio'!$C$7:$C$1003,MATCH($B360,'Patrimônio'!$A$7:$A$1003,0)),"")</f>
        <v/>
      </c>
      <c r="D360" s="26" t="str">
        <f t="array" ref="D360">IFERROR(INDEX('Patrimônio'!$B$7:$B$1003,MATCH($B360,'Patrimônio'!$A$7:$A$1003,0)),"")</f>
        <v/>
      </c>
      <c r="E360" s="17"/>
      <c r="F360" s="18"/>
      <c r="G360" s="19"/>
      <c r="H360" s="15"/>
      <c r="I360" s="17"/>
      <c r="J360" s="24" t="str">
        <f t="shared" si="1"/>
        <v/>
      </c>
      <c r="K360" s="17"/>
    </row>
    <row r="361" ht="15.0" customHeight="1">
      <c r="A361" s="19"/>
      <c r="B361" s="15"/>
      <c r="C361" s="26" t="str">
        <f t="array" ref="C361">IFERROR(INDEX('Patrimônio'!$C$7:$C$1003,MATCH($B361,'Patrimônio'!$A$7:$A$1003,0)),"")</f>
        <v/>
      </c>
      <c r="D361" s="26" t="str">
        <f t="array" ref="D361">IFERROR(INDEX('Patrimônio'!$B$7:$B$1003,MATCH($B361,'Patrimônio'!$A$7:$A$1003,0)),"")</f>
        <v/>
      </c>
      <c r="E361" s="17"/>
      <c r="F361" s="18"/>
      <c r="G361" s="19"/>
      <c r="H361" s="15"/>
      <c r="I361" s="17"/>
      <c r="J361" s="24" t="str">
        <f t="shared" si="1"/>
        <v/>
      </c>
      <c r="K361" s="17"/>
    </row>
    <row r="362" ht="15.0" customHeight="1">
      <c r="A362" s="19"/>
      <c r="B362" s="15"/>
      <c r="C362" s="26" t="str">
        <f t="array" ref="C362">IFERROR(INDEX('Patrimônio'!$C$7:$C$1003,MATCH($B362,'Patrimônio'!$A$7:$A$1003,0)),"")</f>
        <v/>
      </c>
      <c r="D362" s="26" t="str">
        <f t="array" ref="D362">IFERROR(INDEX('Patrimônio'!$B$7:$B$1003,MATCH($B362,'Patrimônio'!$A$7:$A$1003,0)),"")</f>
        <v/>
      </c>
      <c r="E362" s="17"/>
      <c r="F362" s="18"/>
      <c r="G362" s="19"/>
      <c r="H362" s="15"/>
      <c r="I362" s="17"/>
      <c r="J362" s="24" t="str">
        <f t="shared" si="1"/>
        <v/>
      </c>
      <c r="K362" s="17"/>
    </row>
    <row r="363" ht="15.0" customHeight="1">
      <c r="A363" s="19"/>
      <c r="B363" s="15"/>
      <c r="C363" s="26" t="str">
        <f t="array" ref="C363">IFERROR(INDEX('Patrimônio'!$C$7:$C$1003,MATCH($B363,'Patrimônio'!$A$7:$A$1003,0)),"")</f>
        <v/>
      </c>
      <c r="D363" s="26" t="str">
        <f t="array" ref="D363">IFERROR(INDEX('Patrimônio'!$B$7:$B$1003,MATCH($B363,'Patrimônio'!$A$7:$A$1003,0)),"")</f>
        <v/>
      </c>
      <c r="E363" s="17"/>
      <c r="F363" s="18"/>
      <c r="G363" s="19"/>
      <c r="H363" s="15"/>
      <c r="I363" s="17"/>
      <c r="J363" s="24" t="str">
        <f t="shared" si="1"/>
        <v/>
      </c>
      <c r="K363" s="17"/>
    </row>
    <row r="364" ht="15.0" customHeight="1">
      <c r="A364" s="19"/>
      <c r="B364" s="15"/>
      <c r="C364" s="26" t="str">
        <f t="array" ref="C364">IFERROR(INDEX('Patrimônio'!$C$7:$C$1003,MATCH($B364,'Patrimônio'!$A$7:$A$1003,0)),"")</f>
        <v/>
      </c>
      <c r="D364" s="26" t="str">
        <f t="array" ref="D364">IFERROR(INDEX('Patrimônio'!$B$7:$B$1003,MATCH($B364,'Patrimônio'!$A$7:$A$1003,0)),"")</f>
        <v/>
      </c>
      <c r="E364" s="17"/>
      <c r="F364" s="18"/>
      <c r="G364" s="19"/>
      <c r="H364" s="15"/>
      <c r="I364" s="17"/>
      <c r="J364" s="24" t="str">
        <f t="shared" si="1"/>
        <v/>
      </c>
      <c r="K364" s="17"/>
    </row>
    <row r="365" ht="15.0" customHeight="1">
      <c r="A365" s="19"/>
      <c r="B365" s="15"/>
      <c r="C365" s="26" t="str">
        <f t="array" ref="C365">IFERROR(INDEX('Patrimônio'!$C$7:$C$1003,MATCH($B365,'Patrimônio'!$A$7:$A$1003,0)),"")</f>
        <v/>
      </c>
      <c r="D365" s="26" t="str">
        <f t="array" ref="D365">IFERROR(INDEX('Patrimônio'!$B$7:$B$1003,MATCH($B365,'Patrimônio'!$A$7:$A$1003,0)),"")</f>
        <v/>
      </c>
      <c r="E365" s="17"/>
      <c r="F365" s="18"/>
      <c r="G365" s="19"/>
      <c r="H365" s="15"/>
      <c r="I365" s="17"/>
      <c r="J365" s="24" t="str">
        <f t="shared" si="1"/>
        <v/>
      </c>
      <c r="K365" s="17"/>
    </row>
    <row r="366" ht="15.0" customHeight="1">
      <c r="A366" s="19"/>
      <c r="B366" s="15"/>
      <c r="C366" s="26" t="str">
        <f t="array" ref="C366">IFERROR(INDEX('Patrimônio'!$C$7:$C$1003,MATCH($B366,'Patrimônio'!$A$7:$A$1003,0)),"")</f>
        <v/>
      </c>
      <c r="D366" s="26" t="str">
        <f t="array" ref="D366">IFERROR(INDEX('Patrimônio'!$B$7:$B$1003,MATCH($B366,'Patrimônio'!$A$7:$A$1003,0)),"")</f>
        <v/>
      </c>
      <c r="E366" s="17"/>
      <c r="F366" s="18"/>
      <c r="G366" s="19"/>
      <c r="H366" s="15"/>
      <c r="I366" s="17"/>
      <c r="J366" s="24" t="str">
        <f t="shared" si="1"/>
        <v/>
      </c>
      <c r="K366" s="17"/>
    </row>
    <row r="367" ht="15.0" customHeight="1">
      <c r="A367" s="19"/>
      <c r="B367" s="15"/>
      <c r="C367" s="26" t="str">
        <f t="array" ref="C367">IFERROR(INDEX('Patrimônio'!$C$7:$C$1003,MATCH($B367,'Patrimônio'!$A$7:$A$1003,0)),"")</f>
        <v/>
      </c>
      <c r="D367" s="26" t="str">
        <f t="array" ref="D367">IFERROR(INDEX('Patrimônio'!$B$7:$B$1003,MATCH($B367,'Patrimônio'!$A$7:$A$1003,0)),"")</f>
        <v/>
      </c>
      <c r="E367" s="17"/>
      <c r="F367" s="18"/>
      <c r="G367" s="19"/>
      <c r="H367" s="15"/>
      <c r="I367" s="17"/>
      <c r="J367" s="24" t="str">
        <f t="shared" si="1"/>
        <v/>
      </c>
      <c r="K367" s="17"/>
    </row>
    <row r="368" ht="15.0" customHeight="1">
      <c r="A368" s="19"/>
      <c r="B368" s="15"/>
      <c r="C368" s="26" t="str">
        <f t="array" ref="C368">IFERROR(INDEX('Patrimônio'!$C$7:$C$1003,MATCH($B368,'Patrimônio'!$A$7:$A$1003,0)),"")</f>
        <v/>
      </c>
      <c r="D368" s="26" t="str">
        <f t="array" ref="D368">IFERROR(INDEX('Patrimônio'!$B$7:$B$1003,MATCH($B368,'Patrimônio'!$A$7:$A$1003,0)),"")</f>
        <v/>
      </c>
      <c r="E368" s="17"/>
      <c r="F368" s="18"/>
      <c r="G368" s="19"/>
      <c r="H368" s="15"/>
      <c r="I368" s="17"/>
      <c r="J368" s="24" t="str">
        <f t="shared" si="1"/>
        <v/>
      </c>
      <c r="K368" s="17"/>
    </row>
    <row r="369" ht="15.0" customHeight="1">
      <c r="A369" s="19"/>
      <c r="B369" s="15"/>
      <c r="C369" s="26" t="str">
        <f t="array" ref="C369">IFERROR(INDEX('Patrimônio'!$C$7:$C$1003,MATCH($B369,'Patrimônio'!$A$7:$A$1003,0)),"")</f>
        <v/>
      </c>
      <c r="D369" s="26" t="str">
        <f t="array" ref="D369">IFERROR(INDEX('Patrimônio'!$B$7:$B$1003,MATCH($B369,'Patrimônio'!$A$7:$A$1003,0)),"")</f>
        <v/>
      </c>
      <c r="E369" s="17"/>
      <c r="F369" s="18"/>
      <c r="G369" s="19"/>
      <c r="H369" s="15"/>
      <c r="I369" s="17"/>
      <c r="J369" s="24" t="str">
        <f t="shared" si="1"/>
        <v/>
      </c>
      <c r="K369" s="17"/>
    </row>
    <row r="370" ht="15.0" customHeight="1">
      <c r="A370" s="19"/>
      <c r="B370" s="15"/>
      <c r="C370" s="26" t="str">
        <f t="array" ref="C370">IFERROR(INDEX('Patrimônio'!$C$7:$C$1003,MATCH($B370,'Patrimônio'!$A$7:$A$1003,0)),"")</f>
        <v/>
      </c>
      <c r="D370" s="26" t="str">
        <f t="array" ref="D370">IFERROR(INDEX('Patrimônio'!$B$7:$B$1003,MATCH($B370,'Patrimônio'!$A$7:$A$1003,0)),"")</f>
        <v/>
      </c>
      <c r="E370" s="17"/>
      <c r="F370" s="18"/>
      <c r="G370" s="19"/>
      <c r="H370" s="15"/>
      <c r="I370" s="17"/>
      <c r="J370" s="24" t="str">
        <f t="shared" si="1"/>
        <v/>
      </c>
      <c r="K370" s="17"/>
    </row>
    <row r="371" ht="15.0" customHeight="1">
      <c r="A371" s="19"/>
      <c r="B371" s="15"/>
      <c r="C371" s="26" t="str">
        <f t="array" ref="C371">IFERROR(INDEX('Patrimônio'!$C$7:$C$1003,MATCH($B371,'Patrimônio'!$A$7:$A$1003,0)),"")</f>
        <v/>
      </c>
      <c r="D371" s="26" t="str">
        <f t="array" ref="D371">IFERROR(INDEX('Patrimônio'!$B$7:$B$1003,MATCH($B371,'Patrimônio'!$A$7:$A$1003,0)),"")</f>
        <v/>
      </c>
      <c r="E371" s="17"/>
      <c r="F371" s="18"/>
      <c r="G371" s="19"/>
      <c r="H371" s="15"/>
      <c r="I371" s="17"/>
      <c r="J371" s="24" t="str">
        <f t="shared" si="1"/>
        <v/>
      </c>
      <c r="K371" s="17"/>
    </row>
    <row r="372" ht="15.0" customHeight="1">
      <c r="A372" s="19"/>
      <c r="B372" s="15"/>
      <c r="C372" s="26" t="str">
        <f t="array" ref="C372">IFERROR(INDEX('Patrimônio'!$C$7:$C$1003,MATCH($B372,'Patrimônio'!$A$7:$A$1003,0)),"")</f>
        <v/>
      </c>
      <c r="D372" s="26" t="str">
        <f t="array" ref="D372">IFERROR(INDEX('Patrimônio'!$B$7:$B$1003,MATCH($B372,'Patrimônio'!$A$7:$A$1003,0)),"")</f>
        <v/>
      </c>
      <c r="E372" s="17"/>
      <c r="F372" s="18"/>
      <c r="G372" s="19"/>
      <c r="H372" s="15"/>
      <c r="I372" s="17"/>
      <c r="J372" s="24" t="str">
        <f t="shared" si="1"/>
        <v/>
      </c>
      <c r="K372" s="17"/>
    </row>
    <row r="373" ht="15.0" customHeight="1">
      <c r="A373" s="19"/>
      <c r="B373" s="15"/>
      <c r="C373" s="26" t="str">
        <f t="array" ref="C373">IFERROR(INDEX('Patrimônio'!$C$7:$C$1003,MATCH($B373,'Patrimônio'!$A$7:$A$1003,0)),"")</f>
        <v/>
      </c>
      <c r="D373" s="26" t="str">
        <f t="array" ref="D373">IFERROR(INDEX('Patrimônio'!$B$7:$B$1003,MATCH($B373,'Patrimônio'!$A$7:$A$1003,0)),"")</f>
        <v/>
      </c>
      <c r="E373" s="17"/>
      <c r="F373" s="18"/>
      <c r="G373" s="19"/>
      <c r="H373" s="15"/>
      <c r="I373" s="17"/>
      <c r="J373" s="24" t="str">
        <f t="shared" si="1"/>
        <v/>
      </c>
      <c r="K373" s="17"/>
    </row>
    <row r="374" ht="15.0" customHeight="1">
      <c r="A374" s="19"/>
      <c r="B374" s="15"/>
      <c r="C374" s="26" t="str">
        <f t="array" ref="C374">IFERROR(INDEX('Patrimônio'!$C$7:$C$1003,MATCH($B374,'Patrimônio'!$A$7:$A$1003,0)),"")</f>
        <v/>
      </c>
      <c r="D374" s="26" t="str">
        <f t="array" ref="D374">IFERROR(INDEX('Patrimônio'!$B$7:$B$1003,MATCH($B374,'Patrimônio'!$A$7:$A$1003,0)),"")</f>
        <v/>
      </c>
      <c r="E374" s="17"/>
      <c r="F374" s="18"/>
      <c r="G374" s="19"/>
      <c r="H374" s="15"/>
      <c r="I374" s="17"/>
      <c r="J374" s="24" t="str">
        <f t="shared" si="1"/>
        <v/>
      </c>
      <c r="K374" s="17"/>
    </row>
    <row r="375" ht="15.0" customHeight="1">
      <c r="A375" s="19"/>
      <c r="B375" s="15"/>
      <c r="C375" s="26" t="str">
        <f t="array" ref="C375">IFERROR(INDEX('Patrimônio'!$C$7:$C$1003,MATCH($B375,'Patrimônio'!$A$7:$A$1003,0)),"")</f>
        <v/>
      </c>
      <c r="D375" s="26" t="str">
        <f t="array" ref="D375">IFERROR(INDEX('Patrimônio'!$B$7:$B$1003,MATCH($B375,'Patrimônio'!$A$7:$A$1003,0)),"")</f>
        <v/>
      </c>
      <c r="E375" s="17"/>
      <c r="F375" s="18"/>
      <c r="G375" s="19"/>
      <c r="H375" s="15"/>
      <c r="I375" s="17"/>
      <c r="J375" s="24" t="str">
        <f t="shared" si="1"/>
        <v/>
      </c>
      <c r="K375" s="17"/>
    </row>
    <row r="376" ht="15.0" customHeight="1">
      <c r="A376" s="19"/>
      <c r="B376" s="15"/>
      <c r="C376" s="26" t="str">
        <f t="array" ref="C376">IFERROR(INDEX('Patrimônio'!$C$7:$C$1003,MATCH($B376,'Patrimônio'!$A$7:$A$1003,0)),"")</f>
        <v/>
      </c>
      <c r="D376" s="26" t="str">
        <f t="array" ref="D376">IFERROR(INDEX('Patrimônio'!$B$7:$B$1003,MATCH($B376,'Patrimônio'!$A$7:$A$1003,0)),"")</f>
        <v/>
      </c>
      <c r="E376" s="17"/>
      <c r="F376" s="18"/>
      <c r="G376" s="19"/>
      <c r="H376" s="15"/>
      <c r="I376" s="17"/>
      <c r="J376" s="24" t="str">
        <f t="shared" si="1"/>
        <v/>
      </c>
      <c r="K376" s="17"/>
    </row>
    <row r="377" ht="15.0" customHeight="1">
      <c r="A377" s="19"/>
      <c r="B377" s="15"/>
      <c r="C377" s="26" t="str">
        <f t="array" ref="C377">IFERROR(INDEX('Patrimônio'!$C$7:$C$1003,MATCH($B377,'Patrimônio'!$A$7:$A$1003,0)),"")</f>
        <v/>
      </c>
      <c r="D377" s="26" t="str">
        <f t="array" ref="D377">IFERROR(INDEX('Patrimônio'!$B$7:$B$1003,MATCH($B377,'Patrimônio'!$A$7:$A$1003,0)),"")</f>
        <v/>
      </c>
      <c r="E377" s="17"/>
      <c r="F377" s="18"/>
      <c r="G377" s="19"/>
      <c r="H377" s="15"/>
      <c r="I377" s="17"/>
      <c r="J377" s="24" t="str">
        <f t="shared" si="1"/>
        <v/>
      </c>
      <c r="K377" s="17"/>
    </row>
    <row r="378" ht="15.0" customHeight="1">
      <c r="A378" s="19"/>
      <c r="B378" s="15"/>
      <c r="C378" s="26" t="str">
        <f t="array" ref="C378">IFERROR(INDEX('Patrimônio'!$C$7:$C$1003,MATCH($B378,'Patrimônio'!$A$7:$A$1003,0)),"")</f>
        <v/>
      </c>
      <c r="D378" s="26" t="str">
        <f t="array" ref="D378">IFERROR(INDEX('Patrimônio'!$B$7:$B$1003,MATCH($B378,'Patrimônio'!$A$7:$A$1003,0)),"")</f>
        <v/>
      </c>
      <c r="E378" s="17"/>
      <c r="F378" s="18"/>
      <c r="G378" s="19"/>
      <c r="H378" s="15"/>
      <c r="I378" s="17"/>
      <c r="J378" s="24" t="str">
        <f t="shared" si="1"/>
        <v/>
      </c>
      <c r="K378" s="17"/>
    </row>
    <row r="379" ht="15.0" customHeight="1">
      <c r="A379" s="19"/>
      <c r="B379" s="15"/>
      <c r="C379" s="26" t="str">
        <f t="array" ref="C379">IFERROR(INDEX('Patrimônio'!$C$7:$C$1003,MATCH($B379,'Patrimônio'!$A$7:$A$1003,0)),"")</f>
        <v/>
      </c>
      <c r="D379" s="26" t="str">
        <f t="array" ref="D379">IFERROR(INDEX('Patrimônio'!$B$7:$B$1003,MATCH($B379,'Patrimônio'!$A$7:$A$1003,0)),"")</f>
        <v/>
      </c>
      <c r="E379" s="17"/>
      <c r="F379" s="18"/>
      <c r="G379" s="19"/>
      <c r="H379" s="15"/>
      <c r="I379" s="17"/>
      <c r="J379" s="24" t="str">
        <f t="shared" si="1"/>
        <v/>
      </c>
      <c r="K379" s="17"/>
    </row>
    <row r="380" ht="15.0" customHeight="1">
      <c r="A380" s="19"/>
      <c r="B380" s="15"/>
      <c r="C380" s="26" t="str">
        <f t="array" ref="C380">IFERROR(INDEX('Patrimônio'!$C$7:$C$1003,MATCH($B380,'Patrimônio'!$A$7:$A$1003,0)),"")</f>
        <v/>
      </c>
      <c r="D380" s="26" t="str">
        <f t="array" ref="D380">IFERROR(INDEX('Patrimônio'!$B$7:$B$1003,MATCH($B380,'Patrimônio'!$A$7:$A$1003,0)),"")</f>
        <v/>
      </c>
      <c r="E380" s="17"/>
      <c r="F380" s="18"/>
      <c r="G380" s="19"/>
      <c r="H380" s="15"/>
      <c r="I380" s="17"/>
      <c r="J380" s="24" t="str">
        <f t="shared" si="1"/>
        <v/>
      </c>
      <c r="K380" s="17"/>
    </row>
    <row r="381" ht="15.0" customHeight="1">
      <c r="A381" s="19"/>
      <c r="B381" s="15"/>
      <c r="C381" s="26" t="str">
        <f t="array" ref="C381">IFERROR(INDEX('Patrimônio'!$C$7:$C$1003,MATCH($B381,'Patrimônio'!$A$7:$A$1003,0)),"")</f>
        <v/>
      </c>
      <c r="D381" s="26" t="str">
        <f t="array" ref="D381">IFERROR(INDEX('Patrimônio'!$B$7:$B$1003,MATCH($B381,'Patrimônio'!$A$7:$A$1003,0)),"")</f>
        <v/>
      </c>
      <c r="E381" s="17"/>
      <c r="F381" s="18"/>
      <c r="G381" s="19"/>
      <c r="H381" s="15"/>
      <c r="I381" s="17"/>
      <c r="J381" s="24" t="str">
        <f t="shared" si="1"/>
        <v/>
      </c>
      <c r="K381" s="17"/>
    </row>
    <row r="382" ht="15.0" customHeight="1">
      <c r="A382" s="19"/>
      <c r="B382" s="15"/>
      <c r="C382" s="26" t="str">
        <f t="array" ref="C382">IFERROR(INDEX('Patrimônio'!$C$7:$C$1003,MATCH($B382,'Patrimônio'!$A$7:$A$1003,0)),"")</f>
        <v/>
      </c>
      <c r="D382" s="26" t="str">
        <f t="array" ref="D382">IFERROR(INDEX('Patrimônio'!$B$7:$B$1003,MATCH($B382,'Patrimônio'!$A$7:$A$1003,0)),"")</f>
        <v/>
      </c>
      <c r="E382" s="17"/>
      <c r="F382" s="18"/>
      <c r="G382" s="19"/>
      <c r="H382" s="15"/>
      <c r="I382" s="17"/>
      <c r="J382" s="24" t="str">
        <f t="shared" si="1"/>
        <v/>
      </c>
      <c r="K382" s="17"/>
    </row>
    <row r="383" ht="15.0" customHeight="1">
      <c r="A383" s="19"/>
      <c r="B383" s="15"/>
      <c r="C383" s="26" t="str">
        <f t="array" ref="C383">IFERROR(INDEX('Patrimônio'!$C$7:$C$1003,MATCH($B383,'Patrimônio'!$A$7:$A$1003,0)),"")</f>
        <v/>
      </c>
      <c r="D383" s="26" t="str">
        <f t="array" ref="D383">IFERROR(INDEX('Patrimônio'!$B$7:$B$1003,MATCH($B383,'Patrimônio'!$A$7:$A$1003,0)),"")</f>
        <v/>
      </c>
      <c r="E383" s="17"/>
      <c r="F383" s="18"/>
      <c r="G383" s="19"/>
      <c r="H383" s="15"/>
      <c r="I383" s="17"/>
      <c r="J383" s="24" t="str">
        <f t="shared" si="1"/>
        <v/>
      </c>
      <c r="K383" s="17"/>
    </row>
    <row r="384" ht="15.0" customHeight="1">
      <c r="A384" s="19"/>
      <c r="B384" s="15"/>
      <c r="C384" s="26" t="str">
        <f t="array" ref="C384">IFERROR(INDEX('Patrimônio'!$C$7:$C$1003,MATCH($B384,'Patrimônio'!$A$7:$A$1003,0)),"")</f>
        <v/>
      </c>
      <c r="D384" s="26" t="str">
        <f t="array" ref="D384">IFERROR(INDEX('Patrimônio'!$B$7:$B$1003,MATCH($B384,'Patrimônio'!$A$7:$A$1003,0)),"")</f>
        <v/>
      </c>
      <c r="E384" s="17"/>
      <c r="F384" s="18"/>
      <c r="G384" s="19"/>
      <c r="H384" s="15"/>
      <c r="I384" s="17"/>
      <c r="J384" s="24" t="str">
        <f t="shared" si="1"/>
        <v/>
      </c>
      <c r="K384" s="17"/>
    </row>
    <row r="385" ht="15.0" customHeight="1">
      <c r="A385" s="19"/>
      <c r="B385" s="15"/>
      <c r="C385" s="26" t="str">
        <f t="array" ref="C385">IFERROR(INDEX('Patrimônio'!$C$7:$C$1003,MATCH($B385,'Patrimônio'!$A$7:$A$1003,0)),"")</f>
        <v/>
      </c>
      <c r="D385" s="26" t="str">
        <f t="array" ref="D385">IFERROR(INDEX('Patrimônio'!$B$7:$B$1003,MATCH($B385,'Patrimônio'!$A$7:$A$1003,0)),"")</f>
        <v/>
      </c>
      <c r="E385" s="17"/>
      <c r="F385" s="18"/>
      <c r="G385" s="19"/>
      <c r="H385" s="15"/>
      <c r="I385" s="17"/>
      <c r="J385" s="24" t="str">
        <f t="shared" si="1"/>
        <v/>
      </c>
      <c r="K385" s="17"/>
    </row>
    <row r="386" ht="15.0" customHeight="1">
      <c r="A386" s="19"/>
      <c r="B386" s="15"/>
      <c r="C386" s="26" t="str">
        <f t="array" ref="C386">IFERROR(INDEX('Patrimônio'!$C$7:$C$1003,MATCH($B386,'Patrimônio'!$A$7:$A$1003,0)),"")</f>
        <v/>
      </c>
      <c r="D386" s="26" t="str">
        <f t="array" ref="D386">IFERROR(INDEX('Patrimônio'!$B$7:$B$1003,MATCH($B386,'Patrimônio'!$A$7:$A$1003,0)),"")</f>
        <v/>
      </c>
      <c r="E386" s="17"/>
      <c r="F386" s="18"/>
      <c r="G386" s="19"/>
      <c r="H386" s="15"/>
      <c r="I386" s="17"/>
      <c r="J386" s="24" t="str">
        <f t="shared" si="1"/>
        <v/>
      </c>
      <c r="K386" s="17"/>
    </row>
    <row r="387" ht="15.0" customHeight="1">
      <c r="A387" s="19"/>
      <c r="B387" s="15"/>
      <c r="C387" s="26" t="str">
        <f t="array" ref="C387">IFERROR(INDEX('Patrimônio'!$C$7:$C$1003,MATCH($B387,'Patrimônio'!$A$7:$A$1003,0)),"")</f>
        <v/>
      </c>
      <c r="D387" s="26" t="str">
        <f t="array" ref="D387">IFERROR(INDEX('Patrimônio'!$B$7:$B$1003,MATCH($B387,'Patrimônio'!$A$7:$A$1003,0)),"")</f>
        <v/>
      </c>
      <c r="E387" s="17"/>
      <c r="F387" s="18"/>
      <c r="G387" s="19"/>
      <c r="H387" s="15"/>
      <c r="I387" s="17"/>
      <c r="J387" s="24" t="str">
        <f t="shared" si="1"/>
        <v/>
      </c>
      <c r="K387" s="17"/>
    </row>
    <row r="388" ht="15.0" customHeight="1">
      <c r="A388" s="19"/>
      <c r="B388" s="15"/>
      <c r="C388" s="26" t="str">
        <f t="array" ref="C388">IFERROR(INDEX('Patrimônio'!$C$7:$C$1003,MATCH($B388,'Patrimônio'!$A$7:$A$1003,0)),"")</f>
        <v/>
      </c>
      <c r="D388" s="26" t="str">
        <f t="array" ref="D388">IFERROR(INDEX('Patrimônio'!$B$7:$B$1003,MATCH($B388,'Patrimônio'!$A$7:$A$1003,0)),"")</f>
        <v/>
      </c>
      <c r="E388" s="17"/>
      <c r="F388" s="18"/>
      <c r="G388" s="19"/>
      <c r="H388" s="15"/>
      <c r="I388" s="17"/>
      <c r="J388" s="24" t="str">
        <f t="shared" si="1"/>
        <v/>
      </c>
      <c r="K388" s="17"/>
    </row>
    <row r="389" ht="15.0" customHeight="1">
      <c r="A389" s="19"/>
      <c r="B389" s="15"/>
      <c r="C389" s="26" t="str">
        <f t="array" ref="C389">IFERROR(INDEX('Patrimônio'!$C$7:$C$1003,MATCH($B389,'Patrimônio'!$A$7:$A$1003,0)),"")</f>
        <v/>
      </c>
      <c r="D389" s="26" t="str">
        <f t="array" ref="D389">IFERROR(INDEX('Patrimônio'!$B$7:$B$1003,MATCH($B389,'Patrimônio'!$A$7:$A$1003,0)),"")</f>
        <v/>
      </c>
      <c r="E389" s="17"/>
      <c r="F389" s="18"/>
      <c r="G389" s="19"/>
      <c r="H389" s="15"/>
      <c r="I389" s="17"/>
      <c r="J389" s="24" t="str">
        <f t="shared" si="1"/>
        <v/>
      </c>
      <c r="K389" s="17"/>
    </row>
    <row r="390" ht="15.0" customHeight="1">
      <c r="A390" s="19"/>
      <c r="B390" s="15"/>
      <c r="C390" s="26" t="str">
        <f t="array" ref="C390">IFERROR(INDEX('Patrimônio'!$C$7:$C$1003,MATCH($B390,'Patrimônio'!$A$7:$A$1003,0)),"")</f>
        <v/>
      </c>
      <c r="D390" s="26" t="str">
        <f t="array" ref="D390">IFERROR(INDEX('Patrimônio'!$B$7:$B$1003,MATCH($B390,'Patrimônio'!$A$7:$A$1003,0)),"")</f>
        <v/>
      </c>
      <c r="E390" s="17"/>
      <c r="F390" s="18"/>
      <c r="G390" s="19"/>
      <c r="H390" s="15"/>
      <c r="I390" s="17"/>
      <c r="J390" s="24" t="str">
        <f t="shared" si="1"/>
        <v/>
      </c>
      <c r="K390" s="17"/>
    </row>
    <row r="391" ht="15.0" customHeight="1">
      <c r="A391" s="19"/>
      <c r="B391" s="15"/>
      <c r="C391" s="26" t="str">
        <f t="array" ref="C391">IFERROR(INDEX('Patrimônio'!$C$7:$C$1003,MATCH($B391,'Patrimônio'!$A$7:$A$1003,0)),"")</f>
        <v/>
      </c>
      <c r="D391" s="26" t="str">
        <f t="array" ref="D391">IFERROR(INDEX('Patrimônio'!$B$7:$B$1003,MATCH($B391,'Patrimônio'!$A$7:$A$1003,0)),"")</f>
        <v/>
      </c>
      <c r="E391" s="17"/>
      <c r="F391" s="18"/>
      <c r="G391" s="19"/>
      <c r="H391" s="15"/>
      <c r="I391" s="17"/>
      <c r="J391" s="24" t="str">
        <f t="shared" si="1"/>
        <v/>
      </c>
      <c r="K391" s="17"/>
    </row>
    <row r="392" ht="15.0" customHeight="1">
      <c r="A392" s="19"/>
      <c r="B392" s="15"/>
      <c r="C392" s="26" t="str">
        <f t="array" ref="C392">IFERROR(INDEX('Patrimônio'!$C$7:$C$1003,MATCH($B392,'Patrimônio'!$A$7:$A$1003,0)),"")</f>
        <v/>
      </c>
      <c r="D392" s="26" t="str">
        <f t="array" ref="D392">IFERROR(INDEX('Patrimônio'!$B$7:$B$1003,MATCH($B392,'Patrimônio'!$A$7:$A$1003,0)),"")</f>
        <v/>
      </c>
      <c r="E392" s="17"/>
      <c r="F392" s="18"/>
      <c r="G392" s="19"/>
      <c r="H392" s="15"/>
      <c r="I392" s="17"/>
      <c r="J392" s="24" t="str">
        <f t="shared" si="1"/>
        <v/>
      </c>
      <c r="K392" s="17"/>
    </row>
    <row r="393" ht="15.0" customHeight="1">
      <c r="A393" s="19"/>
      <c r="B393" s="15"/>
      <c r="C393" s="26" t="str">
        <f t="array" ref="C393">IFERROR(INDEX('Patrimônio'!$C$7:$C$1003,MATCH($B393,'Patrimônio'!$A$7:$A$1003,0)),"")</f>
        <v/>
      </c>
      <c r="D393" s="26" t="str">
        <f t="array" ref="D393">IFERROR(INDEX('Patrimônio'!$B$7:$B$1003,MATCH($B393,'Patrimônio'!$A$7:$A$1003,0)),"")</f>
        <v/>
      </c>
      <c r="E393" s="17"/>
      <c r="F393" s="18"/>
      <c r="G393" s="19"/>
      <c r="H393" s="15"/>
      <c r="I393" s="17"/>
      <c r="J393" s="24" t="str">
        <f t="shared" si="1"/>
        <v/>
      </c>
      <c r="K393" s="17"/>
    </row>
    <row r="394" ht="15.0" customHeight="1">
      <c r="A394" s="19"/>
      <c r="B394" s="15"/>
      <c r="C394" s="26" t="str">
        <f t="array" ref="C394">IFERROR(INDEX('Patrimônio'!$C$7:$C$1003,MATCH($B394,'Patrimônio'!$A$7:$A$1003,0)),"")</f>
        <v/>
      </c>
      <c r="D394" s="26" t="str">
        <f t="array" ref="D394">IFERROR(INDEX('Patrimônio'!$B$7:$B$1003,MATCH($B394,'Patrimônio'!$A$7:$A$1003,0)),"")</f>
        <v/>
      </c>
      <c r="E394" s="17"/>
      <c r="F394" s="18"/>
      <c r="G394" s="19"/>
      <c r="H394" s="15"/>
      <c r="I394" s="17"/>
      <c r="J394" s="24" t="str">
        <f t="shared" si="1"/>
        <v/>
      </c>
      <c r="K394" s="17"/>
    </row>
    <row r="395" ht="15.0" customHeight="1">
      <c r="A395" s="19"/>
      <c r="B395" s="15"/>
      <c r="C395" s="26" t="str">
        <f t="array" ref="C395">IFERROR(INDEX('Patrimônio'!$C$7:$C$1003,MATCH($B395,'Patrimônio'!$A$7:$A$1003,0)),"")</f>
        <v/>
      </c>
      <c r="D395" s="26" t="str">
        <f t="array" ref="D395">IFERROR(INDEX('Patrimônio'!$B$7:$B$1003,MATCH($B395,'Patrimônio'!$A$7:$A$1003,0)),"")</f>
        <v/>
      </c>
      <c r="E395" s="17"/>
      <c r="F395" s="18"/>
      <c r="G395" s="19"/>
      <c r="H395" s="15"/>
      <c r="I395" s="17"/>
      <c r="J395" s="24" t="str">
        <f t="shared" si="1"/>
        <v/>
      </c>
      <c r="K395" s="17"/>
    </row>
    <row r="396" ht="15.0" customHeight="1">
      <c r="A396" s="19"/>
      <c r="B396" s="15"/>
      <c r="C396" s="26" t="str">
        <f t="array" ref="C396">IFERROR(INDEX('Patrimônio'!$C$7:$C$1003,MATCH($B396,'Patrimônio'!$A$7:$A$1003,0)),"")</f>
        <v/>
      </c>
      <c r="D396" s="26" t="str">
        <f t="array" ref="D396">IFERROR(INDEX('Patrimônio'!$B$7:$B$1003,MATCH($B396,'Patrimônio'!$A$7:$A$1003,0)),"")</f>
        <v/>
      </c>
      <c r="E396" s="17"/>
      <c r="F396" s="18"/>
      <c r="G396" s="19"/>
      <c r="H396" s="15"/>
      <c r="I396" s="17"/>
      <c r="J396" s="24" t="str">
        <f t="shared" si="1"/>
        <v/>
      </c>
      <c r="K396" s="17"/>
    </row>
    <row r="397" ht="15.0" customHeight="1">
      <c r="A397" s="19"/>
      <c r="B397" s="15"/>
      <c r="C397" s="26" t="str">
        <f t="array" ref="C397">IFERROR(INDEX('Patrimônio'!$C$7:$C$1003,MATCH($B397,'Patrimônio'!$A$7:$A$1003,0)),"")</f>
        <v/>
      </c>
      <c r="D397" s="26" t="str">
        <f t="array" ref="D397">IFERROR(INDEX('Patrimônio'!$B$7:$B$1003,MATCH($B397,'Patrimônio'!$A$7:$A$1003,0)),"")</f>
        <v/>
      </c>
      <c r="E397" s="17"/>
      <c r="F397" s="18"/>
      <c r="G397" s="19"/>
      <c r="H397" s="15"/>
      <c r="I397" s="17"/>
      <c r="J397" s="24" t="str">
        <f t="shared" si="1"/>
        <v/>
      </c>
      <c r="K397" s="17"/>
    </row>
    <row r="398" ht="15.0" customHeight="1">
      <c r="A398" s="19"/>
      <c r="B398" s="15"/>
      <c r="C398" s="26" t="str">
        <f t="array" ref="C398">IFERROR(INDEX('Patrimônio'!$C$7:$C$1003,MATCH($B398,'Patrimônio'!$A$7:$A$1003,0)),"")</f>
        <v/>
      </c>
      <c r="D398" s="26" t="str">
        <f t="array" ref="D398">IFERROR(INDEX('Patrimônio'!$B$7:$B$1003,MATCH($B398,'Patrimônio'!$A$7:$A$1003,0)),"")</f>
        <v/>
      </c>
      <c r="E398" s="17"/>
      <c r="F398" s="18"/>
      <c r="G398" s="19"/>
      <c r="H398" s="15"/>
      <c r="I398" s="17"/>
      <c r="J398" s="24" t="str">
        <f t="shared" si="1"/>
        <v/>
      </c>
      <c r="K398" s="17"/>
    </row>
    <row r="399" ht="15.0" customHeight="1">
      <c r="A399" s="19"/>
      <c r="B399" s="15"/>
      <c r="C399" s="26" t="str">
        <f t="array" ref="C399">IFERROR(INDEX('Patrimônio'!$C$7:$C$1003,MATCH($B399,'Patrimônio'!$A$7:$A$1003,0)),"")</f>
        <v/>
      </c>
      <c r="D399" s="26" t="str">
        <f t="array" ref="D399">IFERROR(INDEX('Patrimônio'!$B$7:$B$1003,MATCH($B399,'Patrimônio'!$A$7:$A$1003,0)),"")</f>
        <v/>
      </c>
      <c r="E399" s="17"/>
      <c r="F399" s="18"/>
      <c r="G399" s="19"/>
      <c r="H399" s="15"/>
      <c r="I399" s="17"/>
      <c r="J399" s="24" t="str">
        <f t="shared" si="1"/>
        <v/>
      </c>
      <c r="K399" s="17"/>
    </row>
    <row r="400" ht="15.0" customHeight="1">
      <c r="A400" s="19"/>
      <c r="B400" s="15"/>
      <c r="C400" s="26" t="str">
        <f t="array" ref="C400">IFERROR(INDEX('Patrimônio'!$C$7:$C$1003,MATCH($B400,'Patrimônio'!$A$7:$A$1003,0)),"")</f>
        <v/>
      </c>
      <c r="D400" s="26" t="str">
        <f t="array" ref="D400">IFERROR(INDEX('Patrimônio'!$B$7:$B$1003,MATCH($B400,'Patrimônio'!$A$7:$A$1003,0)),"")</f>
        <v/>
      </c>
      <c r="E400" s="17"/>
      <c r="F400" s="18"/>
      <c r="G400" s="19"/>
      <c r="H400" s="15"/>
      <c r="I400" s="17"/>
      <c r="J400" s="24" t="str">
        <f t="shared" si="1"/>
        <v/>
      </c>
      <c r="K400" s="17"/>
    </row>
    <row r="401" ht="15.0" customHeight="1">
      <c r="A401" s="19"/>
      <c r="B401" s="15"/>
      <c r="C401" s="26" t="str">
        <f t="array" ref="C401">IFERROR(INDEX('Patrimônio'!$C$7:$C$1003,MATCH($B401,'Patrimônio'!$A$7:$A$1003,0)),"")</f>
        <v/>
      </c>
      <c r="D401" s="26" t="str">
        <f t="array" ref="D401">IFERROR(INDEX('Patrimônio'!$B$7:$B$1003,MATCH($B401,'Patrimônio'!$A$7:$A$1003,0)),"")</f>
        <v/>
      </c>
      <c r="E401" s="17"/>
      <c r="F401" s="18"/>
      <c r="G401" s="19"/>
      <c r="H401" s="15"/>
      <c r="I401" s="17"/>
      <c r="J401" s="24" t="str">
        <f t="shared" si="1"/>
        <v/>
      </c>
      <c r="K401" s="17"/>
    </row>
    <row r="402" ht="15.0" customHeight="1">
      <c r="A402" s="19"/>
      <c r="B402" s="15"/>
      <c r="C402" s="26" t="str">
        <f t="array" ref="C402">IFERROR(INDEX('Patrimônio'!$C$7:$C$1003,MATCH($B402,'Patrimônio'!$A$7:$A$1003,0)),"")</f>
        <v/>
      </c>
      <c r="D402" s="26" t="str">
        <f t="array" ref="D402">IFERROR(INDEX('Patrimônio'!$B$7:$B$1003,MATCH($B402,'Patrimônio'!$A$7:$A$1003,0)),"")</f>
        <v/>
      </c>
      <c r="E402" s="17"/>
      <c r="F402" s="18"/>
      <c r="G402" s="19"/>
      <c r="H402" s="15"/>
      <c r="I402" s="17"/>
      <c r="J402" s="24" t="str">
        <f t="shared" si="1"/>
        <v/>
      </c>
      <c r="K402" s="17"/>
    </row>
    <row r="403" ht="15.0" customHeight="1">
      <c r="A403" s="19"/>
      <c r="B403" s="15"/>
      <c r="C403" s="26" t="str">
        <f t="array" ref="C403">IFERROR(INDEX('Patrimônio'!$C$7:$C$1003,MATCH($B403,'Patrimônio'!$A$7:$A$1003,0)),"")</f>
        <v/>
      </c>
      <c r="D403" s="26" t="str">
        <f t="array" ref="D403">IFERROR(INDEX('Patrimônio'!$B$7:$B$1003,MATCH($B403,'Patrimônio'!$A$7:$A$1003,0)),"")</f>
        <v/>
      </c>
      <c r="E403" s="17"/>
      <c r="F403" s="18"/>
      <c r="G403" s="19"/>
      <c r="H403" s="15"/>
      <c r="I403" s="17"/>
      <c r="J403" s="24" t="str">
        <f t="shared" si="1"/>
        <v/>
      </c>
      <c r="K403" s="17"/>
    </row>
    <row r="404" ht="15.0" customHeight="1">
      <c r="A404" s="19"/>
      <c r="B404" s="15"/>
      <c r="C404" s="26" t="str">
        <f t="array" ref="C404">IFERROR(INDEX('Patrimônio'!$C$7:$C$1003,MATCH($B404,'Patrimônio'!$A$7:$A$1003,0)),"")</f>
        <v/>
      </c>
      <c r="D404" s="26" t="str">
        <f t="array" ref="D404">IFERROR(INDEX('Patrimônio'!$B$7:$B$1003,MATCH($B404,'Patrimônio'!$A$7:$A$1003,0)),"")</f>
        <v/>
      </c>
      <c r="E404" s="17"/>
      <c r="F404" s="18"/>
      <c r="G404" s="19"/>
      <c r="H404" s="15"/>
      <c r="I404" s="17"/>
      <c r="J404" s="24" t="str">
        <f t="shared" si="1"/>
        <v/>
      </c>
      <c r="K404" s="17"/>
    </row>
    <row r="405" ht="15.0" customHeight="1">
      <c r="A405" s="19"/>
      <c r="B405" s="15"/>
      <c r="C405" s="26" t="str">
        <f t="array" ref="C405">IFERROR(INDEX('Patrimônio'!$C$7:$C$1003,MATCH($B405,'Patrimônio'!$A$7:$A$1003,0)),"")</f>
        <v/>
      </c>
      <c r="D405" s="26" t="str">
        <f t="array" ref="D405">IFERROR(INDEX('Patrimônio'!$B$7:$B$1003,MATCH($B405,'Patrimônio'!$A$7:$A$1003,0)),"")</f>
        <v/>
      </c>
      <c r="E405" s="17"/>
      <c r="F405" s="18"/>
      <c r="G405" s="19"/>
      <c r="H405" s="15"/>
      <c r="I405" s="17"/>
      <c r="J405" s="24" t="str">
        <f t="shared" si="1"/>
        <v/>
      </c>
      <c r="K405" s="17"/>
    </row>
    <row r="406" ht="15.0" customHeight="1">
      <c r="A406" s="19"/>
      <c r="B406" s="15"/>
      <c r="C406" s="26" t="str">
        <f t="array" ref="C406">IFERROR(INDEX('Patrimônio'!$C$7:$C$1003,MATCH($B406,'Patrimônio'!$A$7:$A$1003,0)),"")</f>
        <v/>
      </c>
      <c r="D406" s="26" t="str">
        <f t="array" ref="D406">IFERROR(INDEX('Patrimônio'!$B$7:$B$1003,MATCH($B406,'Patrimônio'!$A$7:$A$1003,0)),"")</f>
        <v/>
      </c>
      <c r="E406" s="17"/>
      <c r="F406" s="18"/>
      <c r="G406" s="19"/>
      <c r="H406" s="15"/>
      <c r="I406" s="17"/>
      <c r="J406" s="24" t="str">
        <f t="shared" si="1"/>
        <v/>
      </c>
      <c r="K406" s="17"/>
    </row>
    <row r="407" ht="15.0" customHeight="1">
      <c r="A407" s="19"/>
      <c r="B407" s="15"/>
      <c r="C407" s="26" t="str">
        <f t="array" ref="C407">IFERROR(INDEX('Patrimônio'!$C$7:$C$1003,MATCH($B407,'Patrimônio'!$A$7:$A$1003,0)),"")</f>
        <v/>
      </c>
      <c r="D407" s="26" t="str">
        <f t="array" ref="D407">IFERROR(INDEX('Patrimônio'!$B$7:$B$1003,MATCH($B407,'Patrimônio'!$A$7:$A$1003,0)),"")</f>
        <v/>
      </c>
      <c r="E407" s="17"/>
      <c r="F407" s="18"/>
      <c r="G407" s="19"/>
      <c r="H407" s="15"/>
      <c r="I407" s="17"/>
      <c r="J407" s="24" t="str">
        <f t="shared" si="1"/>
        <v/>
      </c>
      <c r="K407" s="17"/>
    </row>
    <row r="408" ht="15.0" customHeight="1">
      <c r="A408" s="19"/>
      <c r="B408" s="15"/>
      <c r="C408" s="26" t="str">
        <f t="array" ref="C408">IFERROR(INDEX('Patrimônio'!$C$7:$C$1003,MATCH($B408,'Patrimônio'!$A$7:$A$1003,0)),"")</f>
        <v/>
      </c>
      <c r="D408" s="26" t="str">
        <f t="array" ref="D408">IFERROR(INDEX('Patrimônio'!$B$7:$B$1003,MATCH($B408,'Patrimônio'!$A$7:$A$1003,0)),"")</f>
        <v/>
      </c>
      <c r="E408" s="17"/>
      <c r="F408" s="18"/>
      <c r="G408" s="19"/>
      <c r="H408" s="15"/>
      <c r="I408" s="17"/>
      <c r="J408" s="24" t="str">
        <f t="shared" si="1"/>
        <v/>
      </c>
      <c r="K408" s="17"/>
    </row>
    <row r="409" ht="15.0" customHeight="1">
      <c r="A409" s="19"/>
      <c r="B409" s="15"/>
      <c r="C409" s="26" t="str">
        <f t="array" ref="C409">IFERROR(INDEX('Patrimônio'!$C$7:$C$1003,MATCH($B409,'Patrimônio'!$A$7:$A$1003,0)),"")</f>
        <v/>
      </c>
      <c r="D409" s="26" t="str">
        <f t="array" ref="D409">IFERROR(INDEX('Patrimônio'!$B$7:$B$1003,MATCH($B409,'Patrimônio'!$A$7:$A$1003,0)),"")</f>
        <v/>
      </c>
      <c r="E409" s="17"/>
      <c r="F409" s="18"/>
      <c r="G409" s="19"/>
      <c r="H409" s="15"/>
      <c r="I409" s="17"/>
      <c r="J409" s="24" t="str">
        <f t="shared" si="1"/>
        <v/>
      </c>
      <c r="K409" s="17"/>
    </row>
    <row r="410" ht="15.0" customHeight="1">
      <c r="A410" s="19"/>
      <c r="B410" s="15"/>
      <c r="C410" s="26" t="str">
        <f t="array" ref="C410">IFERROR(INDEX('Patrimônio'!$C$7:$C$1003,MATCH($B410,'Patrimônio'!$A$7:$A$1003,0)),"")</f>
        <v/>
      </c>
      <c r="D410" s="26" t="str">
        <f t="array" ref="D410">IFERROR(INDEX('Patrimônio'!$B$7:$B$1003,MATCH($B410,'Patrimônio'!$A$7:$A$1003,0)),"")</f>
        <v/>
      </c>
      <c r="E410" s="17"/>
      <c r="F410" s="18"/>
      <c r="G410" s="19"/>
      <c r="H410" s="15"/>
      <c r="I410" s="17"/>
      <c r="J410" s="24" t="str">
        <f t="shared" si="1"/>
        <v/>
      </c>
      <c r="K410" s="17"/>
    </row>
    <row r="411" ht="15.0" customHeight="1">
      <c r="A411" s="19"/>
      <c r="B411" s="15"/>
      <c r="C411" s="26" t="str">
        <f t="array" ref="C411">IFERROR(INDEX('Patrimônio'!$C$7:$C$1003,MATCH($B411,'Patrimônio'!$A$7:$A$1003,0)),"")</f>
        <v/>
      </c>
      <c r="D411" s="26" t="str">
        <f t="array" ref="D411">IFERROR(INDEX('Patrimônio'!$B$7:$B$1003,MATCH($B411,'Patrimônio'!$A$7:$A$1003,0)),"")</f>
        <v/>
      </c>
      <c r="E411" s="17"/>
      <c r="F411" s="18"/>
      <c r="G411" s="19"/>
      <c r="H411" s="15"/>
      <c r="I411" s="17"/>
      <c r="J411" s="24" t="str">
        <f t="shared" si="1"/>
        <v/>
      </c>
      <c r="K411" s="17"/>
    </row>
    <row r="412" ht="15.0" customHeight="1">
      <c r="A412" s="19"/>
      <c r="B412" s="15"/>
      <c r="C412" s="26" t="str">
        <f t="array" ref="C412">IFERROR(INDEX('Patrimônio'!$C$7:$C$1003,MATCH($B412,'Patrimônio'!$A$7:$A$1003,0)),"")</f>
        <v/>
      </c>
      <c r="D412" s="26" t="str">
        <f t="array" ref="D412">IFERROR(INDEX('Patrimônio'!$B$7:$B$1003,MATCH($B412,'Patrimônio'!$A$7:$A$1003,0)),"")</f>
        <v/>
      </c>
      <c r="E412" s="17"/>
      <c r="F412" s="18"/>
      <c r="G412" s="19"/>
      <c r="H412" s="15"/>
      <c r="I412" s="17"/>
      <c r="J412" s="24" t="str">
        <f t="shared" si="1"/>
        <v/>
      </c>
      <c r="K412" s="17"/>
    </row>
    <row r="413" ht="15.0" customHeight="1">
      <c r="A413" s="19"/>
      <c r="B413" s="15"/>
      <c r="C413" s="26" t="str">
        <f t="array" ref="C413">IFERROR(INDEX('Patrimônio'!$C$7:$C$1003,MATCH($B413,'Patrimônio'!$A$7:$A$1003,0)),"")</f>
        <v/>
      </c>
      <c r="D413" s="26" t="str">
        <f t="array" ref="D413">IFERROR(INDEX('Patrimônio'!$B$7:$B$1003,MATCH($B413,'Patrimônio'!$A$7:$A$1003,0)),"")</f>
        <v/>
      </c>
      <c r="E413" s="17"/>
      <c r="F413" s="18"/>
      <c r="G413" s="19"/>
      <c r="H413" s="15"/>
      <c r="I413" s="17"/>
      <c r="J413" s="24" t="str">
        <f t="shared" si="1"/>
        <v/>
      </c>
      <c r="K413" s="17"/>
    </row>
    <row r="414" ht="15.0" customHeight="1">
      <c r="A414" s="19"/>
      <c r="B414" s="15"/>
      <c r="C414" s="26" t="str">
        <f t="array" ref="C414">IFERROR(INDEX('Patrimônio'!$C$7:$C$1003,MATCH($B414,'Patrimônio'!$A$7:$A$1003,0)),"")</f>
        <v/>
      </c>
      <c r="D414" s="26" t="str">
        <f t="array" ref="D414">IFERROR(INDEX('Patrimônio'!$B$7:$B$1003,MATCH($B414,'Patrimônio'!$A$7:$A$1003,0)),"")</f>
        <v/>
      </c>
      <c r="E414" s="17"/>
      <c r="F414" s="18"/>
      <c r="G414" s="19"/>
      <c r="H414" s="15"/>
      <c r="I414" s="17"/>
      <c r="J414" s="24" t="str">
        <f t="shared" si="1"/>
        <v/>
      </c>
      <c r="K414" s="17"/>
    </row>
    <row r="415" ht="15.0" customHeight="1">
      <c r="A415" s="19"/>
      <c r="B415" s="15"/>
      <c r="C415" s="26" t="str">
        <f t="array" ref="C415">IFERROR(INDEX('Patrimônio'!$C$7:$C$1003,MATCH($B415,'Patrimônio'!$A$7:$A$1003,0)),"")</f>
        <v/>
      </c>
      <c r="D415" s="26" t="str">
        <f t="array" ref="D415">IFERROR(INDEX('Patrimônio'!$B$7:$B$1003,MATCH($B415,'Patrimônio'!$A$7:$A$1003,0)),"")</f>
        <v/>
      </c>
      <c r="E415" s="17"/>
      <c r="F415" s="18"/>
      <c r="G415" s="19"/>
      <c r="H415" s="15"/>
      <c r="I415" s="17"/>
      <c r="J415" s="24" t="str">
        <f t="shared" si="1"/>
        <v/>
      </c>
      <c r="K415" s="17"/>
    </row>
    <row r="416" ht="15.0" customHeight="1">
      <c r="A416" s="19"/>
      <c r="B416" s="15"/>
      <c r="C416" s="26" t="str">
        <f t="array" ref="C416">IFERROR(INDEX('Patrimônio'!$C$7:$C$1003,MATCH($B416,'Patrimônio'!$A$7:$A$1003,0)),"")</f>
        <v/>
      </c>
      <c r="D416" s="26" t="str">
        <f t="array" ref="D416">IFERROR(INDEX('Patrimônio'!$B$7:$B$1003,MATCH($B416,'Patrimônio'!$A$7:$A$1003,0)),"")</f>
        <v/>
      </c>
      <c r="E416" s="17"/>
      <c r="F416" s="18"/>
      <c r="G416" s="19"/>
      <c r="H416" s="15"/>
      <c r="I416" s="17"/>
      <c r="J416" s="24" t="str">
        <f t="shared" si="1"/>
        <v/>
      </c>
      <c r="K416" s="17"/>
    </row>
    <row r="417" ht="15.0" customHeight="1">
      <c r="A417" s="19"/>
      <c r="B417" s="15"/>
      <c r="C417" s="26" t="str">
        <f t="array" ref="C417">IFERROR(INDEX('Patrimônio'!$C$7:$C$1003,MATCH($B417,'Patrimônio'!$A$7:$A$1003,0)),"")</f>
        <v/>
      </c>
      <c r="D417" s="26" t="str">
        <f t="array" ref="D417">IFERROR(INDEX('Patrimônio'!$B$7:$B$1003,MATCH($B417,'Patrimônio'!$A$7:$A$1003,0)),"")</f>
        <v/>
      </c>
      <c r="E417" s="17"/>
      <c r="F417" s="18"/>
      <c r="G417" s="19"/>
      <c r="H417" s="15"/>
      <c r="I417" s="17"/>
      <c r="J417" s="24" t="str">
        <f t="shared" si="1"/>
        <v/>
      </c>
      <c r="K417" s="17"/>
    </row>
    <row r="418" ht="15.0" customHeight="1">
      <c r="A418" s="19"/>
      <c r="B418" s="15"/>
      <c r="C418" s="26" t="str">
        <f t="array" ref="C418">IFERROR(INDEX('Patrimônio'!$C$7:$C$1003,MATCH($B418,'Patrimônio'!$A$7:$A$1003,0)),"")</f>
        <v/>
      </c>
      <c r="D418" s="26" t="str">
        <f t="array" ref="D418">IFERROR(INDEX('Patrimônio'!$B$7:$B$1003,MATCH($B418,'Patrimônio'!$A$7:$A$1003,0)),"")</f>
        <v/>
      </c>
      <c r="E418" s="17"/>
      <c r="F418" s="18"/>
      <c r="G418" s="19"/>
      <c r="H418" s="15"/>
      <c r="I418" s="17"/>
      <c r="J418" s="24" t="str">
        <f t="shared" si="1"/>
        <v/>
      </c>
      <c r="K418" s="17"/>
    </row>
    <row r="419" ht="15.0" customHeight="1">
      <c r="A419" s="19"/>
      <c r="B419" s="15"/>
      <c r="C419" s="26" t="str">
        <f t="array" ref="C419">IFERROR(INDEX('Patrimônio'!$C$7:$C$1003,MATCH($B419,'Patrimônio'!$A$7:$A$1003,0)),"")</f>
        <v/>
      </c>
      <c r="D419" s="26" t="str">
        <f t="array" ref="D419">IFERROR(INDEX('Patrimônio'!$B$7:$B$1003,MATCH($B419,'Patrimônio'!$A$7:$A$1003,0)),"")</f>
        <v/>
      </c>
      <c r="E419" s="17"/>
      <c r="F419" s="18"/>
      <c r="G419" s="19"/>
      <c r="H419" s="15"/>
      <c r="I419" s="17"/>
      <c r="J419" s="24" t="str">
        <f t="shared" si="1"/>
        <v/>
      </c>
      <c r="K419" s="17"/>
    </row>
    <row r="420" ht="15.0" customHeight="1">
      <c r="A420" s="19"/>
      <c r="B420" s="15"/>
      <c r="C420" s="26" t="str">
        <f t="array" ref="C420">IFERROR(INDEX('Patrimônio'!$C$7:$C$1003,MATCH($B420,'Patrimônio'!$A$7:$A$1003,0)),"")</f>
        <v/>
      </c>
      <c r="D420" s="26" t="str">
        <f t="array" ref="D420">IFERROR(INDEX('Patrimônio'!$B$7:$B$1003,MATCH($B420,'Patrimônio'!$A$7:$A$1003,0)),"")</f>
        <v/>
      </c>
      <c r="E420" s="17"/>
      <c r="F420" s="18"/>
      <c r="G420" s="19"/>
      <c r="H420" s="15"/>
      <c r="I420" s="17"/>
      <c r="J420" s="24" t="str">
        <f t="shared" si="1"/>
        <v/>
      </c>
      <c r="K420" s="17"/>
    </row>
    <row r="421" ht="15.0" customHeight="1">
      <c r="A421" s="19"/>
      <c r="B421" s="15"/>
      <c r="C421" s="26" t="str">
        <f t="array" ref="C421">IFERROR(INDEX('Patrimônio'!$C$7:$C$1003,MATCH($B421,'Patrimônio'!$A$7:$A$1003,0)),"")</f>
        <v/>
      </c>
      <c r="D421" s="26" t="str">
        <f t="array" ref="D421">IFERROR(INDEX('Patrimônio'!$B$7:$B$1003,MATCH($B421,'Patrimônio'!$A$7:$A$1003,0)),"")</f>
        <v/>
      </c>
      <c r="E421" s="17"/>
      <c r="F421" s="18"/>
      <c r="G421" s="19"/>
      <c r="H421" s="15"/>
      <c r="I421" s="17"/>
      <c r="J421" s="24" t="str">
        <f t="shared" si="1"/>
        <v/>
      </c>
      <c r="K421" s="17"/>
    </row>
    <row r="422" ht="15.0" customHeight="1">
      <c r="A422" s="19"/>
      <c r="B422" s="15"/>
      <c r="C422" s="26" t="str">
        <f t="array" ref="C422">IFERROR(INDEX('Patrimônio'!$C$7:$C$1003,MATCH($B422,'Patrimônio'!$A$7:$A$1003,0)),"")</f>
        <v/>
      </c>
      <c r="D422" s="26" t="str">
        <f t="array" ref="D422">IFERROR(INDEX('Patrimônio'!$B$7:$B$1003,MATCH($B422,'Patrimônio'!$A$7:$A$1003,0)),"")</f>
        <v/>
      </c>
      <c r="E422" s="17"/>
      <c r="F422" s="18"/>
      <c r="G422" s="19"/>
      <c r="H422" s="15"/>
      <c r="I422" s="17"/>
      <c r="J422" s="24" t="str">
        <f t="shared" si="1"/>
        <v/>
      </c>
      <c r="K422" s="17"/>
    </row>
    <row r="423" ht="15.0" customHeight="1">
      <c r="A423" s="19"/>
      <c r="B423" s="15"/>
      <c r="C423" s="26" t="str">
        <f t="array" ref="C423">IFERROR(INDEX('Patrimônio'!$C$7:$C$1003,MATCH($B423,'Patrimônio'!$A$7:$A$1003,0)),"")</f>
        <v/>
      </c>
      <c r="D423" s="26" t="str">
        <f t="array" ref="D423">IFERROR(INDEX('Patrimônio'!$B$7:$B$1003,MATCH($B423,'Patrimônio'!$A$7:$A$1003,0)),"")</f>
        <v/>
      </c>
      <c r="E423" s="17"/>
      <c r="F423" s="18"/>
      <c r="G423" s="19"/>
      <c r="H423" s="15"/>
      <c r="I423" s="17"/>
      <c r="J423" s="24" t="str">
        <f t="shared" si="1"/>
        <v/>
      </c>
      <c r="K423" s="17"/>
    </row>
    <row r="424" ht="15.0" customHeight="1">
      <c r="A424" s="19"/>
      <c r="B424" s="15"/>
      <c r="C424" s="26" t="str">
        <f t="array" ref="C424">IFERROR(INDEX('Patrimônio'!$C$7:$C$1003,MATCH($B424,'Patrimônio'!$A$7:$A$1003,0)),"")</f>
        <v/>
      </c>
      <c r="D424" s="26" t="str">
        <f t="array" ref="D424">IFERROR(INDEX('Patrimônio'!$B$7:$B$1003,MATCH($B424,'Patrimônio'!$A$7:$A$1003,0)),"")</f>
        <v/>
      </c>
      <c r="E424" s="17"/>
      <c r="F424" s="18"/>
      <c r="G424" s="19"/>
      <c r="H424" s="15"/>
      <c r="I424" s="17"/>
      <c r="J424" s="24" t="str">
        <f t="shared" si="1"/>
        <v/>
      </c>
      <c r="K424" s="17"/>
    </row>
    <row r="425" ht="15.0" customHeight="1">
      <c r="A425" s="19"/>
      <c r="B425" s="15"/>
      <c r="C425" s="26" t="str">
        <f t="array" ref="C425">IFERROR(INDEX('Patrimônio'!$C$7:$C$1003,MATCH($B425,'Patrimônio'!$A$7:$A$1003,0)),"")</f>
        <v/>
      </c>
      <c r="D425" s="26" t="str">
        <f t="array" ref="D425">IFERROR(INDEX('Patrimônio'!$B$7:$B$1003,MATCH($B425,'Patrimônio'!$A$7:$A$1003,0)),"")</f>
        <v/>
      </c>
      <c r="E425" s="17"/>
      <c r="F425" s="18"/>
      <c r="G425" s="19"/>
      <c r="H425" s="15"/>
      <c r="I425" s="17"/>
      <c r="J425" s="24" t="str">
        <f t="shared" si="1"/>
        <v/>
      </c>
      <c r="K425" s="17"/>
    </row>
    <row r="426" ht="15.0" customHeight="1">
      <c r="A426" s="19"/>
      <c r="B426" s="15"/>
      <c r="C426" s="26" t="str">
        <f t="array" ref="C426">IFERROR(INDEX('Patrimônio'!$C$7:$C$1003,MATCH($B426,'Patrimônio'!$A$7:$A$1003,0)),"")</f>
        <v/>
      </c>
      <c r="D426" s="26" t="str">
        <f t="array" ref="D426">IFERROR(INDEX('Patrimônio'!$B$7:$B$1003,MATCH($B426,'Patrimônio'!$A$7:$A$1003,0)),"")</f>
        <v/>
      </c>
      <c r="E426" s="17"/>
      <c r="F426" s="18"/>
      <c r="G426" s="19"/>
      <c r="H426" s="15"/>
      <c r="I426" s="17"/>
      <c r="J426" s="24" t="str">
        <f t="shared" si="1"/>
        <v/>
      </c>
      <c r="K426" s="17"/>
    </row>
    <row r="427" ht="15.0" customHeight="1">
      <c r="A427" s="19"/>
      <c r="B427" s="15"/>
      <c r="C427" s="26" t="str">
        <f t="array" ref="C427">IFERROR(INDEX('Patrimônio'!$C$7:$C$1003,MATCH($B427,'Patrimônio'!$A$7:$A$1003,0)),"")</f>
        <v/>
      </c>
      <c r="D427" s="26" t="str">
        <f t="array" ref="D427">IFERROR(INDEX('Patrimônio'!$B$7:$B$1003,MATCH($B427,'Patrimônio'!$A$7:$A$1003,0)),"")</f>
        <v/>
      </c>
      <c r="E427" s="17"/>
      <c r="F427" s="18"/>
      <c r="G427" s="19"/>
      <c r="H427" s="15"/>
      <c r="I427" s="17"/>
      <c r="J427" s="24" t="str">
        <f t="shared" si="1"/>
        <v/>
      </c>
      <c r="K427" s="17"/>
    </row>
    <row r="428" ht="15.0" customHeight="1">
      <c r="A428" s="19"/>
      <c r="B428" s="15"/>
      <c r="C428" s="26" t="str">
        <f t="array" ref="C428">IFERROR(INDEX('Patrimônio'!$C$7:$C$1003,MATCH($B428,'Patrimônio'!$A$7:$A$1003,0)),"")</f>
        <v/>
      </c>
      <c r="D428" s="26" t="str">
        <f t="array" ref="D428">IFERROR(INDEX('Patrimônio'!$B$7:$B$1003,MATCH($B428,'Patrimônio'!$A$7:$A$1003,0)),"")</f>
        <v/>
      </c>
      <c r="E428" s="17"/>
      <c r="F428" s="18"/>
      <c r="G428" s="19"/>
      <c r="H428" s="15"/>
      <c r="I428" s="17"/>
      <c r="J428" s="24" t="str">
        <f t="shared" si="1"/>
        <v/>
      </c>
      <c r="K428" s="17"/>
    </row>
    <row r="429" ht="15.0" customHeight="1">
      <c r="A429" s="19"/>
      <c r="B429" s="15"/>
      <c r="C429" s="26" t="str">
        <f t="array" ref="C429">IFERROR(INDEX('Patrimônio'!$C$7:$C$1003,MATCH($B429,'Patrimônio'!$A$7:$A$1003,0)),"")</f>
        <v/>
      </c>
      <c r="D429" s="26" t="str">
        <f t="array" ref="D429">IFERROR(INDEX('Patrimônio'!$B$7:$B$1003,MATCH($B429,'Patrimônio'!$A$7:$A$1003,0)),"")</f>
        <v/>
      </c>
      <c r="E429" s="17"/>
      <c r="F429" s="18"/>
      <c r="G429" s="19"/>
      <c r="H429" s="15"/>
      <c r="I429" s="17"/>
      <c r="J429" s="24" t="str">
        <f t="shared" si="1"/>
        <v/>
      </c>
      <c r="K429" s="17"/>
    </row>
    <row r="430" ht="15.0" customHeight="1">
      <c r="A430" s="19"/>
      <c r="B430" s="15"/>
      <c r="C430" s="26" t="str">
        <f t="array" ref="C430">IFERROR(INDEX('Patrimônio'!$C$7:$C$1003,MATCH($B430,'Patrimônio'!$A$7:$A$1003,0)),"")</f>
        <v/>
      </c>
      <c r="D430" s="26" t="str">
        <f t="array" ref="D430">IFERROR(INDEX('Patrimônio'!$B$7:$B$1003,MATCH($B430,'Patrimônio'!$A$7:$A$1003,0)),"")</f>
        <v/>
      </c>
      <c r="E430" s="17"/>
      <c r="F430" s="18"/>
      <c r="G430" s="19"/>
      <c r="H430" s="15"/>
      <c r="I430" s="17"/>
      <c r="J430" s="24" t="str">
        <f t="shared" si="1"/>
        <v/>
      </c>
      <c r="K430" s="17"/>
    </row>
    <row r="431" ht="15.0" customHeight="1">
      <c r="A431" s="19"/>
      <c r="B431" s="15"/>
      <c r="C431" s="26" t="str">
        <f t="array" ref="C431">IFERROR(INDEX('Patrimônio'!$C$7:$C$1003,MATCH($B431,'Patrimônio'!$A$7:$A$1003,0)),"")</f>
        <v/>
      </c>
      <c r="D431" s="26" t="str">
        <f t="array" ref="D431">IFERROR(INDEX('Patrimônio'!$B$7:$B$1003,MATCH($B431,'Patrimônio'!$A$7:$A$1003,0)),"")</f>
        <v/>
      </c>
      <c r="E431" s="17"/>
      <c r="F431" s="18"/>
      <c r="G431" s="19"/>
      <c r="H431" s="15"/>
      <c r="I431" s="17"/>
      <c r="J431" s="24" t="str">
        <f t="shared" si="1"/>
        <v/>
      </c>
      <c r="K431" s="17"/>
    </row>
    <row r="432" ht="15.0" customHeight="1">
      <c r="A432" s="19"/>
      <c r="B432" s="15"/>
      <c r="C432" s="26" t="str">
        <f t="array" ref="C432">IFERROR(INDEX('Patrimônio'!$C$7:$C$1003,MATCH($B432,'Patrimônio'!$A$7:$A$1003,0)),"")</f>
        <v/>
      </c>
      <c r="D432" s="26" t="str">
        <f t="array" ref="D432">IFERROR(INDEX('Patrimônio'!$B$7:$B$1003,MATCH($B432,'Patrimônio'!$A$7:$A$1003,0)),"")</f>
        <v/>
      </c>
      <c r="E432" s="17"/>
      <c r="F432" s="18"/>
      <c r="G432" s="19"/>
      <c r="H432" s="15"/>
      <c r="I432" s="17"/>
      <c r="J432" s="24" t="str">
        <f t="shared" si="1"/>
        <v/>
      </c>
      <c r="K432" s="17"/>
    </row>
    <row r="433" ht="15.0" customHeight="1">
      <c r="A433" s="19"/>
      <c r="B433" s="15"/>
      <c r="C433" s="26" t="str">
        <f t="array" ref="C433">IFERROR(INDEX('Patrimônio'!$C$7:$C$1003,MATCH($B433,'Patrimônio'!$A$7:$A$1003,0)),"")</f>
        <v/>
      </c>
      <c r="D433" s="26" t="str">
        <f t="array" ref="D433">IFERROR(INDEX('Patrimônio'!$B$7:$B$1003,MATCH($B433,'Patrimônio'!$A$7:$A$1003,0)),"")</f>
        <v/>
      </c>
      <c r="E433" s="17"/>
      <c r="F433" s="18"/>
      <c r="G433" s="19"/>
      <c r="H433" s="15"/>
      <c r="I433" s="17"/>
      <c r="J433" s="24" t="str">
        <f t="shared" si="1"/>
        <v/>
      </c>
      <c r="K433" s="17"/>
    </row>
    <row r="434" ht="15.0" customHeight="1">
      <c r="A434" s="19"/>
      <c r="B434" s="15"/>
      <c r="C434" s="26" t="str">
        <f t="array" ref="C434">IFERROR(INDEX('Patrimônio'!$C$7:$C$1003,MATCH($B434,'Patrimônio'!$A$7:$A$1003,0)),"")</f>
        <v/>
      </c>
      <c r="D434" s="26" t="str">
        <f t="array" ref="D434">IFERROR(INDEX('Patrimônio'!$B$7:$B$1003,MATCH($B434,'Patrimônio'!$A$7:$A$1003,0)),"")</f>
        <v/>
      </c>
      <c r="E434" s="17"/>
      <c r="F434" s="18"/>
      <c r="G434" s="19"/>
      <c r="H434" s="15"/>
      <c r="I434" s="17"/>
      <c r="J434" s="24" t="str">
        <f t="shared" si="1"/>
        <v/>
      </c>
      <c r="K434" s="17"/>
    </row>
    <row r="435" ht="15.0" customHeight="1">
      <c r="A435" s="19"/>
      <c r="B435" s="15"/>
      <c r="C435" s="26" t="str">
        <f t="array" ref="C435">IFERROR(INDEX('Patrimônio'!$C$7:$C$1003,MATCH($B435,'Patrimônio'!$A$7:$A$1003,0)),"")</f>
        <v/>
      </c>
      <c r="D435" s="26" t="str">
        <f t="array" ref="D435">IFERROR(INDEX('Patrimônio'!$B$7:$B$1003,MATCH($B435,'Patrimônio'!$A$7:$A$1003,0)),"")</f>
        <v/>
      </c>
      <c r="E435" s="17"/>
      <c r="F435" s="18"/>
      <c r="G435" s="19"/>
      <c r="H435" s="15"/>
      <c r="I435" s="17"/>
      <c r="J435" s="24" t="str">
        <f t="shared" si="1"/>
        <v/>
      </c>
      <c r="K435" s="17"/>
    </row>
    <row r="436" ht="15.0" customHeight="1">
      <c r="A436" s="19"/>
      <c r="B436" s="15"/>
      <c r="C436" s="26" t="str">
        <f t="array" ref="C436">IFERROR(INDEX('Patrimônio'!$C$7:$C$1003,MATCH($B436,'Patrimônio'!$A$7:$A$1003,0)),"")</f>
        <v/>
      </c>
      <c r="D436" s="26" t="str">
        <f t="array" ref="D436">IFERROR(INDEX('Patrimônio'!$B$7:$B$1003,MATCH($B436,'Patrimônio'!$A$7:$A$1003,0)),"")</f>
        <v/>
      </c>
      <c r="E436" s="17"/>
      <c r="F436" s="18"/>
      <c r="G436" s="19"/>
      <c r="H436" s="15"/>
      <c r="I436" s="17"/>
      <c r="J436" s="24" t="str">
        <f t="shared" si="1"/>
        <v/>
      </c>
      <c r="K436" s="17"/>
    </row>
    <row r="437" ht="15.0" customHeight="1">
      <c r="A437" s="19"/>
      <c r="B437" s="15"/>
      <c r="C437" s="26" t="str">
        <f t="array" ref="C437">IFERROR(INDEX('Patrimônio'!$C$7:$C$1003,MATCH($B437,'Patrimônio'!$A$7:$A$1003,0)),"")</f>
        <v/>
      </c>
      <c r="D437" s="26" t="str">
        <f t="array" ref="D437">IFERROR(INDEX('Patrimônio'!$B$7:$B$1003,MATCH($B437,'Patrimônio'!$A$7:$A$1003,0)),"")</f>
        <v/>
      </c>
      <c r="E437" s="17"/>
      <c r="F437" s="18"/>
      <c r="G437" s="19"/>
      <c r="H437" s="15"/>
      <c r="I437" s="17"/>
      <c r="J437" s="24" t="str">
        <f t="shared" si="1"/>
        <v/>
      </c>
      <c r="K437" s="17"/>
    </row>
    <row r="438" ht="15.0" customHeight="1">
      <c r="A438" s="19"/>
      <c r="B438" s="15"/>
      <c r="C438" s="26" t="str">
        <f t="array" ref="C438">IFERROR(INDEX('Patrimônio'!$C$7:$C$1003,MATCH($B438,'Patrimônio'!$A$7:$A$1003,0)),"")</f>
        <v/>
      </c>
      <c r="D438" s="26" t="str">
        <f t="array" ref="D438">IFERROR(INDEX('Patrimônio'!$B$7:$B$1003,MATCH($B438,'Patrimônio'!$A$7:$A$1003,0)),"")</f>
        <v/>
      </c>
      <c r="E438" s="17"/>
      <c r="F438" s="18"/>
      <c r="G438" s="19"/>
      <c r="H438" s="15"/>
      <c r="I438" s="17"/>
      <c r="J438" s="24" t="str">
        <f t="shared" si="1"/>
        <v/>
      </c>
      <c r="K438" s="17"/>
    </row>
    <row r="439" ht="15.0" customHeight="1">
      <c r="A439" s="19"/>
      <c r="B439" s="15"/>
      <c r="C439" s="26" t="str">
        <f t="array" ref="C439">IFERROR(INDEX('Patrimônio'!$C$7:$C$1003,MATCH($B439,'Patrimônio'!$A$7:$A$1003,0)),"")</f>
        <v/>
      </c>
      <c r="D439" s="26" t="str">
        <f t="array" ref="D439">IFERROR(INDEX('Patrimônio'!$B$7:$B$1003,MATCH($B439,'Patrimônio'!$A$7:$A$1003,0)),"")</f>
        <v/>
      </c>
      <c r="E439" s="17"/>
      <c r="F439" s="18"/>
      <c r="G439" s="19"/>
      <c r="H439" s="15"/>
      <c r="I439" s="17"/>
      <c r="J439" s="24" t="str">
        <f t="shared" si="1"/>
        <v/>
      </c>
      <c r="K439" s="17"/>
    </row>
    <row r="440" ht="15.0" customHeight="1">
      <c r="A440" s="19"/>
      <c r="B440" s="15"/>
      <c r="C440" s="26" t="str">
        <f t="array" ref="C440">IFERROR(INDEX('Patrimônio'!$C$7:$C$1003,MATCH($B440,'Patrimônio'!$A$7:$A$1003,0)),"")</f>
        <v/>
      </c>
      <c r="D440" s="26" t="str">
        <f t="array" ref="D440">IFERROR(INDEX('Patrimônio'!$B$7:$B$1003,MATCH($B440,'Patrimônio'!$A$7:$A$1003,0)),"")</f>
        <v/>
      </c>
      <c r="E440" s="17"/>
      <c r="F440" s="18"/>
      <c r="G440" s="19"/>
      <c r="H440" s="15"/>
      <c r="I440" s="17"/>
      <c r="J440" s="24" t="str">
        <f t="shared" si="1"/>
        <v/>
      </c>
      <c r="K440" s="17"/>
    </row>
    <row r="441" ht="15.0" customHeight="1">
      <c r="A441" s="19"/>
      <c r="B441" s="15"/>
      <c r="C441" s="26" t="str">
        <f t="array" ref="C441">IFERROR(INDEX('Patrimônio'!$C$7:$C$1003,MATCH($B441,'Patrimônio'!$A$7:$A$1003,0)),"")</f>
        <v/>
      </c>
      <c r="D441" s="26" t="str">
        <f t="array" ref="D441">IFERROR(INDEX('Patrimônio'!$B$7:$B$1003,MATCH($B441,'Patrimônio'!$A$7:$A$1003,0)),"")</f>
        <v/>
      </c>
      <c r="E441" s="17"/>
      <c r="F441" s="18"/>
      <c r="G441" s="19"/>
      <c r="H441" s="15"/>
      <c r="I441" s="17"/>
      <c r="J441" s="24" t="str">
        <f t="shared" si="1"/>
        <v/>
      </c>
      <c r="K441" s="17"/>
    </row>
    <row r="442" ht="15.0" customHeight="1">
      <c r="A442" s="19"/>
      <c r="B442" s="15"/>
      <c r="C442" s="26" t="str">
        <f t="array" ref="C442">IFERROR(INDEX('Patrimônio'!$C$7:$C$1003,MATCH($B442,'Patrimônio'!$A$7:$A$1003,0)),"")</f>
        <v/>
      </c>
      <c r="D442" s="26" t="str">
        <f t="array" ref="D442">IFERROR(INDEX('Patrimônio'!$B$7:$B$1003,MATCH($B442,'Patrimônio'!$A$7:$A$1003,0)),"")</f>
        <v/>
      </c>
      <c r="E442" s="17"/>
      <c r="F442" s="18"/>
      <c r="G442" s="19"/>
      <c r="H442" s="15"/>
      <c r="I442" s="17"/>
      <c r="J442" s="24" t="str">
        <f t="shared" si="1"/>
        <v/>
      </c>
      <c r="K442" s="17"/>
    </row>
    <row r="443" ht="15.0" customHeight="1">
      <c r="A443" s="19"/>
      <c r="B443" s="15"/>
      <c r="C443" s="26" t="str">
        <f t="array" ref="C443">IFERROR(INDEX('Patrimônio'!$C$7:$C$1003,MATCH($B443,'Patrimônio'!$A$7:$A$1003,0)),"")</f>
        <v/>
      </c>
      <c r="D443" s="26" t="str">
        <f t="array" ref="D443">IFERROR(INDEX('Patrimônio'!$B$7:$B$1003,MATCH($B443,'Patrimônio'!$A$7:$A$1003,0)),"")</f>
        <v/>
      </c>
      <c r="E443" s="17"/>
      <c r="F443" s="18"/>
      <c r="G443" s="19"/>
      <c r="H443" s="15"/>
      <c r="I443" s="17"/>
      <c r="J443" s="24" t="str">
        <f t="shared" si="1"/>
        <v/>
      </c>
      <c r="K443" s="17"/>
    </row>
    <row r="444" ht="15.0" customHeight="1">
      <c r="A444" s="19"/>
      <c r="B444" s="15"/>
      <c r="C444" s="26" t="str">
        <f t="array" ref="C444">IFERROR(INDEX('Patrimônio'!$C$7:$C$1003,MATCH($B444,'Patrimônio'!$A$7:$A$1003,0)),"")</f>
        <v/>
      </c>
      <c r="D444" s="26" t="str">
        <f t="array" ref="D444">IFERROR(INDEX('Patrimônio'!$B$7:$B$1003,MATCH($B444,'Patrimônio'!$A$7:$A$1003,0)),"")</f>
        <v/>
      </c>
      <c r="E444" s="17"/>
      <c r="F444" s="18"/>
      <c r="G444" s="19"/>
      <c r="H444" s="15"/>
      <c r="I444" s="17"/>
      <c r="J444" s="24" t="str">
        <f t="shared" si="1"/>
        <v/>
      </c>
      <c r="K444" s="17"/>
    </row>
    <row r="445" ht="15.0" customHeight="1">
      <c r="A445" s="19"/>
      <c r="B445" s="15"/>
      <c r="C445" s="26" t="str">
        <f t="array" ref="C445">IFERROR(INDEX('Patrimônio'!$C$7:$C$1003,MATCH($B445,'Patrimônio'!$A$7:$A$1003,0)),"")</f>
        <v/>
      </c>
      <c r="D445" s="26" t="str">
        <f t="array" ref="D445">IFERROR(INDEX('Patrimônio'!$B$7:$B$1003,MATCH($B445,'Patrimônio'!$A$7:$A$1003,0)),"")</f>
        <v/>
      </c>
      <c r="E445" s="17"/>
      <c r="F445" s="18"/>
      <c r="G445" s="19"/>
      <c r="H445" s="15"/>
      <c r="I445" s="17"/>
      <c r="J445" s="24" t="str">
        <f t="shared" si="1"/>
        <v/>
      </c>
      <c r="K445" s="17"/>
    </row>
    <row r="446" ht="15.0" customHeight="1">
      <c r="A446" s="19"/>
      <c r="B446" s="15"/>
      <c r="C446" s="26" t="str">
        <f t="array" ref="C446">IFERROR(INDEX('Patrimônio'!$C$7:$C$1003,MATCH($B446,'Patrimônio'!$A$7:$A$1003,0)),"")</f>
        <v/>
      </c>
      <c r="D446" s="26" t="str">
        <f t="array" ref="D446">IFERROR(INDEX('Patrimônio'!$B$7:$B$1003,MATCH($B446,'Patrimônio'!$A$7:$A$1003,0)),"")</f>
        <v/>
      </c>
      <c r="E446" s="17"/>
      <c r="F446" s="18"/>
      <c r="G446" s="19"/>
      <c r="H446" s="15"/>
      <c r="I446" s="17"/>
      <c r="J446" s="24" t="str">
        <f t="shared" si="1"/>
        <v/>
      </c>
      <c r="K446" s="17"/>
    </row>
    <row r="447" ht="15.0" customHeight="1">
      <c r="A447" s="19"/>
      <c r="B447" s="15"/>
      <c r="C447" s="26" t="str">
        <f t="array" ref="C447">IFERROR(INDEX('Patrimônio'!$C$7:$C$1003,MATCH($B447,'Patrimônio'!$A$7:$A$1003,0)),"")</f>
        <v/>
      </c>
      <c r="D447" s="26" t="str">
        <f t="array" ref="D447">IFERROR(INDEX('Patrimônio'!$B$7:$B$1003,MATCH($B447,'Patrimônio'!$A$7:$A$1003,0)),"")</f>
        <v/>
      </c>
      <c r="E447" s="17"/>
      <c r="F447" s="18"/>
      <c r="G447" s="19"/>
      <c r="H447" s="15"/>
      <c r="I447" s="17"/>
      <c r="J447" s="24" t="str">
        <f t="shared" si="1"/>
        <v/>
      </c>
      <c r="K447" s="17"/>
    </row>
    <row r="448" ht="15.0" customHeight="1">
      <c r="A448" s="19"/>
      <c r="B448" s="15"/>
      <c r="C448" s="26" t="str">
        <f t="array" ref="C448">IFERROR(INDEX('Patrimônio'!$C$7:$C$1003,MATCH($B448,'Patrimônio'!$A$7:$A$1003,0)),"")</f>
        <v/>
      </c>
      <c r="D448" s="26" t="str">
        <f t="array" ref="D448">IFERROR(INDEX('Patrimônio'!$B$7:$B$1003,MATCH($B448,'Patrimônio'!$A$7:$A$1003,0)),"")</f>
        <v/>
      </c>
      <c r="E448" s="17"/>
      <c r="F448" s="18"/>
      <c r="G448" s="19"/>
      <c r="H448" s="15"/>
      <c r="I448" s="17"/>
      <c r="J448" s="24" t="str">
        <f t="shared" si="1"/>
        <v/>
      </c>
      <c r="K448" s="17"/>
    </row>
    <row r="449" ht="15.0" customHeight="1">
      <c r="A449" s="19"/>
      <c r="B449" s="15"/>
      <c r="C449" s="26" t="str">
        <f t="array" ref="C449">IFERROR(INDEX('Patrimônio'!$C$7:$C$1003,MATCH($B449,'Patrimônio'!$A$7:$A$1003,0)),"")</f>
        <v/>
      </c>
      <c r="D449" s="26" t="str">
        <f t="array" ref="D449">IFERROR(INDEX('Patrimônio'!$B$7:$B$1003,MATCH($B449,'Patrimônio'!$A$7:$A$1003,0)),"")</f>
        <v/>
      </c>
      <c r="E449" s="17"/>
      <c r="F449" s="18"/>
      <c r="G449" s="19"/>
      <c r="H449" s="15"/>
      <c r="I449" s="17"/>
      <c r="J449" s="24" t="str">
        <f t="shared" si="1"/>
        <v/>
      </c>
      <c r="K449" s="17"/>
    </row>
    <row r="450" ht="15.0" customHeight="1">
      <c r="A450" s="19"/>
      <c r="B450" s="15"/>
      <c r="C450" s="26" t="str">
        <f t="array" ref="C450">IFERROR(INDEX('Patrimônio'!$C$7:$C$1003,MATCH($B450,'Patrimônio'!$A$7:$A$1003,0)),"")</f>
        <v/>
      </c>
      <c r="D450" s="26" t="str">
        <f t="array" ref="D450">IFERROR(INDEX('Patrimônio'!$B$7:$B$1003,MATCH($B450,'Patrimônio'!$A$7:$A$1003,0)),"")</f>
        <v/>
      </c>
      <c r="E450" s="17"/>
      <c r="F450" s="18"/>
      <c r="G450" s="19"/>
      <c r="H450" s="15"/>
      <c r="I450" s="17"/>
      <c r="J450" s="24" t="str">
        <f t="shared" si="1"/>
        <v/>
      </c>
      <c r="K450" s="17"/>
    </row>
    <row r="451" ht="15.0" customHeight="1">
      <c r="A451" s="19"/>
      <c r="B451" s="15"/>
      <c r="C451" s="26" t="str">
        <f t="array" ref="C451">IFERROR(INDEX('Patrimônio'!$C$7:$C$1003,MATCH($B451,'Patrimônio'!$A$7:$A$1003,0)),"")</f>
        <v/>
      </c>
      <c r="D451" s="26" t="str">
        <f t="array" ref="D451">IFERROR(INDEX('Patrimônio'!$B$7:$B$1003,MATCH($B451,'Patrimônio'!$A$7:$A$1003,0)),"")</f>
        <v/>
      </c>
      <c r="E451" s="17"/>
      <c r="F451" s="18"/>
      <c r="G451" s="19"/>
      <c r="H451" s="15"/>
      <c r="I451" s="17"/>
      <c r="J451" s="24" t="str">
        <f t="shared" si="1"/>
        <v/>
      </c>
      <c r="K451" s="17"/>
    </row>
    <row r="452" ht="15.0" customHeight="1">
      <c r="A452" s="19"/>
      <c r="B452" s="15"/>
      <c r="C452" s="26" t="str">
        <f t="array" ref="C452">IFERROR(INDEX('Patrimônio'!$C$7:$C$1003,MATCH($B452,'Patrimônio'!$A$7:$A$1003,0)),"")</f>
        <v/>
      </c>
      <c r="D452" s="26" t="str">
        <f t="array" ref="D452">IFERROR(INDEX('Patrimônio'!$B$7:$B$1003,MATCH($B452,'Patrimônio'!$A$7:$A$1003,0)),"")</f>
        <v/>
      </c>
      <c r="E452" s="17"/>
      <c r="F452" s="18"/>
      <c r="G452" s="19"/>
      <c r="H452" s="15"/>
      <c r="I452" s="17"/>
      <c r="J452" s="24" t="str">
        <f t="shared" si="1"/>
        <v/>
      </c>
      <c r="K452" s="17"/>
    </row>
    <row r="453" ht="15.0" customHeight="1">
      <c r="A453" s="19"/>
      <c r="B453" s="15"/>
      <c r="C453" s="26" t="str">
        <f t="array" ref="C453">IFERROR(INDEX('Patrimônio'!$C$7:$C$1003,MATCH($B453,'Patrimônio'!$A$7:$A$1003,0)),"")</f>
        <v/>
      </c>
      <c r="D453" s="26" t="str">
        <f t="array" ref="D453">IFERROR(INDEX('Patrimônio'!$B$7:$B$1003,MATCH($B453,'Patrimônio'!$A$7:$A$1003,0)),"")</f>
        <v/>
      </c>
      <c r="E453" s="17"/>
      <c r="F453" s="18"/>
      <c r="G453" s="19"/>
      <c r="H453" s="15"/>
      <c r="I453" s="17"/>
      <c r="J453" s="24" t="str">
        <f t="shared" si="1"/>
        <v/>
      </c>
      <c r="K453" s="17"/>
    </row>
    <row r="454" ht="15.0" customHeight="1">
      <c r="A454" s="19"/>
      <c r="B454" s="15"/>
      <c r="C454" s="26" t="str">
        <f t="array" ref="C454">IFERROR(INDEX('Patrimônio'!$C$7:$C$1003,MATCH($B454,'Patrimônio'!$A$7:$A$1003,0)),"")</f>
        <v/>
      </c>
      <c r="D454" s="26" t="str">
        <f t="array" ref="D454">IFERROR(INDEX('Patrimônio'!$B$7:$B$1003,MATCH($B454,'Patrimônio'!$A$7:$A$1003,0)),"")</f>
        <v/>
      </c>
      <c r="E454" s="17"/>
      <c r="F454" s="18"/>
      <c r="G454" s="19"/>
      <c r="H454" s="15"/>
      <c r="I454" s="17"/>
      <c r="J454" s="24" t="str">
        <f t="shared" si="1"/>
        <v/>
      </c>
      <c r="K454" s="17"/>
    </row>
    <row r="455" ht="15.0" customHeight="1">
      <c r="A455" s="19"/>
      <c r="B455" s="15"/>
      <c r="C455" s="26" t="str">
        <f t="array" ref="C455">IFERROR(INDEX('Patrimônio'!$C$7:$C$1003,MATCH($B455,'Patrimônio'!$A$7:$A$1003,0)),"")</f>
        <v/>
      </c>
      <c r="D455" s="26" t="str">
        <f t="array" ref="D455">IFERROR(INDEX('Patrimônio'!$B$7:$B$1003,MATCH($B455,'Patrimônio'!$A$7:$A$1003,0)),"")</f>
        <v/>
      </c>
      <c r="E455" s="17"/>
      <c r="F455" s="18"/>
      <c r="G455" s="19"/>
      <c r="H455" s="15"/>
      <c r="I455" s="17"/>
      <c r="J455" s="24" t="str">
        <f t="shared" si="1"/>
        <v/>
      </c>
      <c r="K455" s="17"/>
    </row>
    <row r="456" ht="15.0" customHeight="1">
      <c r="A456" s="19"/>
      <c r="B456" s="15"/>
      <c r="C456" s="26" t="str">
        <f t="array" ref="C456">IFERROR(INDEX('Patrimônio'!$C$7:$C$1003,MATCH($B456,'Patrimônio'!$A$7:$A$1003,0)),"")</f>
        <v/>
      </c>
      <c r="D456" s="26" t="str">
        <f t="array" ref="D456">IFERROR(INDEX('Patrimônio'!$B$7:$B$1003,MATCH($B456,'Patrimônio'!$A$7:$A$1003,0)),"")</f>
        <v/>
      </c>
      <c r="E456" s="17"/>
      <c r="F456" s="18"/>
      <c r="G456" s="19"/>
      <c r="H456" s="15"/>
      <c r="I456" s="17"/>
      <c r="J456" s="24" t="str">
        <f t="shared" si="1"/>
        <v/>
      </c>
      <c r="K456" s="17"/>
    </row>
    <row r="457" ht="15.0" customHeight="1">
      <c r="A457" s="19"/>
      <c r="B457" s="15"/>
      <c r="C457" s="26" t="str">
        <f t="array" ref="C457">IFERROR(INDEX('Patrimônio'!$C$7:$C$1003,MATCH($B457,'Patrimônio'!$A$7:$A$1003,0)),"")</f>
        <v/>
      </c>
      <c r="D457" s="26" t="str">
        <f t="array" ref="D457">IFERROR(INDEX('Patrimônio'!$B$7:$B$1003,MATCH($B457,'Patrimônio'!$A$7:$A$1003,0)),"")</f>
        <v/>
      </c>
      <c r="E457" s="17"/>
      <c r="F457" s="18"/>
      <c r="G457" s="19"/>
      <c r="H457" s="15"/>
      <c r="I457" s="17"/>
      <c r="J457" s="24" t="str">
        <f t="shared" si="1"/>
        <v/>
      </c>
      <c r="K457" s="17"/>
    </row>
    <row r="458" ht="15.0" customHeight="1">
      <c r="A458" s="19"/>
      <c r="B458" s="15"/>
      <c r="C458" s="26" t="str">
        <f t="array" ref="C458">IFERROR(INDEX('Patrimônio'!$C$7:$C$1003,MATCH($B458,'Patrimônio'!$A$7:$A$1003,0)),"")</f>
        <v/>
      </c>
      <c r="D458" s="26" t="str">
        <f t="array" ref="D458">IFERROR(INDEX('Patrimônio'!$B$7:$B$1003,MATCH($B458,'Patrimônio'!$A$7:$A$1003,0)),"")</f>
        <v/>
      </c>
      <c r="E458" s="17"/>
      <c r="F458" s="18"/>
      <c r="G458" s="19"/>
      <c r="H458" s="15"/>
      <c r="I458" s="17"/>
      <c r="J458" s="24" t="str">
        <f t="shared" si="1"/>
        <v/>
      </c>
      <c r="K458" s="17"/>
    </row>
    <row r="459" ht="15.0" customHeight="1">
      <c r="A459" s="19"/>
      <c r="B459" s="15"/>
      <c r="C459" s="26" t="str">
        <f t="array" ref="C459">IFERROR(INDEX('Patrimônio'!$C$7:$C$1003,MATCH($B459,'Patrimônio'!$A$7:$A$1003,0)),"")</f>
        <v/>
      </c>
      <c r="D459" s="26" t="str">
        <f t="array" ref="D459">IFERROR(INDEX('Patrimônio'!$B$7:$B$1003,MATCH($B459,'Patrimônio'!$A$7:$A$1003,0)),"")</f>
        <v/>
      </c>
      <c r="E459" s="17"/>
      <c r="F459" s="18"/>
      <c r="G459" s="19"/>
      <c r="H459" s="15"/>
      <c r="I459" s="17"/>
      <c r="J459" s="24" t="str">
        <f t="shared" si="1"/>
        <v/>
      </c>
      <c r="K459" s="17"/>
    </row>
    <row r="460" ht="15.0" customHeight="1">
      <c r="A460" s="19"/>
      <c r="B460" s="15"/>
      <c r="C460" s="26" t="str">
        <f t="array" ref="C460">IFERROR(INDEX('Patrimônio'!$C$7:$C$1003,MATCH($B460,'Patrimônio'!$A$7:$A$1003,0)),"")</f>
        <v/>
      </c>
      <c r="D460" s="26" t="str">
        <f t="array" ref="D460">IFERROR(INDEX('Patrimônio'!$B$7:$B$1003,MATCH($B460,'Patrimônio'!$A$7:$A$1003,0)),"")</f>
        <v/>
      </c>
      <c r="E460" s="17"/>
      <c r="F460" s="18"/>
      <c r="G460" s="19"/>
      <c r="H460" s="15"/>
      <c r="I460" s="17"/>
      <c r="J460" s="24" t="str">
        <f t="shared" si="1"/>
        <v/>
      </c>
      <c r="K460" s="17"/>
    </row>
    <row r="461" ht="15.0" customHeight="1">
      <c r="A461" s="19"/>
      <c r="B461" s="15"/>
      <c r="C461" s="26" t="str">
        <f t="array" ref="C461">IFERROR(INDEX('Patrimônio'!$C$7:$C$1003,MATCH($B461,'Patrimônio'!$A$7:$A$1003,0)),"")</f>
        <v/>
      </c>
      <c r="D461" s="26" t="str">
        <f t="array" ref="D461">IFERROR(INDEX('Patrimônio'!$B$7:$B$1003,MATCH($B461,'Patrimônio'!$A$7:$A$1003,0)),"")</f>
        <v/>
      </c>
      <c r="E461" s="17"/>
      <c r="F461" s="18"/>
      <c r="G461" s="19"/>
      <c r="H461" s="15"/>
      <c r="I461" s="17"/>
      <c r="J461" s="24" t="str">
        <f t="shared" si="1"/>
        <v/>
      </c>
      <c r="K461" s="17"/>
    </row>
    <row r="462" ht="15.0" customHeight="1">
      <c r="A462" s="19"/>
      <c r="B462" s="15"/>
      <c r="C462" s="26" t="str">
        <f t="array" ref="C462">IFERROR(INDEX('Patrimônio'!$C$7:$C$1003,MATCH($B462,'Patrimônio'!$A$7:$A$1003,0)),"")</f>
        <v/>
      </c>
      <c r="D462" s="26" t="str">
        <f t="array" ref="D462">IFERROR(INDEX('Patrimônio'!$B$7:$B$1003,MATCH($B462,'Patrimônio'!$A$7:$A$1003,0)),"")</f>
        <v/>
      </c>
      <c r="E462" s="17"/>
      <c r="F462" s="18"/>
      <c r="G462" s="19"/>
      <c r="H462" s="15"/>
      <c r="I462" s="17"/>
      <c r="J462" s="24" t="str">
        <f t="shared" si="1"/>
        <v/>
      </c>
      <c r="K462" s="17"/>
    </row>
    <row r="463" ht="15.0" customHeight="1">
      <c r="A463" s="19"/>
      <c r="B463" s="15"/>
      <c r="C463" s="26" t="str">
        <f t="array" ref="C463">IFERROR(INDEX('Patrimônio'!$C$7:$C$1003,MATCH($B463,'Patrimônio'!$A$7:$A$1003,0)),"")</f>
        <v/>
      </c>
      <c r="D463" s="26" t="str">
        <f t="array" ref="D463">IFERROR(INDEX('Patrimônio'!$B$7:$B$1003,MATCH($B463,'Patrimônio'!$A$7:$A$1003,0)),"")</f>
        <v/>
      </c>
      <c r="E463" s="17"/>
      <c r="F463" s="18"/>
      <c r="G463" s="19"/>
      <c r="H463" s="15"/>
      <c r="I463" s="17"/>
      <c r="J463" s="24" t="str">
        <f t="shared" si="1"/>
        <v/>
      </c>
      <c r="K463" s="17"/>
    </row>
    <row r="464" ht="15.0" customHeight="1">
      <c r="A464" s="19"/>
      <c r="B464" s="15"/>
      <c r="C464" s="26" t="str">
        <f t="array" ref="C464">IFERROR(INDEX('Patrimônio'!$C$7:$C$1003,MATCH($B464,'Patrimônio'!$A$7:$A$1003,0)),"")</f>
        <v/>
      </c>
      <c r="D464" s="26" t="str">
        <f t="array" ref="D464">IFERROR(INDEX('Patrimônio'!$B$7:$B$1003,MATCH($B464,'Patrimônio'!$A$7:$A$1003,0)),"")</f>
        <v/>
      </c>
      <c r="E464" s="17"/>
      <c r="F464" s="18"/>
      <c r="G464" s="19"/>
      <c r="H464" s="15"/>
      <c r="I464" s="17"/>
      <c r="J464" s="24" t="str">
        <f t="shared" si="1"/>
        <v/>
      </c>
      <c r="K464" s="17"/>
    </row>
    <row r="465" ht="15.0" customHeight="1">
      <c r="A465" s="19"/>
      <c r="B465" s="15"/>
      <c r="C465" s="26" t="str">
        <f t="array" ref="C465">IFERROR(INDEX('Patrimônio'!$C$7:$C$1003,MATCH($B465,'Patrimônio'!$A$7:$A$1003,0)),"")</f>
        <v/>
      </c>
      <c r="D465" s="26" t="str">
        <f t="array" ref="D465">IFERROR(INDEX('Patrimônio'!$B$7:$B$1003,MATCH($B465,'Patrimônio'!$A$7:$A$1003,0)),"")</f>
        <v/>
      </c>
      <c r="E465" s="17"/>
      <c r="F465" s="18"/>
      <c r="G465" s="19"/>
      <c r="H465" s="15"/>
      <c r="I465" s="17"/>
      <c r="J465" s="24" t="str">
        <f t="shared" si="1"/>
        <v/>
      </c>
      <c r="K465" s="17"/>
    </row>
    <row r="466" ht="15.0" customHeight="1">
      <c r="A466" s="19"/>
      <c r="B466" s="15"/>
      <c r="C466" s="26" t="str">
        <f t="array" ref="C466">IFERROR(INDEX('Patrimônio'!$C$7:$C$1003,MATCH($B466,'Patrimônio'!$A$7:$A$1003,0)),"")</f>
        <v/>
      </c>
      <c r="D466" s="26" t="str">
        <f t="array" ref="D466">IFERROR(INDEX('Patrimônio'!$B$7:$B$1003,MATCH($B466,'Patrimônio'!$A$7:$A$1003,0)),"")</f>
        <v/>
      </c>
      <c r="E466" s="17"/>
      <c r="F466" s="18"/>
      <c r="G466" s="19"/>
      <c r="H466" s="15"/>
      <c r="I466" s="17"/>
      <c r="J466" s="24" t="str">
        <f t="shared" si="1"/>
        <v/>
      </c>
      <c r="K466" s="17"/>
    </row>
    <row r="467" ht="15.0" customHeight="1">
      <c r="A467" s="19"/>
      <c r="B467" s="15"/>
      <c r="C467" s="26" t="str">
        <f t="array" ref="C467">IFERROR(INDEX('Patrimônio'!$C$7:$C$1003,MATCH($B467,'Patrimônio'!$A$7:$A$1003,0)),"")</f>
        <v/>
      </c>
      <c r="D467" s="26" t="str">
        <f t="array" ref="D467">IFERROR(INDEX('Patrimônio'!$B$7:$B$1003,MATCH($B467,'Patrimônio'!$A$7:$A$1003,0)),"")</f>
        <v/>
      </c>
      <c r="E467" s="17"/>
      <c r="F467" s="18"/>
      <c r="G467" s="19"/>
      <c r="H467" s="15"/>
      <c r="I467" s="17"/>
      <c r="J467" s="24" t="str">
        <f t="shared" si="1"/>
        <v/>
      </c>
      <c r="K467" s="17"/>
    </row>
    <row r="468" ht="15.0" customHeight="1">
      <c r="A468" s="19"/>
      <c r="B468" s="15"/>
      <c r="C468" s="26" t="str">
        <f t="array" ref="C468">IFERROR(INDEX('Patrimônio'!$C$7:$C$1003,MATCH($B468,'Patrimônio'!$A$7:$A$1003,0)),"")</f>
        <v/>
      </c>
      <c r="D468" s="26" t="str">
        <f t="array" ref="D468">IFERROR(INDEX('Patrimônio'!$B$7:$B$1003,MATCH($B468,'Patrimônio'!$A$7:$A$1003,0)),"")</f>
        <v/>
      </c>
      <c r="E468" s="17"/>
      <c r="F468" s="18"/>
      <c r="G468" s="19"/>
      <c r="H468" s="15"/>
      <c r="I468" s="17"/>
      <c r="J468" s="24" t="str">
        <f t="shared" si="1"/>
        <v/>
      </c>
      <c r="K468" s="17"/>
    </row>
    <row r="469" ht="15.0" customHeight="1">
      <c r="A469" s="19"/>
      <c r="B469" s="15"/>
      <c r="C469" s="26" t="str">
        <f t="array" ref="C469">IFERROR(INDEX('Patrimônio'!$C$7:$C$1003,MATCH($B469,'Patrimônio'!$A$7:$A$1003,0)),"")</f>
        <v/>
      </c>
      <c r="D469" s="26" t="str">
        <f t="array" ref="D469">IFERROR(INDEX('Patrimônio'!$B$7:$B$1003,MATCH($B469,'Patrimônio'!$A$7:$A$1003,0)),"")</f>
        <v/>
      </c>
      <c r="E469" s="17"/>
      <c r="F469" s="18"/>
      <c r="G469" s="19"/>
      <c r="H469" s="15"/>
      <c r="I469" s="17"/>
      <c r="J469" s="24" t="str">
        <f t="shared" si="1"/>
        <v/>
      </c>
      <c r="K469" s="17"/>
    </row>
    <row r="470" ht="15.0" customHeight="1">
      <c r="A470" s="19"/>
      <c r="B470" s="15"/>
      <c r="C470" s="26" t="str">
        <f t="array" ref="C470">IFERROR(INDEX('Patrimônio'!$C$7:$C$1003,MATCH($B470,'Patrimônio'!$A$7:$A$1003,0)),"")</f>
        <v/>
      </c>
      <c r="D470" s="26" t="str">
        <f t="array" ref="D470">IFERROR(INDEX('Patrimônio'!$B$7:$B$1003,MATCH($B470,'Patrimônio'!$A$7:$A$1003,0)),"")</f>
        <v/>
      </c>
      <c r="E470" s="17"/>
      <c r="F470" s="18"/>
      <c r="G470" s="19"/>
      <c r="H470" s="15"/>
      <c r="I470" s="17"/>
      <c r="J470" s="24" t="str">
        <f t="shared" si="1"/>
        <v/>
      </c>
      <c r="K470" s="17"/>
    </row>
    <row r="471" ht="15.0" customHeight="1">
      <c r="A471" s="19"/>
      <c r="B471" s="15"/>
      <c r="C471" s="26" t="str">
        <f t="array" ref="C471">IFERROR(INDEX('Patrimônio'!$C$7:$C$1003,MATCH($B471,'Patrimônio'!$A$7:$A$1003,0)),"")</f>
        <v/>
      </c>
      <c r="D471" s="26" t="str">
        <f t="array" ref="D471">IFERROR(INDEX('Patrimônio'!$B$7:$B$1003,MATCH($B471,'Patrimônio'!$A$7:$A$1003,0)),"")</f>
        <v/>
      </c>
      <c r="E471" s="17"/>
      <c r="F471" s="18"/>
      <c r="G471" s="19"/>
      <c r="H471" s="15"/>
      <c r="I471" s="17"/>
      <c r="J471" s="24" t="str">
        <f t="shared" si="1"/>
        <v/>
      </c>
      <c r="K471" s="17"/>
    </row>
    <row r="472" ht="15.0" customHeight="1">
      <c r="A472" s="19"/>
      <c r="B472" s="15"/>
      <c r="C472" s="26" t="str">
        <f t="array" ref="C472">IFERROR(INDEX('Patrimônio'!$C$7:$C$1003,MATCH($B472,'Patrimônio'!$A$7:$A$1003,0)),"")</f>
        <v/>
      </c>
      <c r="D472" s="26" t="str">
        <f t="array" ref="D472">IFERROR(INDEX('Patrimônio'!$B$7:$B$1003,MATCH($B472,'Patrimônio'!$A$7:$A$1003,0)),"")</f>
        <v/>
      </c>
      <c r="E472" s="17"/>
      <c r="F472" s="18"/>
      <c r="G472" s="19"/>
      <c r="H472" s="15"/>
      <c r="I472" s="17"/>
      <c r="J472" s="24" t="str">
        <f t="shared" si="1"/>
        <v/>
      </c>
      <c r="K472" s="17"/>
    </row>
    <row r="473" ht="15.0" customHeight="1">
      <c r="A473" s="19"/>
      <c r="B473" s="15"/>
      <c r="C473" s="26" t="str">
        <f t="array" ref="C473">IFERROR(INDEX('Patrimônio'!$C$7:$C$1003,MATCH($B473,'Patrimônio'!$A$7:$A$1003,0)),"")</f>
        <v/>
      </c>
      <c r="D473" s="26" t="str">
        <f t="array" ref="D473">IFERROR(INDEX('Patrimônio'!$B$7:$B$1003,MATCH($B473,'Patrimônio'!$A$7:$A$1003,0)),"")</f>
        <v/>
      </c>
      <c r="E473" s="17"/>
      <c r="F473" s="18"/>
      <c r="G473" s="19"/>
      <c r="H473" s="15"/>
      <c r="I473" s="17"/>
      <c r="J473" s="24" t="str">
        <f t="shared" si="1"/>
        <v/>
      </c>
      <c r="K473" s="17"/>
    </row>
    <row r="474" ht="15.0" customHeight="1">
      <c r="A474" s="19"/>
      <c r="B474" s="15"/>
      <c r="C474" s="26" t="str">
        <f t="array" ref="C474">IFERROR(INDEX('Patrimônio'!$C$7:$C$1003,MATCH($B474,'Patrimônio'!$A$7:$A$1003,0)),"")</f>
        <v/>
      </c>
      <c r="D474" s="26" t="str">
        <f t="array" ref="D474">IFERROR(INDEX('Patrimônio'!$B$7:$B$1003,MATCH($B474,'Patrimônio'!$A$7:$A$1003,0)),"")</f>
        <v/>
      </c>
      <c r="E474" s="17"/>
      <c r="F474" s="18"/>
      <c r="G474" s="19"/>
      <c r="H474" s="15"/>
      <c r="I474" s="17"/>
      <c r="J474" s="24" t="str">
        <f t="shared" si="1"/>
        <v/>
      </c>
      <c r="K474" s="17"/>
    </row>
    <row r="475" ht="15.0" customHeight="1">
      <c r="A475" s="19"/>
      <c r="B475" s="15"/>
      <c r="C475" s="26" t="str">
        <f t="array" ref="C475">IFERROR(INDEX('Patrimônio'!$C$7:$C$1003,MATCH($B475,'Patrimônio'!$A$7:$A$1003,0)),"")</f>
        <v/>
      </c>
      <c r="D475" s="26" t="str">
        <f t="array" ref="D475">IFERROR(INDEX('Patrimônio'!$B$7:$B$1003,MATCH($B475,'Patrimônio'!$A$7:$A$1003,0)),"")</f>
        <v/>
      </c>
      <c r="E475" s="17"/>
      <c r="F475" s="18"/>
      <c r="G475" s="19"/>
      <c r="H475" s="15"/>
      <c r="I475" s="17"/>
      <c r="J475" s="24" t="str">
        <f t="shared" si="1"/>
        <v/>
      </c>
      <c r="K475" s="17"/>
    </row>
    <row r="476" ht="15.0" customHeight="1">
      <c r="A476" s="19"/>
      <c r="B476" s="15"/>
      <c r="C476" s="26" t="str">
        <f t="array" ref="C476">IFERROR(INDEX('Patrimônio'!$C$7:$C$1003,MATCH($B476,'Patrimônio'!$A$7:$A$1003,0)),"")</f>
        <v/>
      </c>
      <c r="D476" s="26" t="str">
        <f t="array" ref="D476">IFERROR(INDEX('Patrimônio'!$B$7:$B$1003,MATCH($B476,'Patrimônio'!$A$7:$A$1003,0)),"")</f>
        <v/>
      </c>
      <c r="E476" s="17"/>
      <c r="F476" s="18"/>
      <c r="G476" s="19"/>
      <c r="H476" s="15"/>
      <c r="I476" s="17"/>
      <c r="J476" s="24" t="str">
        <f t="shared" si="1"/>
        <v/>
      </c>
      <c r="K476" s="17"/>
    </row>
    <row r="477" ht="15.0" customHeight="1">
      <c r="A477" s="19"/>
      <c r="B477" s="15"/>
      <c r="C477" s="26" t="str">
        <f t="array" ref="C477">IFERROR(INDEX('Patrimônio'!$C$7:$C$1003,MATCH($B477,'Patrimônio'!$A$7:$A$1003,0)),"")</f>
        <v/>
      </c>
      <c r="D477" s="26" t="str">
        <f t="array" ref="D477">IFERROR(INDEX('Patrimônio'!$B$7:$B$1003,MATCH($B477,'Patrimônio'!$A$7:$A$1003,0)),"")</f>
        <v/>
      </c>
      <c r="E477" s="17"/>
      <c r="F477" s="18"/>
      <c r="G477" s="19"/>
      <c r="H477" s="15"/>
      <c r="I477" s="17"/>
      <c r="J477" s="24" t="str">
        <f t="shared" si="1"/>
        <v/>
      </c>
      <c r="K477" s="17"/>
    </row>
    <row r="478" ht="15.0" customHeight="1">
      <c r="A478" s="19"/>
      <c r="B478" s="15"/>
      <c r="C478" s="26" t="str">
        <f t="array" ref="C478">IFERROR(INDEX('Patrimônio'!$C$7:$C$1003,MATCH($B478,'Patrimônio'!$A$7:$A$1003,0)),"")</f>
        <v/>
      </c>
      <c r="D478" s="26" t="str">
        <f t="array" ref="D478">IFERROR(INDEX('Patrimônio'!$B$7:$B$1003,MATCH($B478,'Patrimônio'!$A$7:$A$1003,0)),"")</f>
        <v/>
      </c>
      <c r="E478" s="17"/>
      <c r="F478" s="18"/>
      <c r="G478" s="19"/>
      <c r="H478" s="15"/>
      <c r="I478" s="17"/>
      <c r="J478" s="24" t="str">
        <f t="shared" si="1"/>
        <v/>
      </c>
      <c r="K478" s="17"/>
    </row>
    <row r="479" ht="15.0" customHeight="1">
      <c r="A479" s="19"/>
      <c r="B479" s="15"/>
      <c r="C479" s="26" t="str">
        <f t="array" ref="C479">IFERROR(INDEX('Patrimônio'!$C$7:$C$1003,MATCH($B479,'Patrimônio'!$A$7:$A$1003,0)),"")</f>
        <v/>
      </c>
      <c r="D479" s="26" t="str">
        <f t="array" ref="D479">IFERROR(INDEX('Patrimônio'!$B$7:$B$1003,MATCH($B479,'Patrimônio'!$A$7:$A$1003,0)),"")</f>
        <v/>
      </c>
      <c r="E479" s="17"/>
      <c r="F479" s="18"/>
      <c r="G479" s="19"/>
      <c r="H479" s="15"/>
      <c r="I479" s="17"/>
      <c r="J479" s="24" t="str">
        <f t="shared" si="1"/>
        <v/>
      </c>
      <c r="K479" s="17"/>
    </row>
    <row r="480" ht="15.0" customHeight="1">
      <c r="A480" s="19"/>
      <c r="B480" s="15"/>
      <c r="C480" s="26" t="str">
        <f t="array" ref="C480">IFERROR(INDEX('Patrimônio'!$C$7:$C$1003,MATCH($B480,'Patrimônio'!$A$7:$A$1003,0)),"")</f>
        <v/>
      </c>
      <c r="D480" s="26" t="str">
        <f t="array" ref="D480">IFERROR(INDEX('Patrimônio'!$B$7:$B$1003,MATCH($B480,'Patrimônio'!$A$7:$A$1003,0)),"")</f>
        <v/>
      </c>
      <c r="E480" s="17"/>
      <c r="F480" s="18"/>
      <c r="G480" s="19"/>
      <c r="H480" s="15"/>
      <c r="I480" s="17"/>
      <c r="J480" s="24" t="str">
        <f t="shared" si="1"/>
        <v/>
      </c>
      <c r="K480" s="17"/>
    </row>
    <row r="481" ht="15.0" customHeight="1">
      <c r="A481" s="19"/>
      <c r="B481" s="15"/>
      <c r="C481" s="26" t="str">
        <f t="array" ref="C481">IFERROR(INDEX('Patrimônio'!$C$7:$C$1003,MATCH($B481,'Patrimônio'!$A$7:$A$1003,0)),"")</f>
        <v/>
      </c>
      <c r="D481" s="26" t="str">
        <f t="array" ref="D481">IFERROR(INDEX('Patrimônio'!$B$7:$B$1003,MATCH($B481,'Patrimônio'!$A$7:$A$1003,0)),"")</f>
        <v/>
      </c>
      <c r="E481" s="17"/>
      <c r="F481" s="18"/>
      <c r="G481" s="19"/>
      <c r="H481" s="15"/>
      <c r="I481" s="17"/>
      <c r="J481" s="24" t="str">
        <f t="shared" si="1"/>
        <v/>
      </c>
      <c r="K481" s="17"/>
    </row>
    <row r="482" ht="15.0" customHeight="1">
      <c r="A482" s="19"/>
      <c r="B482" s="15"/>
      <c r="C482" s="26" t="str">
        <f t="array" ref="C482">IFERROR(INDEX('Patrimônio'!$C$7:$C$1003,MATCH($B482,'Patrimônio'!$A$7:$A$1003,0)),"")</f>
        <v/>
      </c>
      <c r="D482" s="26" t="str">
        <f t="array" ref="D482">IFERROR(INDEX('Patrimônio'!$B$7:$B$1003,MATCH($B482,'Patrimônio'!$A$7:$A$1003,0)),"")</f>
        <v/>
      </c>
      <c r="E482" s="17"/>
      <c r="F482" s="18"/>
      <c r="G482" s="19"/>
      <c r="H482" s="15"/>
      <c r="I482" s="17"/>
      <c r="J482" s="24" t="str">
        <f t="shared" si="1"/>
        <v/>
      </c>
      <c r="K482" s="17"/>
    </row>
    <row r="483" ht="15.0" customHeight="1">
      <c r="A483" s="19"/>
      <c r="B483" s="15"/>
      <c r="C483" s="26" t="str">
        <f t="array" ref="C483">IFERROR(INDEX('Patrimônio'!$C$7:$C$1003,MATCH($B483,'Patrimônio'!$A$7:$A$1003,0)),"")</f>
        <v/>
      </c>
      <c r="D483" s="26" t="str">
        <f t="array" ref="D483">IFERROR(INDEX('Patrimônio'!$B$7:$B$1003,MATCH($B483,'Patrimônio'!$A$7:$A$1003,0)),"")</f>
        <v/>
      </c>
      <c r="E483" s="17"/>
      <c r="F483" s="18"/>
      <c r="G483" s="19"/>
      <c r="H483" s="15"/>
      <c r="I483" s="17"/>
      <c r="J483" s="24" t="str">
        <f t="shared" si="1"/>
        <v/>
      </c>
      <c r="K483" s="17"/>
    </row>
    <row r="484" ht="15.0" customHeight="1">
      <c r="A484" s="19"/>
      <c r="B484" s="15"/>
      <c r="C484" s="26" t="str">
        <f t="array" ref="C484">IFERROR(INDEX('Patrimônio'!$C$7:$C$1003,MATCH($B484,'Patrimônio'!$A$7:$A$1003,0)),"")</f>
        <v/>
      </c>
      <c r="D484" s="26" t="str">
        <f t="array" ref="D484">IFERROR(INDEX('Patrimônio'!$B$7:$B$1003,MATCH($B484,'Patrimônio'!$A$7:$A$1003,0)),"")</f>
        <v/>
      </c>
      <c r="E484" s="17"/>
      <c r="F484" s="18"/>
      <c r="G484" s="19"/>
      <c r="H484" s="15"/>
      <c r="I484" s="17"/>
      <c r="J484" s="24" t="str">
        <f t="shared" si="1"/>
        <v/>
      </c>
      <c r="K484" s="17"/>
    </row>
    <row r="485" ht="15.0" customHeight="1">
      <c r="A485" s="19"/>
      <c r="B485" s="15"/>
      <c r="C485" s="26" t="str">
        <f t="array" ref="C485">IFERROR(INDEX('Patrimônio'!$C$7:$C$1003,MATCH($B485,'Patrimônio'!$A$7:$A$1003,0)),"")</f>
        <v/>
      </c>
      <c r="D485" s="26" t="str">
        <f t="array" ref="D485">IFERROR(INDEX('Patrimônio'!$B$7:$B$1003,MATCH($B485,'Patrimônio'!$A$7:$A$1003,0)),"")</f>
        <v/>
      </c>
      <c r="E485" s="17"/>
      <c r="F485" s="18"/>
      <c r="G485" s="19"/>
      <c r="H485" s="15"/>
      <c r="I485" s="17"/>
      <c r="J485" s="24" t="str">
        <f t="shared" si="1"/>
        <v/>
      </c>
      <c r="K485" s="17"/>
    </row>
    <row r="486" ht="15.0" customHeight="1">
      <c r="A486" s="19"/>
      <c r="B486" s="15"/>
      <c r="C486" s="26" t="str">
        <f t="array" ref="C486">IFERROR(INDEX('Patrimônio'!$C$7:$C$1003,MATCH($B486,'Patrimônio'!$A$7:$A$1003,0)),"")</f>
        <v/>
      </c>
      <c r="D486" s="26" t="str">
        <f t="array" ref="D486">IFERROR(INDEX('Patrimônio'!$B$7:$B$1003,MATCH($B486,'Patrimônio'!$A$7:$A$1003,0)),"")</f>
        <v/>
      </c>
      <c r="E486" s="17"/>
      <c r="F486" s="18"/>
      <c r="G486" s="19"/>
      <c r="H486" s="15"/>
      <c r="I486" s="17"/>
      <c r="J486" s="24" t="str">
        <f t="shared" si="1"/>
        <v/>
      </c>
      <c r="K486" s="17"/>
    </row>
    <row r="487" ht="15.0" customHeight="1">
      <c r="A487" s="19"/>
      <c r="B487" s="15"/>
      <c r="C487" s="26" t="str">
        <f t="array" ref="C487">IFERROR(INDEX('Patrimônio'!$C$7:$C$1003,MATCH($B487,'Patrimônio'!$A$7:$A$1003,0)),"")</f>
        <v/>
      </c>
      <c r="D487" s="26" t="str">
        <f t="array" ref="D487">IFERROR(INDEX('Patrimônio'!$B$7:$B$1003,MATCH($B487,'Patrimônio'!$A$7:$A$1003,0)),"")</f>
        <v/>
      </c>
      <c r="E487" s="17"/>
      <c r="F487" s="18"/>
      <c r="G487" s="19"/>
      <c r="H487" s="15"/>
      <c r="I487" s="17"/>
      <c r="J487" s="24" t="str">
        <f t="shared" si="1"/>
        <v/>
      </c>
      <c r="K487" s="17"/>
    </row>
    <row r="488" ht="15.0" customHeight="1">
      <c r="A488" s="19"/>
      <c r="B488" s="15"/>
      <c r="C488" s="26" t="str">
        <f t="array" ref="C488">IFERROR(INDEX('Patrimônio'!$C$7:$C$1003,MATCH($B488,'Patrimônio'!$A$7:$A$1003,0)),"")</f>
        <v/>
      </c>
      <c r="D488" s="26" t="str">
        <f t="array" ref="D488">IFERROR(INDEX('Patrimônio'!$B$7:$B$1003,MATCH($B488,'Patrimônio'!$A$7:$A$1003,0)),"")</f>
        <v/>
      </c>
      <c r="E488" s="17"/>
      <c r="F488" s="18"/>
      <c r="G488" s="19"/>
      <c r="H488" s="15"/>
      <c r="I488" s="17"/>
      <c r="J488" s="24" t="str">
        <f t="shared" si="1"/>
        <v/>
      </c>
      <c r="K488" s="17"/>
    </row>
    <row r="489" ht="15.0" customHeight="1">
      <c r="A489" s="19"/>
      <c r="B489" s="15"/>
      <c r="C489" s="26" t="str">
        <f t="array" ref="C489">IFERROR(INDEX('Patrimônio'!$C$7:$C$1003,MATCH($B489,'Patrimônio'!$A$7:$A$1003,0)),"")</f>
        <v/>
      </c>
      <c r="D489" s="26" t="str">
        <f t="array" ref="D489">IFERROR(INDEX('Patrimônio'!$B$7:$B$1003,MATCH($B489,'Patrimônio'!$A$7:$A$1003,0)),"")</f>
        <v/>
      </c>
      <c r="E489" s="17"/>
      <c r="F489" s="18"/>
      <c r="G489" s="19"/>
      <c r="H489" s="15"/>
      <c r="I489" s="17"/>
      <c r="J489" s="24" t="str">
        <f t="shared" si="1"/>
        <v/>
      </c>
      <c r="K489" s="17"/>
    </row>
    <row r="490" ht="15.0" customHeight="1">
      <c r="A490" s="19"/>
      <c r="B490" s="15"/>
      <c r="C490" s="26" t="str">
        <f t="array" ref="C490">IFERROR(INDEX('Patrimônio'!$C$7:$C$1003,MATCH($B490,'Patrimônio'!$A$7:$A$1003,0)),"")</f>
        <v/>
      </c>
      <c r="D490" s="26" t="str">
        <f t="array" ref="D490">IFERROR(INDEX('Patrimônio'!$B$7:$B$1003,MATCH($B490,'Patrimônio'!$A$7:$A$1003,0)),"")</f>
        <v/>
      </c>
      <c r="E490" s="17"/>
      <c r="F490" s="18"/>
      <c r="G490" s="19"/>
      <c r="H490" s="15"/>
      <c r="I490" s="17"/>
      <c r="J490" s="24" t="str">
        <f t="shared" si="1"/>
        <v/>
      </c>
      <c r="K490" s="17"/>
    </row>
    <row r="491" ht="15.0" customHeight="1">
      <c r="A491" s="19"/>
      <c r="B491" s="15"/>
      <c r="C491" s="26" t="str">
        <f t="array" ref="C491">IFERROR(INDEX('Patrimônio'!$C$7:$C$1003,MATCH($B491,'Patrimônio'!$A$7:$A$1003,0)),"")</f>
        <v/>
      </c>
      <c r="D491" s="26" t="str">
        <f t="array" ref="D491">IFERROR(INDEX('Patrimônio'!$B$7:$B$1003,MATCH($B491,'Patrimônio'!$A$7:$A$1003,0)),"")</f>
        <v/>
      </c>
      <c r="E491" s="17"/>
      <c r="F491" s="18"/>
      <c r="G491" s="19"/>
      <c r="H491" s="15"/>
      <c r="I491" s="17"/>
      <c r="J491" s="24" t="str">
        <f t="shared" si="1"/>
        <v/>
      </c>
      <c r="K491" s="17"/>
    </row>
    <row r="492" ht="15.0" customHeight="1">
      <c r="A492" s="19"/>
      <c r="B492" s="15"/>
      <c r="C492" s="26" t="str">
        <f t="array" ref="C492">IFERROR(INDEX('Patrimônio'!$C$7:$C$1003,MATCH($B492,'Patrimônio'!$A$7:$A$1003,0)),"")</f>
        <v/>
      </c>
      <c r="D492" s="26" t="str">
        <f t="array" ref="D492">IFERROR(INDEX('Patrimônio'!$B$7:$B$1003,MATCH($B492,'Patrimônio'!$A$7:$A$1003,0)),"")</f>
        <v/>
      </c>
      <c r="E492" s="17"/>
      <c r="F492" s="18"/>
      <c r="G492" s="19"/>
      <c r="H492" s="15"/>
      <c r="I492" s="17"/>
      <c r="J492" s="24" t="str">
        <f t="shared" si="1"/>
        <v/>
      </c>
      <c r="K492" s="17"/>
    </row>
    <row r="493" ht="15.0" customHeight="1">
      <c r="A493" s="19"/>
      <c r="B493" s="15"/>
      <c r="C493" s="26" t="str">
        <f t="array" ref="C493">IFERROR(INDEX('Patrimônio'!$C$7:$C$1003,MATCH($B493,'Patrimônio'!$A$7:$A$1003,0)),"")</f>
        <v/>
      </c>
      <c r="D493" s="26" t="str">
        <f t="array" ref="D493">IFERROR(INDEX('Patrimônio'!$B$7:$B$1003,MATCH($B493,'Patrimônio'!$A$7:$A$1003,0)),"")</f>
        <v/>
      </c>
      <c r="E493" s="17"/>
      <c r="F493" s="18"/>
      <c r="G493" s="19"/>
      <c r="H493" s="15"/>
      <c r="I493" s="17"/>
      <c r="J493" s="24" t="str">
        <f t="shared" si="1"/>
        <v/>
      </c>
      <c r="K493" s="17"/>
    </row>
    <row r="494" ht="15.0" customHeight="1">
      <c r="A494" s="19"/>
      <c r="B494" s="15"/>
      <c r="C494" s="26" t="str">
        <f t="array" ref="C494">IFERROR(INDEX('Patrimônio'!$C$7:$C$1003,MATCH($B494,'Patrimônio'!$A$7:$A$1003,0)),"")</f>
        <v/>
      </c>
      <c r="D494" s="26" t="str">
        <f t="array" ref="D494">IFERROR(INDEX('Patrimônio'!$B$7:$B$1003,MATCH($B494,'Patrimônio'!$A$7:$A$1003,0)),"")</f>
        <v/>
      </c>
      <c r="E494" s="17"/>
      <c r="F494" s="18"/>
      <c r="G494" s="19"/>
      <c r="H494" s="15"/>
      <c r="I494" s="17"/>
      <c r="J494" s="24" t="str">
        <f t="shared" si="1"/>
        <v/>
      </c>
      <c r="K494" s="17"/>
    </row>
    <row r="495" ht="15.0" customHeight="1">
      <c r="A495" s="19"/>
      <c r="B495" s="15"/>
      <c r="C495" s="26" t="str">
        <f t="array" ref="C495">IFERROR(INDEX('Patrimônio'!$C$7:$C$1003,MATCH($B495,'Patrimônio'!$A$7:$A$1003,0)),"")</f>
        <v/>
      </c>
      <c r="D495" s="26" t="str">
        <f t="array" ref="D495">IFERROR(INDEX('Patrimônio'!$B$7:$B$1003,MATCH($B495,'Patrimônio'!$A$7:$A$1003,0)),"")</f>
        <v/>
      </c>
      <c r="E495" s="17"/>
      <c r="F495" s="18"/>
      <c r="G495" s="19"/>
      <c r="H495" s="15"/>
      <c r="I495" s="17"/>
      <c r="J495" s="24" t="str">
        <f t="shared" si="1"/>
        <v/>
      </c>
      <c r="K495" s="17"/>
    </row>
    <row r="496" ht="15.0" customHeight="1">
      <c r="A496" s="19"/>
      <c r="B496" s="15"/>
      <c r="C496" s="26" t="str">
        <f t="array" ref="C496">IFERROR(INDEX('Patrimônio'!$C$7:$C$1003,MATCH($B496,'Patrimônio'!$A$7:$A$1003,0)),"")</f>
        <v/>
      </c>
      <c r="D496" s="26" t="str">
        <f t="array" ref="D496">IFERROR(INDEX('Patrimônio'!$B$7:$B$1003,MATCH($B496,'Patrimônio'!$A$7:$A$1003,0)),"")</f>
        <v/>
      </c>
      <c r="E496" s="17"/>
      <c r="F496" s="18"/>
      <c r="G496" s="19"/>
      <c r="H496" s="15"/>
      <c r="I496" s="17"/>
      <c r="J496" s="24" t="str">
        <f t="shared" si="1"/>
        <v/>
      </c>
      <c r="K496" s="17"/>
    </row>
    <row r="497" ht="15.0" customHeight="1">
      <c r="A497" s="19"/>
      <c r="B497" s="15"/>
      <c r="C497" s="26" t="str">
        <f t="array" ref="C497">IFERROR(INDEX('Patrimônio'!$C$7:$C$1003,MATCH($B497,'Patrimônio'!$A$7:$A$1003,0)),"")</f>
        <v/>
      </c>
      <c r="D497" s="26" t="str">
        <f t="array" ref="D497">IFERROR(INDEX('Patrimônio'!$B$7:$B$1003,MATCH($B497,'Patrimônio'!$A$7:$A$1003,0)),"")</f>
        <v/>
      </c>
      <c r="E497" s="17"/>
      <c r="F497" s="18"/>
      <c r="G497" s="19"/>
      <c r="H497" s="15"/>
      <c r="I497" s="17"/>
      <c r="J497" s="24" t="str">
        <f t="shared" si="1"/>
        <v/>
      </c>
      <c r="K497" s="17"/>
    </row>
    <row r="498" ht="15.0" customHeight="1">
      <c r="A498" s="19"/>
      <c r="B498" s="15"/>
      <c r="C498" s="26" t="str">
        <f t="array" ref="C498">IFERROR(INDEX('Patrimônio'!$C$7:$C$1003,MATCH($B498,'Patrimônio'!$A$7:$A$1003,0)),"")</f>
        <v/>
      </c>
      <c r="D498" s="26" t="str">
        <f t="array" ref="D498">IFERROR(INDEX('Patrimônio'!$B$7:$B$1003,MATCH($B498,'Patrimônio'!$A$7:$A$1003,0)),"")</f>
        <v/>
      </c>
      <c r="E498" s="17"/>
      <c r="F498" s="18"/>
      <c r="G498" s="19"/>
      <c r="H498" s="15"/>
      <c r="I498" s="17"/>
      <c r="J498" s="24" t="str">
        <f t="shared" si="1"/>
        <v/>
      </c>
      <c r="K498" s="17"/>
    </row>
    <row r="499" ht="15.0" customHeight="1">
      <c r="A499" s="19"/>
      <c r="B499" s="15"/>
      <c r="C499" s="26" t="str">
        <f t="array" ref="C499">IFERROR(INDEX('Patrimônio'!$C$7:$C$1003,MATCH($B499,'Patrimônio'!$A$7:$A$1003,0)),"")</f>
        <v/>
      </c>
      <c r="D499" s="26" t="str">
        <f t="array" ref="D499">IFERROR(INDEX('Patrimônio'!$B$7:$B$1003,MATCH($B499,'Patrimônio'!$A$7:$A$1003,0)),"")</f>
        <v/>
      </c>
      <c r="E499" s="17"/>
      <c r="F499" s="18"/>
      <c r="G499" s="19"/>
      <c r="H499" s="15"/>
      <c r="I499" s="17"/>
      <c r="J499" s="24" t="str">
        <f t="shared" si="1"/>
        <v/>
      </c>
      <c r="K499" s="17"/>
    </row>
    <row r="500" ht="15.0" customHeight="1">
      <c r="A500" s="19"/>
      <c r="B500" s="15"/>
      <c r="C500" s="26" t="str">
        <f t="array" ref="C500">IFERROR(INDEX('Patrimônio'!$C$7:$C$1003,MATCH($B500,'Patrimônio'!$A$7:$A$1003,0)),"")</f>
        <v/>
      </c>
      <c r="D500" s="26" t="str">
        <f t="array" ref="D500">IFERROR(INDEX('Patrimônio'!$B$7:$B$1003,MATCH($B500,'Patrimônio'!$A$7:$A$1003,0)),"")</f>
        <v/>
      </c>
      <c r="E500" s="17"/>
      <c r="F500" s="18"/>
      <c r="G500" s="19"/>
      <c r="H500" s="15"/>
      <c r="I500" s="17"/>
      <c r="J500" s="24" t="str">
        <f t="shared" si="1"/>
        <v/>
      </c>
      <c r="K500" s="17"/>
    </row>
    <row r="501" ht="15.0" customHeight="1">
      <c r="A501" s="19"/>
      <c r="B501" s="15"/>
      <c r="C501" s="26" t="str">
        <f t="array" ref="C501">IFERROR(INDEX('Patrimônio'!$C$7:$C$1003,MATCH($B501,'Patrimônio'!$A$7:$A$1003,0)),"")</f>
        <v/>
      </c>
      <c r="D501" s="26" t="str">
        <f t="array" ref="D501">IFERROR(INDEX('Patrimônio'!$B$7:$B$1003,MATCH($B501,'Patrimônio'!$A$7:$A$1003,0)),"")</f>
        <v/>
      </c>
      <c r="E501" s="17"/>
      <c r="F501" s="18"/>
      <c r="G501" s="19"/>
      <c r="H501" s="15"/>
      <c r="I501" s="17"/>
      <c r="J501" s="24" t="str">
        <f t="shared" si="1"/>
        <v/>
      </c>
      <c r="K501" s="17"/>
    </row>
    <row r="502" ht="15.0" customHeight="1">
      <c r="A502" s="19"/>
      <c r="B502" s="15"/>
      <c r="C502" s="26" t="str">
        <f t="array" ref="C502">IFERROR(INDEX('Patrimônio'!$C$7:$C$1003,MATCH($B502,'Patrimônio'!$A$7:$A$1003,0)),"")</f>
        <v/>
      </c>
      <c r="D502" s="26" t="str">
        <f t="array" ref="D502">IFERROR(INDEX('Patrimônio'!$B$7:$B$1003,MATCH($B502,'Patrimônio'!$A$7:$A$1003,0)),"")</f>
        <v/>
      </c>
      <c r="E502" s="17"/>
      <c r="F502" s="18"/>
      <c r="G502" s="19"/>
      <c r="H502" s="15"/>
      <c r="I502" s="17"/>
      <c r="J502" s="24" t="str">
        <f t="shared" si="1"/>
        <v/>
      </c>
      <c r="K502" s="17"/>
    </row>
    <row r="503" ht="15.0" customHeight="1">
      <c r="A503" s="19"/>
      <c r="B503" s="15"/>
      <c r="C503" s="26" t="str">
        <f t="array" ref="C503">IFERROR(INDEX('Patrimônio'!$C$7:$C$1003,MATCH($B503,'Patrimônio'!$A$7:$A$1003,0)),"")</f>
        <v/>
      </c>
      <c r="D503" s="26" t="str">
        <f t="array" ref="D503">IFERROR(INDEX('Patrimônio'!$B$7:$B$1003,MATCH($B503,'Patrimônio'!$A$7:$A$1003,0)),"")</f>
        <v/>
      </c>
      <c r="E503" s="17"/>
      <c r="F503" s="18"/>
      <c r="G503" s="19"/>
      <c r="H503" s="15"/>
      <c r="I503" s="17"/>
      <c r="J503" s="24" t="str">
        <f t="shared" si="1"/>
        <v/>
      </c>
      <c r="K503" s="17"/>
    </row>
    <row r="504" ht="15.0" customHeight="1">
      <c r="A504" s="19"/>
      <c r="B504" s="15"/>
      <c r="C504" s="26" t="str">
        <f t="array" ref="C504">IFERROR(INDEX('Patrimônio'!$C$7:$C$1003,MATCH($B504,'Patrimônio'!$A$7:$A$1003,0)),"")</f>
        <v/>
      </c>
      <c r="D504" s="26" t="str">
        <f t="array" ref="D504">IFERROR(INDEX('Patrimônio'!$B$7:$B$1003,MATCH($B504,'Patrimônio'!$A$7:$A$1003,0)),"")</f>
        <v/>
      </c>
      <c r="E504" s="17"/>
      <c r="F504" s="18"/>
      <c r="G504" s="19"/>
      <c r="H504" s="15"/>
      <c r="I504" s="17"/>
      <c r="J504" s="24" t="str">
        <f t="shared" si="1"/>
        <v/>
      </c>
      <c r="K504" s="17"/>
    </row>
    <row r="505" ht="15.0" customHeight="1">
      <c r="A505" s="19"/>
      <c r="B505" s="15"/>
      <c r="C505" s="26" t="str">
        <f t="array" ref="C505">IFERROR(INDEX('Patrimônio'!$C$7:$C$1003,MATCH($B505,'Patrimônio'!$A$7:$A$1003,0)),"")</f>
        <v/>
      </c>
      <c r="D505" s="26" t="str">
        <f t="array" ref="D505">IFERROR(INDEX('Patrimônio'!$B$7:$B$1003,MATCH($B505,'Patrimônio'!$A$7:$A$1003,0)),"")</f>
        <v/>
      </c>
      <c r="E505" s="17"/>
      <c r="F505" s="18"/>
      <c r="G505" s="19"/>
      <c r="H505" s="15"/>
      <c r="I505" s="17"/>
      <c r="J505" s="24" t="str">
        <f t="shared" si="1"/>
        <v/>
      </c>
      <c r="K505" s="17"/>
    </row>
    <row r="506" ht="15.0" customHeight="1">
      <c r="A506" s="19"/>
      <c r="B506" s="15"/>
      <c r="C506" s="26" t="str">
        <f t="array" ref="C506">IFERROR(INDEX('Patrimônio'!$C$7:$C$1003,MATCH($B506,'Patrimônio'!$A$7:$A$1003,0)),"")</f>
        <v/>
      </c>
      <c r="D506" s="26" t="str">
        <f t="array" ref="D506">IFERROR(INDEX('Patrimônio'!$B$7:$B$1003,MATCH($B506,'Patrimônio'!$A$7:$A$1003,0)),"")</f>
        <v/>
      </c>
      <c r="E506" s="17"/>
      <c r="F506" s="18"/>
      <c r="G506" s="19"/>
      <c r="H506" s="15"/>
      <c r="I506" s="17"/>
      <c r="J506" s="24" t="str">
        <f t="shared" si="1"/>
        <v/>
      </c>
      <c r="K506" s="17"/>
    </row>
    <row r="507" ht="15.0" customHeight="1">
      <c r="A507" s="19"/>
      <c r="B507" s="15"/>
      <c r="C507" s="26" t="str">
        <f t="array" ref="C507">IFERROR(INDEX('Patrimônio'!$C$7:$C$1003,MATCH($B507,'Patrimônio'!$A$7:$A$1003,0)),"")</f>
        <v/>
      </c>
      <c r="D507" s="26" t="str">
        <f t="array" ref="D507">IFERROR(INDEX('Patrimônio'!$B$7:$B$1003,MATCH($B507,'Patrimônio'!$A$7:$A$1003,0)),"")</f>
        <v/>
      </c>
      <c r="E507" s="17"/>
      <c r="F507" s="18"/>
      <c r="G507" s="19"/>
      <c r="H507" s="15"/>
      <c r="I507" s="17"/>
      <c r="J507" s="24" t="str">
        <f t="shared" si="1"/>
        <v/>
      </c>
      <c r="K507" s="17"/>
    </row>
    <row r="508" ht="15.0" customHeight="1">
      <c r="A508" s="19"/>
      <c r="B508" s="15"/>
      <c r="C508" s="26" t="str">
        <f t="array" ref="C508">IFERROR(INDEX('Patrimônio'!$C$7:$C$1003,MATCH($B508,'Patrimônio'!$A$7:$A$1003,0)),"")</f>
        <v/>
      </c>
      <c r="D508" s="26" t="str">
        <f t="array" ref="D508">IFERROR(INDEX('Patrimônio'!$B$7:$B$1003,MATCH($B508,'Patrimônio'!$A$7:$A$1003,0)),"")</f>
        <v/>
      </c>
      <c r="E508" s="17"/>
      <c r="F508" s="18"/>
      <c r="G508" s="19"/>
      <c r="H508" s="15"/>
      <c r="I508" s="17"/>
      <c r="J508" s="24" t="str">
        <f t="shared" si="1"/>
        <v/>
      </c>
      <c r="K508" s="17"/>
    </row>
    <row r="509" ht="15.0" customHeight="1">
      <c r="A509" s="19"/>
      <c r="B509" s="15"/>
      <c r="C509" s="26" t="str">
        <f t="array" ref="C509">IFERROR(INDEX('Patrimônio'!$C$7:$C$1003,MATCH($B509,'Patrimônio'!$A$7:$A$1003,0)),"")</f>
        <v/>
      </c>
      <c r="D509" s="26" t="str">
        <f t="array" ref="D509">IFERROR(INDEX('Patrimônio'!$B$7:$B$1003,MATCH($B509,'Patrimônio'!$A$7:$A$1003,0)),"")</f>
        <v/>
      </c>
      <c r="E509" s="17"/>
      <c r="F509" s="18"/>
      <c r="G509" s="19"/>
      <c r="H509" s="15"/>
      <c r="I509" s="17"/>
      <c r="J509" s="24" t="str">
        <f t="shared" si="1"/>
        <v/>
      </c>
      <c r="K509" s="17"/>
    </row>
    <row r="510" ht="15.0" customHeight="1">
      <c r="A510" s="19"/>
      <c r="B510" s="15"/>
      <c r="C510" s="26" t="str">
        <f t="array" ref="C510">IFERROR(INDEX('Patrimônio'!$C$7:$C$1003,MATCH($B510,'Patrimônio'!$A$7:$A$1003,0)),"")</f>
        <v/>
      </c>
      <c r="D510" s="26" t="str">
        <f t="array" ref="D510">IFERROR(INDEX('Patrimônio'!$B$7:$B$1003,MATCH($B510,'Patrimônio'!$A$7:$A$1003,0)),"")</f>
        <v/>
      </c>
      <c r="E510" s="17"/>
      <c r="F510" s="18"/>
      <c r="G510" s="19"/>
      <c r="H510" s="15"/>
      <c r="I510" s="17"/>
      <c r="J510" s="24" t="str">
        <f t="shared" si="1"/>
        <v/>
      </c>
      <c r="K510" s="17"/>
    </row>
    <row r="511" ht="15.0" customHeight="1">
      <c r="A511" s="19"/>
      <c r="B511" s="15"/>
      <c r="C511" s="26" t="str">
        <f t="array" ref="C511">IFERROR(INDEX('Patrimônio'!$C$7:$C$1003,MATCH($B511,'Patrimônio'!$A$7:$A$1003,0)),"")</f>
        <v/>
      </c>
      <c r="D511" s="26" t="str">
        <f t="array" ref="D511">IFERROR(INDEX('Patrimônio'!$B$7:$B$1003,MATCH($B511,'Patrimônio'!$A$7:$A$1003,0)),"")</f>
        <v/>
      </c>
      <c r="E511" s="17"/>
      <c r="F511" s="18"/>
      <c r="G511" s="19"/>
      <c r="H511" s="15"/>
      <c r="I511" s="17"/>
      <c r="J511" s="24" t="str">
        <f t="shared" si="1"/>
        <v/>
      </c>
      <c r="K511" s="17"/>
    </row>
    <row r="512" ht="15.0" customHeight="1">
      <c r="A512" s="19"/>
      <c r="B512" s="15"/>
      <c r="C512" s="26" t="str">
        <f t="array" ref="C512">IFERROR(INDEX('Patrimônio'!$C$7:$C$1003,MATCH($B512,'Patrimônio'!$A$7:$A$1003,0)),"")</f>
        <v/>
      </c>
      <c r="D512" s="26" t="str">
        <f t="array" ref="D512">IFERROR(INDEX('Patrimônio'!$B$7:$B$1003,MATCH($B512,'Patrimônio'!$A$7:$A$1003,0)),"")</f>
        <v/>
      </c>
      <c r="E512" s="17"/>
      <c r="F512" s="18"/>
      <c r="G512" s="19"/>
      <c r="H512" s="15"/>
      <c r="I512" s="17"/>
      <c r="J512" s="24" t="str">
        <f t="shared" si="1"/>
        <v/>
      </c>
      <c r="K512" s="17"/>
    </row>
    <row r="513" ht="15.0" customHeight="1">
      <c r="A513" s="19"/>
      <c r="B513" s="15"/>
      <c r="C513" s="26" t="str">
        <f t="array" ref="C513">IFERROR(INDEX('Patrimônio'!$C$7:$C$1003,MATCH($B513,'Patrimônio'!$A$7:$A$1003,0)),"")</f>
        <v/>
      </c>
      <c r="D513" s="26" t="str">
        <f t="array" ref="D513">IFERROR(INDEX('Patrimônio'!$B$7:$B$1003,MATCH($B513,'Patrimônio'!$A$7:$A$1003,0)),"")</f>
        <v/>
      </c>
      <c r="E513" s="17"/>
      <c r="F513" s="18"/>
      <c r="G513" s="19"/>
      <c r="H513" s="15"/>
      <c r="I513" s="17"/>
      <c r="J513" s="24" t="str">
        <f t="shared" si="1"/>
        <v/>
      </c>
      <c r="K513" s="17"/>
    </row>
    <row r="514" ht="15.0" customHeight="1">
      <c r="A514" s="19"/>
      <c r="B514" s="15"/>
      <c r="C514" s="26" t="str">
        <f t="array" ref="C514">IFERROR(INDEX('Patrimônio'!$C$7:$C$1003,MATCH($B514,'Patrimônio'!$A$7:$A$1003,0)),"")</f>
        <v/>
      </c>
      <c r="D514" s="26" t="str">
        <f t="array" ref="D514">IFERROR(INDEX('Patrimônio'!$B$7:$B$1003,MATCH($B514,'Patrimônio'!$A$7:$A$1003,0)),"")</f>
        <v/>
      </c>
      <c r="E514" s="17"/>
      <c r="F514" s="18"/>
      <c r="G514" s="19"/>
      <c r="H514" s="15"/>
      <c r="I514" s="17"/>
      <c r="J514" s="24" t="str">
        <f t="shared" si="1"/>
        <v/>
      </c>
      <c r="K514" s="17"/>
    </row>
    <row r="515" ht="15.0" customHeight="1">
      <c r="A515" s="19"/>
      <c r="B515" s="15"/>
      <c r="C515" s="26" t="str">
        <f t="array" ref="C515">IFERROR(INDEX('Patrimônio'!$C$7:$C$1003,MATCH($B515,'Patrimônio'!$A$7:$A$1003,0)),"")</f>
        <v/>
      </c>
      <c r="D515" s="26" t="str">
        <f t="array" ref="D515">IFERROR(INDEX('Patrimônio'!$B$7:$B$1003,MATCH($B515,'Patrimônio'!$A$7:$A$1003,0)),"")</f>
        <v/>
      </c>
      <c r="E515" s="17"/>
      <c r="F515" s="18"/>
      <c r="G515" s="19"/>
      <c r="H515" s="15"/>
      <c r="I515" s="17"/>
      <c r="J515" s="24" t="str">
        <f t="shared" si="1"/>
        <v/>
      </c>
      <c r="K515" s="17"/>
    </row>
    <row r="516" ht="15.0" customHeight="1">
      <c r="A516" s="19"/>
      <c r="B516" s="15"/>
      <c r="C516" s="26" t="str">
        <f t="array" ref="C516">IFERROR(INDEX('Patrimônio'!$C$7:$C$1003,MATCH($B516,'Patrimônio'!$A$7:$A$1003,0)),"")</f>
        <v/>
      </c>
      <c r="D516" s="26" t="str">
        <f t="array" ref="D516">IFERROR(INDEX('Patrimônio'!$B$7:$B$1003,MATCH($B516,'Patrimônio'!$A$7:$A$1003,0)),"")</f>
        <v/>
      </c>
      <c r="E516" s="17"/>
      <c r="F516" s="18"/>
      <c r="G516" s="19"/>
      <c r="H516" s="15"/>
      <c r="I516" s="17"/>
      <c r="J516" s="24" t="str">
        <f t="shared" si="1"/>
        <v/>
      </c>
      <c r="K516" s="17"/>
    </row>
    <row r="517" ht="15.0" customHeight="1">
      <c r="A517" s="19"/>
      <c r="B517" s="15"/>
      <c r="C517" s="26" t="str">
        <f t="array" ref="C517">IFERROR(INDEX('Patrimônio'!$C$7:$C$1003,MATCH($B517,'Patrimônio'!$A$7:$A$1003,0)),"")</f>
        <v/>
      </c>
      <c r="D517" s="26" t="str">
        <f t="array" ref="D517">IFERROR(INDEX('Patrimônio'!$B$7:$B$1003,MATCH($B517,'Patrimônio'!$A$7:$A$1003,0)),"")</f>
        <v/>
      </c>
      <c r="E517" s="17"/>
      <c r="F517" s="18"/>
      <c r="G517" s="19"/>
      <c r="H517" s="15"/>
      <c r="I517" s="17"/>
      <c r="J517" s="24" t="str">
        <f t="shared" si="1"/>
        <v/>
      </c>
      <c r="K517" s="17"/>
    </row>
    <row r="518" ht="15.0" customHeight="1">
      <c r="A518" s="19"/>
      <c r="B518" s="15"/>
      <c r="C518" s="26" t="str">
        <f t="array" ref="C518">IFERROR(INDEX('Patrimônio'!$C$7:$C$1003,MATCH($B518,'Patrimônio'!$A$7:$A$1003,0)),"")</f>
        <v/>
      </c>
      <c r="D518" s="26" t="str">
        <f t="array" ref="D518">IFERROR(INDEX('Patrimônio'!$B$7:$B$1003,MATCH($B518,'Patrimônio'!$A$7:$A$1003,0)),"")</f>
        <v/>
      </c>
      <c r="E518" s="17"/>
      <c r="F518" s="18"/>
      <c r="G518" s="19"/>
      <c r="H518" s="15"/>
      <c r="I518" s="17"/>
      <c r="J518" s="24" t="str">
        <f t="shared" si="1"/>
        <v/>
      </c>
      <c r="K518" s="17"/>
    </row>
    <row r="519" ht="15.0" customHeight="1">
      <c r="A519" s="19"/>
      <c r="B519" s="15"/>
      <c r="C519" s="26" t="str">
        <f t="array" ref="C519">IFERROR(INDEX('Patrimônio'!$C$7:$C$1003,MATCH($B519,'Patrimônio'!$A$7:$A$1003,0)),"")</f>
        <v/>
      </c>
      <c r="D519" s="26" t="str">
        <f t="array" ref="D519">IFERROR(INDEX('Patrimônio'!$B$7:$B$1003,MATCH($B519,'Patrimônio'!$A$7:$A$1003,0)),"")</f>
        <v/>
      </c>
      <c r="E519" s="17"/>
      <c r="F519" s="18"/>
      <c r="G519" s="19"/>
      <c r="H519" s="15"/>
      <c r="I519" s="17"/>
      <c r="J519" s="24" t="str">
        <f t="shared" si="1"/>
        <v/>
      </c>
      <c r="K519" s="17"/>
    </row>
    <row r="520" ht="15.0" customHeight="1">
      <c r="A520" s="19"/>
      <c r="B520" s="15"/>
      <c r="C520" s="26" t="str">
        <f t="array" ref="C520">IFERROR(INDEX('Patrimônio'!$C$7:$C$1003,MATCH($B520,'Patrimônio'!$A$7:$A$1003,0)),"")</f>
        <v/>
      </c>
      <c r="D520" s="26" t="str">
        <f t="array" ref="D520">IFERROR(INDEX('Patrimônio'!$B$7:$B$1003,MATCH($B520,'Patrimônio'!$A$7:$A$1003,0)),"")</f>
        <v/>
      </c>
      <c r="E520" s="17"/>
      <c r="F520" s="18"/>
      <c r="G520" s="19"/>
      <c r="H520" s="15"/>
      <c r="I520" s="17"/>
      <c r="J520" s="24" t="str">
        <f t="shared" si="1"/>
        <v/>
      </c>
      <c r="K520" s="17"/>
    </row>
    <row r="521" ht="15.0" customHeight="1">
      <c r="A521" s="19"/>
      <c r="B521" s="15"/>
      <c r="C521" s="26" t="str">
        <f t="array" ref="C521">IFERROR(INDEX('Patrimônio'!$C$7:$C$1003,MATCH($B521,'Patrimônio'!$A$7:$A$1003,0)),"")</f>
        <v/>
      </c>
      <c r="D521" s="26" t="str">
        <f t="array" ref="D521">IFERROR(INDEX('Patrimônio'!$B$7:$B$1003,MATCH($B521,'Patrimônio'!$A$7:$A$1003,0)),"")</f>
        <v/>
      </c>
      <c r="E521" s="17"/>
      <c r="F521" s="18"/>
      <c r="G521" s="19"/>
      <c r="H521" s="15"/>
      <c r="I521" s="17"/>
      <c r="J521" s="24" t="str">
        <f t="shared" si="1"/>
        <v/>
      </c>
      <c r="K521" s="17"/>
    </row>
    <row r="522" ht="15.0" customHeight="1">
      <c r="A522" s="19"/>
      <c r="B522" s="15"/>
      <c r="C522" s="26" t="str">
        <f t="array" ref="C522">IFERROR(INDEX('Patrimônio'!$C$7:$C$1003,MATCH($B522,'Patrimônio'!$A$7:$A$1003,0)),"")</f>
        <v/>
      </c>
      <c r="D522" s="26" t="str">
        <f t="array" ref="D522">IFERROR(INDEX('Patrimônio'!$B$7:$B$1003,MATCH($B522,'Patrimônio'!$A$7:$A$1003,0)),"")</f>
        <v/>
      </c>
      <c r="E522" s="17"/>
      <c r="F522" s="18"/>
      <c r="G522" s="19"/>
      <c r="H522" s="15"/>
      <c r="I522" s="17"/>
      <c r="J522" s="24" t="str">
        <f t="shared" si="1"/>
        <v/>
      </c>
      <c r="K522" s="17"/>
    </row>
    <row r="523" ht="15.0" customHeight="1">
      <c r="A523" s="19"/>
      <c r="B523" s="15"/>
      <c r="C523" s="26" t="str">
        <f t="array" ref="C523">IFERROR(INDEX('Patrimônio'!$C$7:$C$1003,MATCH($B523,'Patrimônio'!$A$7:$A$1003,0)),"")</f>
        <v/>
      </c>
      <c r="D523" s="26" t="str">
        <f t="array" ref="D523">IFERROR(INDEX('Patrimônio'!$B$7:$B$1003,MATCH($B523,'Patrimônio'!$A$7:$A$1003,0)),"")</f>
        <v/>
      </c>
      <c r="E523" s="17"/>
      <c r="F523" s="18"/>
      <c r="G523" s="19"/>
      <c r="H523" s="15"/>
      <c r="I523" s="17"/>
      <c r="J523" s="24" t="str">
        <f t="shared" si="1"/>
        <v/>
      </c>
      <c r="K523" s="17"/>
    </row>
    <row r="524" ht="15.0" customHeight="1">
      <c r="A524" s="19"/>
      <c r="B524" s="15"/>
      <c r="C524" s="26" t="str">
        <f t="array" ref="C524">IFERROR(INDEX('Patrimônio'!$C$7:$C$1003,MATCH($B524,'Patrimônio'!$A$7:$A$1003,0)),"")</f>
        <v/>
      </c>
      <c r="D524" s="26" t="str">
        <f t="array" ref="D524">IFERROR(INDEX('Patrimônio'!$B$7:$B$1003,MATCH($B524,'Patrimônio'!$A$7:$A$1003,0)),"")</f>
        <v/>
      </c>
      <c r="E524" s="17"/>
      <c r="F524" s="18"/>
      <c r="G524" s="19"/>
      <c r="H524" s="15"/>
      <c r="I524" s="17"/>
      <c r="J524" s="24" t="str">
        <f t="shared" si="1"/>
        <v/>
      </c>
      <c r="K524" s="17"/>
    </row>
    <row r="525" ht="15.0" customHeight="1">
      <c r="A525" s="19"/>
      <c r="B525" s="15"/>
      <c r="C525" s="26" t="str">
        <f t="array" ref="C525">IFERROR(INDEX('Patrimônio'!$C$7:$C$1003,MATCH($B525,'Patrimônio'!$A$7:$A$1003,0)),"")</f>
        <v/>
      </c>
      <c r="D525" s="26" t="str">
        <f t="array" ref="D525">IFERROR(INDEX('Patrimônio'!$B$7:$B$1003,MATCH($B525,'Patrimônio'!$A$7:$A$1003,0)),"")</f>
        <v/>
      </c>
      <c r="E525" s="17"/>
      <c r="F525" s="18"/>
      <c r="G525" s="19"/>
      <c r="H525" s="15"/>
      <c r="I525" s="17"/>
      <c r="J525" s="24" t="str">
        <f t="shared" si="1"/>
        <v/>
      </c>
      <c r="K525" s="17"/>
    </row>
    <row r="526" ht="15.0" customHeight="1">
      <c r="A526" s="19"/>
      <c r="B526" s="15"/>
      <c r="C526" s="26" t="str">
        <f t="array" ref="C526">IFERROR(INDEX('Patrimônio'!$C$7:$C$1003,MATCH($B526,'Patrimônio'!$A$7:$A$1003,0)),"")</f>
        <v/>
      </c>
      <c r="D526" s="26" t="str">
        <f t="array" ref="D526">IFERROR(INDEX('Patrimônio'!$B$7:$B$1003,MATCH($B526,'Patrimônio'!$A$7:$A$1003,0)),"")</f>
        <v/>
      </c>
      <c r="E526" s="17"/>
      <c r="F526" s="18"/>
      <c r="G526" s="19"/>
      <c r="H526" s="15"/>
      <c r="I526" s="17"/>
      <c r="J526" s="24" t="str">
        <f t="shared" si="1"/>
        <v/>
      </c>
      <c r="K526" s="17"/>
    </row>
    <row r="527" ht="15.0" customHeight="1">
      <c r="A527" s="19"/>
      <c r="B527" s="15"/>
      <c r="C527" s="26" t="str">
        <f t="array" ref="C527">IFERROR(INDEX('Patrimônio'!$C$7:$C$1003,MATCH($B527,'Patrimônio'!$A$7:$A$1003,0)),"")</f>
        <v/>
      </c>
      <c r="D527" s="26" t="str">
        <f t="array" ref="D527">IFERROR(INDEX('Patrimônio'!$B$7:$B$1003,MATCH($B527,'Patrimônio'!$A$7:$A$1003,0)),"")</f>
        <v/>
      </c>
      <c r="E527" s="17"/>
      <c r="F527" s="18"/>
      <c r="G527" s="19"/>
      <c r="H527" s="15"/>
      <c r="I527" s="17"/>
      <c r="J527" s="24" t="str">
        <f t="shared" si="1"/>
        <v/>
      </c>
      <c r="K527" s="17"/>
    </row>
    <row r="528" ht="15.0" customHeight="1">
      <c r="A528" s="19"/>
      <c r="B528" s="15"/>
      <c r="C528" s="26" t="str">
        <f t="array" ref="C528">IFERROR(INDEX('Patrimônio'!$C$7:$C$1003,MATCH($B528,'Patrimônio'!$A$7:$A$1003,0)),"")</f>
        <v/>
      </c>
      <c r="D528" s="26" t="str">
        <f t="array" ref="D528">IFERROR(INDEX('Patrimônio'!$B$7:$B$1003,MATCH($B528,'Patrimônio'!$A$7:$A$1003,0)),"")</f>
        <v/>
      </c>
      <c r="E528" s="17"/>
      <c r="F528" s="18"/>
      <c r="G528" s="19"/>
      <c r="H528" s="15"/>
      <c r="I528" s="17"/>
      <c r="J528" s="24" t="str">
        <f t="shared" si="1"/>
        <v/>
      </c>
      <c r="K528" s="17"/>
    </row>
    <row r="529" ht="15.0" customHeight="1">
      <c r="A529" s="19"/>
      <c r="B529" s="15"/>
      <c r="C529" s="26" t="str">
        <f t="array" ref="C529">IFERROR(INDEX('Patrimônio'!$C$7:$C$1003,MATCH($B529,'Patrimônio'!$A$7:$A$1003,0)),"")</f>
        <v/>
      </c>
      <c r="D529" s="26" t="str">
        <f t="array" ref="D529">IFERROR(INDEX('Patrimônio'!$B$7:$B$1003,MATCH($B529,'Patrimônio'!$A$7:$A$1003,0)),"")</f>
        <v/>
      </c>
      <c r="E529" s="17"/>
      <c r="F529" s="18"/>
      <c r="G529" s="19"/>
      <c r="H529" s="15"/>
      <c r="I529" s="17"/>
      <c r="J529" s="24" t="str">
        <f t="shared" si="1"/>
        <v/>
      </c>
      <c r="K529" s="17"/>
    </row>
    <row r="530" ht="15.0" customHeight="1">
      <c r="A530" s="19"/>
      <c r="B530" s="15"/>
      <c r="C530" s="26" t="str">
        <f t="array" ref="C530">IFERROR(INDEX('Patrimônio'!$C$7:$C$1003,MATCH($B530,'Patrimônio'!$A$7:$A$1003,0)),"")</f>
        <v/>
      </c>
      <c r="D530" s="26" t="str">
        <f t="array" ref="D530">IFERROR(INDEX('Patrimônio'!$B$7:$B$1003,MATCH($B530,'Patrimônio'!$A$7:$A$1003,0)),"")</f>
        <v/>
      </c>
      <c r="E530" s="17"/>
      <c r="F530" s="18"/>
      <c r="G530" s="19"/>
      <c r="H530" s="15"/>
      <c r="I530" s="17"/>
      <c r="J530" s="24" t="str">
        <f t="shared" si="1"/>
        <v/>
      </c>
      <c r="K530" s="17"/>
    </row>
    <row r="531" ht="15.0" customHeight="1">
      <c r="A531" s="19"/>
      <c r="B531" s="15"/>
      <c r="C531" s="26" t="str">
        <f t="array" ref="C531">IFERROR(INDEX('Patrimônio'!$C$7:$C$1003,MATCH($B531,'Patrimônio'!$A$7:$A$1003,0)),"")</f>
        <v/>
      </c>
      <c r="D531" s="26" t="str">
        <f t="array" ref="D531">IFERROR(INDEX('Patrimônio'!$B$7:$B$1003,MATCH($B531,'Patrimônio'!$A$7:$A$1003,0)),"")</f>
        <v/>
      </c>
      <c r="E531" s="17"/>
      <c r="F531" s="18"/>
      <c r="G531" s="19"/>
      <c r="H531" s="15"/>
      <c r="I531" s="17"/>
      <c r="J531" s="24" t="str">
        <f t="shared" si="1"/>
        <v/>
      </c>
      <c r="K531" s="17"/>
    </row>
    <row r="532" ht="15.0" customHeight="1">
      <c r="A532" s="19"/>
      <c r="B532" s="15"/>
      <c r="C532" s="26" t="str">
        <f t="array" ref="C532">IFERROR(INDEX('Patrimônio'!$C$7:$C$1003,MATCH($B532,'Patrimônio'!$A$7:$A$1003,0)),"")</f>
        <v/>
      </c>
      <c r="D532" s="26" t="str">
        <f t="array" ref="D532">IFERROR(INDEX('Patrimônio'!$B$7:$B$1003,MATCH($B532,'Patrimônio'!$A$7:$A$1003,0)),"")</f>
        <v/>
      </c>
      <c r="E532" s="17"/>
      <c r="F532" s="18"/>
      <c r="G532" s="19"/>
      <c r="H532" s="15"/>
      <c r="I532" s="17"/>
      <c r="J532" s="24" t="str">
        <f t="shared" si="1"/>
        <v/>
      </c>
      <c r="K532" s="17"/>
    </row>
    <row r="533" ht="15.0" customHeight="1">
      <c r="A533" s="19"/>
      <c r="B533" s="15"/>
      <c r="C533" s="26" t="str">
        <f t="array" ref="C533">IFERROR(INDEX('Patrimônio'!$C$7:$C$1003,MATCH($B533,'Patrimônio'!$A$7:$A$1003,0)),"")</f>
        <v/>
      </c>
      <c r="D533" s="26" t="str">
        <f t="array" ref="D533">IFERROR(INDEX('Patrimônio'!$B$7:$B$1003,MATCH($B533,'Patrimônio'!$A$7:$A$1003,0)),"")</f>
        <v/>
      </c>
      <c r="E533" s="17"/>
      <c r="F533" s="18"/>
      <c r="G533" s="19"/>
      <c r="H533" s="15"/>
      <c r="I533" s="17"/>
      <c r="J533" s="24" t="str">
        <f t="shared" si="1"/>
        <v/>
      </c>
      <c r="K533" s="17"/>
    </row>
    <row r="534" ht="15.0" customHeight="1">
      <c r="A534" s="19"/>
      <c r="B534" s="15"/>
      <c r="C534" s="26" t="str">
        <f t="array" ref="C534">IFERROR(INDEX('Patrimônio'!$C$7:$C$1003,MATCH($B534,'Patrimônio'!$A$7:$A$1003,0)),"")</f>
        <v/>
      </c>
      <c r="D534" s="26" t="str">
        <f t="array" ref="D534">IFERROR(INDEX('Patrimônio'!$B$7:$B$1003,MATCH($B534,'Patrimônio'!$A$7:$A$1003,0)),"")</f>
        <v/>
      </c>
      <c r="E534" s="17"/>
      <c r="F534" s="18"/>
      <c r="G534" s="19"/>
      <c r="H534" s="15"/>
      <c r="I534" s="17"/>
      <c r="J534" s="24" t="str">
        <f t="shared" si="1"/>
        <v/>
      </c>
      <c r="K534" s="17"/>
    </row>
    <row r="535" ht="15.0" customHeight="1">
      <c r="A535" s="19"/>
      <c r="B535" s="15"/>
      <c r="C535" s="26" t="str">
        <f t="array" ref="C535">IFERROR(INDEX('Patrimônio'!$C$7:$C$1003,MATCH($B535,'Patrimônio'!$A$7:$A$1003,0)),"")</f>
        <v/>
      </c>
      <c r="D535" s="26" t="str">
        <f t="array" ref="D535">IFERROR(INDEX('Patrimônio'!$B$7:$B$1003,MATCH($B535,'Patrimônio'!$A$7:$A$1003,0)),"")</f>
        <v/>
      </c>
      <c r="E535" s="17"/>
      <c r="F535" s="18"/>
      <c r="G535" s="19"/>
      <c r="H535" s="15"/>
      <c r="I535" s="17"/>
      <c r="J535" s="24" t="str">
        <f t="shared" si="1"/>
        <v/>
      </c>
      <c r="K535" s="17"/>
    </row>
    <row r="536" ht="15.0" customHeight="1">
      <c r="A536" s="19"/>
      <c r="B536" s="15"/>
      <c r="C536" s="26" t="str">
        <f t="array" ref="C536">IFERROR(INDEX('Patrimônio'!$C$7:$C$1003,MATCH($B536,'Patrimônio'!$A$7:$A$1003,0)),"")</f>
        <v/>
      </c>
      <c r="D536" s="26" t="str">
        <f t="array" ref="D536">IFERROR(INDEX('Patrimônio'!$B$7:$B$1003,MATCH($B536,'Patrimônio'!$A$7:$A$1003,0)),"")</f>
        <v/>
      </c>
      <c r="E536" s="17"/>
      <c r="F536" s="18"/>
      <c r="G536" s="19"/>
      <c r="H536" s="15"/>
      <c r="I536" s="17"/>
      <c r="J536" s="24" t="str">
        <f t="shared" si="1"/>
        <v/>
      </c>
      <c r="K536" s="17"/>
    </row>
    <row r="537" ht="15.0" customHeight="1">
      <c r="A537" s="19"/>
      <c r="B537" s="15"/>
      <c r="C537" s="26" t="str">
        <f t="array" ref="C537">IFERROR(INDEX('Patrimônio'!$C$7:$C$1003,MATCH($B537,'Patrimônio'!$A$7:$A$1003,0)),"")</f>
        <v/>
      </c>
      <c r="D537" s="26" t="str">
        <f t="array" ref="D537">IFERROR(INDEX('Patrimônio'!$B$7:$B$1003,MATCH($B537,'Patrimônio'!$A$7:$A$1003,0)),"")</f>
        <v/>
      </c>
      <c r="E537" s="17"/>
      <c r="F537" s="18"/>
      <c r="G537" s="19"/>
      <c r="H537" s="15"/>
      <c r="I537" s="17"/>
      <c r="J537" s="24" t="str">
        <f t="shared" si="1"/>
        <v/>
      </c>
      <c r="K537" s="17"/>
    </row>
    <row r="538" ht="15.0" customHeight="1">
      <c r="A538" s="19"/>
      <c r="B538" s="15"/>
      <c r="C538" s="26" t="str">
        <f t="array" ref="C538">IFERROR(INDEX('Patrimônio'!$C$7:$C$1003,MATCH($B538,'Patrimônio'!$A$7:$A$1003,0)),"")</f>
        <v/>
      </c>
      <c r="D538" s="26" t="str">
        <f t="array" ref="D538">IFERROR(INDEX('Patrimônio'!$B$7:$B$1003,MATCH($B538,'Patrimônio'!$A$7:$A$1003,0)),"")</f>
        <v/>
      </c>
      <c r="E538" s="17"/>
      <c r="F538" s="18"/>
      <c r="G538" s="19"/>
      <c r="H538" s="15"/>
      <c r="I538" s="17"/>
      <c r="J538" s="24" t="str">
        <f t="shared" si="1"/>
        <v/>
      </c>
      <c r="K538" s="17"/>
    </row>
    <row r="539" ht="15.0" customHeight="1">
      <c r="A539" s="19"/>
      <c r="B539" s="15"/>
      <c r="C539" s="26" t="str">
        <f t="array" ref="C539">IFERROR(INDEX('Patrimônio'!$C$7:$C$1003,MATCH($B539,'Patrimônio'!$A$7:$A$1003,0)),"")</f>
        <v/>
      </c>
      <c r="D539" s="26" t="str">
        <f t="array" ref="D539">IFERROR(INDEX('Patrimônio'!$B$7:$B$1003,MATCH($B539,'Patrimônio'!$A$7:$A$1003,0)),"")</f>
        <v/>
      </c>
      <c r="E539" s="17"/>
      <c r="F539" s="18"/>
      <c r="G539" s="19"/>
      <c r="H539" s="15"/>
      <c r="I539" s="17"/>
      <c r="J539" s="24" t="str">
        <f t="shared" si="1"/>
        <v/>
      </c>
      <c r="K539" s="17"/>
    </row>
    <row r="540" ht="15.0" customHeight="1">
      <c r="A540" s="19"/>
      <c r="B540" s="15"/>
      <c r="C540" s="26" t="str">
        <f t="array" ref="C540">IFERROR(INDEX('Patrimônio'!$C$7:$C$1003,MATCH($B540,'Patrimônio'!$A$7:$A$1003,0)),"")</f>
        <v/>
      </c>
      <c r="D540" s="26" t="str">
        <f t="array" ref="D540">IFERROR(INDEX('Patrimônio'!$B$7:$B$1003,MATCH($B540,'Patrimônio'!$A$7:$A$1003,0)),"")</f>
        <v/>
      </c>
      <c r="E540" s="17"/>
      <c r="F540" s="18"/>
      <c r="G540" s="19"/>
      <c r="H540" s="15"/>
      <c r="I540" s="17"/>
      <c r="J540" s="24" t="str">
        <f t="shared" si="1"/>
        <v/>
      </c>
      <c r="K540" s="17"/>
    </row>
    <row r="541" ht="15.0" customHeight="1">
      <c r="A541" s="19"/>
      <c r="B541" s="15"/>
      <c r="C541" s="26" t="str">
        <f t="array" ref="C541">IFERROR(INDEX('Patrimônio'!$C$7:$C$1003,MATCH($B541,'Patrimônio'!$A$7:$A$1003,0)),"")</f>
        <v/>
      </c>
      <c r="D541" s="26" t="str">
        <f t="array" ref="D541">IFERROR(INDEX('Patrimônio'!$B$7:$B$1003,MATCH($B541,'Patrimônio'!$A$7:$A$1003,0)),"")</f>
        <v/>
      </c>
      <c r="E541" s="17"/>
      <c r="F541" s="18"/>
      <c r="G541" s="19"/>
      <c r="H541" s="15"/>
      <c r="I541" s="17"/>
      <c r="J541" s="24" t="str">
        <f t="shared" si="1"/>
        <v/>
      </c>
      <c r="K541" s="17"/>
    </row>
    <row r="542" ht="15.0" customHeight="1">
      <c r="A542" s="19"/>
      <c r="B542" s="15"/>
      <c r="C542" s="26" t="str">
        <f t="array" ref="C542">IFERROR(INDEX('Patrimônio'!$C$7:$C$1003,MATCH($B542,'Patrimônio'!$A$7:$A$1003,0)),"")</f>
        <v/>
      </c>
      <c r="D542" s="26" t="str">
        <f t="array" ref="D542">IFERROR(INDEX('Patrimônio'!$B$7:$B$1003,MATCH($B542,'Patrimônio'!$A$7:$A$1003,0)),"")</f>
        <v/>
      </c>
      <c r="E542" s="17"/>
      <c r="F542" s="18"/>
      <c r="G542" s="19"/>
      <c r="H542" s="15"/>
      <c r="I542" s="17"/>
      <c r="J542" s="24" t="str">
        <f t="shared" si="1"/>
        <v/>
      </c>
      <c r="K542" s="17"/>
    </row>
    <row r="543" ht="15.0" customHeight="1">
      <c r="A543" s="19"/>
      <c r="B543" s="15"/>
      <c r="C543" s="26" t="str">
        <f t="array" ref="C543">IFERROR(INDEX('Patrimônio'!$C$7:$C$1003,MATCH($B543,'Patrimônio'!$A$7:$A$1003,0)),"")</f>
        <v/>
      </c>
      <c r="D543" s="26" t="str">
        <f t="array" ref="D543">IFERROR(INDEX('Patrimônio'!$B$7:$B$1003,MATCH($B543,'Patrimônio'!$A$7:$A$1003,0)),"")</f>
        <v/>
      </c>
      <c r="E543" s="17"/>
      <c r="F543" s="18"/>
      <c r="G543" s="19"/>
      <c r="H543" s="15"/>
      <c r="I543" s="17"/>
      <c r="J543" s="24" t="str">
        <f t="shared" si="1"/>
        <v/>
      </c>
      <c r="K543" s="17"/>
    </row>
    <row r="544" ht="15.0" customHeight="1">
      <c r="A544" s="19"/>
      <c r="B544" s="15"/>
      <c r="C544" s="26" t="str">
        <f t="array" ref="C544">IFERROR(INDEX('Patrimônio'!$C$7:$C$1003,MATCH($B544,'Patrimônio'!$A$7:$A$1003,0)),"")</f>
        <v/>
      </c>
      <c r="D544" s="26" t="str">
        <f t="array" ref="D544">IFERROR(INDEX('Patrimônio'!$B$7:$B$1003,MATCH($B544,'Patrimônio'!$A$7:$A$1003,0)),"")</f>
        <v/>
      </c>
      <c r="E544" s="17"/>
      <c r="F544" s="18"/>
      <c r="G544" s="19"/>
      <c r="H544" s="15"/>
      <c r="I544" s="17"/>
      <c r="J544" s="24" t="str">
        <f t="shared" si="1"/>
        <v/>
      </c>
      <c r="K544" s="17"/>
    </row>
    <row r="545" ht="15.0" customHeight="1">
      <c r="A545" s="19"/>
      <c r="B545" s="15"/>
      <c r="C545" s="26" t="str">
        <f t="array" ref="C545">IFERROR(INDEX('Patrimônio'!$C$7:$C$1003,MATCH($B545,'Patrimônio'!$A$7:$A$1003,0)),"")</f>
        <v/>
      </c>
      <c r="D545" s="26" t="str">
        <f t="array" ref="D545">IFERROR(INDEX('Patrimônio'!$B$7:$B$1003,MATCH($B545,'Patrimônio'!$A$7:$A$1003,0)),"")</f>
        <v/>
      </c>
      <c r="E545" s="17"/>
      <c r="F545" s="18"/>
      <c r="G545" s="19"/>
      <c r="H545" s="15"/>
      <c r="I545" s="17"/>
      <c r="J545" s="24" t="str">
        <f t="shared" si="1"/>
        <v/>
      </c>
      <c r="K545" s="17"/>
    </row>
    <row r="546" ht="15.0" customHeight="1">
      <c r="A546" s="19"/>
      <c r="B546" s="15"/>
      <c r="C546" s="26" t="str">
        <f t="array" ref="C546">IFERROR(INDEX('Patrimônio'!$C$7:$C$1003,MATCH($B546,'Patrimônio'!$A$7:$A$1003,0)),"")</f>
        <v/>
      </c>
      <c r="D546" s="26" t="str">
        <f t="array" ref="D546">IFERROR(INDEX('Patrimônio'!$B$7:$B$1003,MATCH($B546,'Patrimônio'!$A$7:$A$1003,0)),"")</f>
        <v/>
      </c>
      <c r="E546" s="17"/>
      <c r="F546" s="18"/>
      <c r="G546" s="19"/>
      <c r="H546" s="15"/>
      <c r="I546" s="17"/>
      <c r="J546" s="24" t="str">
        <f t="shared" si="1"/>
        <v/>
      </c>
      <c r="K546" s="17"/>
    </row>
    <row r="547" ht="15.0" customHeight="1">
      <c r="A547" s="19"/>
      <c r="B547" s="15"/>
      <c r="C547" s="26" t="str">
        <f t="array" ref="C547">IFERROR(INDEX('Patrimônio'!$C$7:$C$1003,MATCH($B547,'Patrimônio'!$A$7:$A$1003,0)),"")</f>
        <v/>
      </c>
      <c r="D547" s="26" t="str">
        <f t="array" ref="D547">IFERROR(INDEX('Patrimônio'!$B$7:$B$1003,MATCH($B547,'Patrimônio'!$A$7:$A$1003,0)),"")</f>
        <v/>
      </c>
      <c r="E547" s="17"/>
      <c r="F547" s="18"/>
      <c r="G547" s="19"/>
      <c r="H547" s="15"/>
      <c r="I547" s="17"/>
      <c r="J547" s="24" t="str">
        <f t="shared" si="1"/>
        <v/>
      </c>
      <c r="K547" s="17"/>
    </row>
    <row r="548" ht="15.0" customHeight="1">
      <c r="A548" s="19"/>
      <c r="B548" s="15"/>
      <c r="C548" s="26" t="str">
        <f t="array" ref="C548">IFERROR(INDEX('Patrimônio'!$C$7:$C$1003,MATCH($B548,'Patrimônio'!$A$7:$A$1003,0)),"")</f>
        <v/>
      </c>
      <c r="D548" s="26" t="str">
        <f t="array" ref="D548">IFERROR(INDEX('Patrimônio'!$B$7:$B$1003,MATCH($B548,'Patrimônio'!$A$7:$A$1003,0)),"")</f>
        <v/>
      </c>
      <c r="E548" s="17"/>
      <c r="F548" s="18"/>
      <c r="G548" s="19"/>
      <c r="H548" s="15"/>
      <c r="I548" s="17"/>
      <c r="J548" s="24" t="str">
        <f t="shared" si="1"/>
        <v/>
      </c>
      <c r="K548" s="17"/>
    </row>
    <row r="549" ht="15.0" customHeight="1">
      <c r="A549" s="19"/>
      <c r="B549" s="15"/>
      <c r="C549" s="26" t="str">
        <f t="array" ref="C549">IFERROR(INDEX('Patrimônio'!$C$7:$C$1003,MATCH($B549,'Patrimônio'!$A$7:$A$1003,0)),"")</f>
        <v/>
      </c>
      <c r="D549" s="26" t="str">
        <f t="array" ref="D549">IFERROR(INDEX('Patrimônio'!$B$7:$B$1003,MATCH($B549,'Patrimônio'!$A$7:$A$1003,0)),"")</f>
        <v/>
      </c>
      <c r="E549" s="17"/>
      <c r="F549" s="18"/>
      <c r="G549" s="19"/>
      <c r="H549" s="15"/>
      <c r="I549" s="17"/>
      <c r="J549" s="24" t="str">
        <f t="shared" si="1"/>
        <v/>
      </c>
      <c r="K549" s="17"/>
    </row>
    <row r="550" ht="15.0" customHeight="1">
      <c r="A550" s="19"/>
      <c r="B550" s="15"/>
      <c r="C550" s="26" t="str">
        <f t="array" ref="C550">IFERROR(INDEX('Patrimônio'!$C$7:$C$1003,MATCH($B550,'Patrimônio'!$A$7:$A$1003,0)),"")</f>
        <v/>
      </c>
      <c r="D550" s="26" t="str">
        <f t="array" ref="D550">IFERROR(INDEX('Patrimônio'!$B$7:$B$1003,MATCH($B550,'Patrimônio'!$A$7:$A$1003,0)),"")</f>
        <v/>
      </c>
      <c r="E550" s="17"/>
      <c r="F550" s="18"/>
      <c r="G550" s="19"/>
      <c r="H550" s="15"/>
      <c r="I550" s="17"/>
      <c r="J550" s="24" t="str">
        <f t="shared" si="1"/>
        <v/>
      </c>
      <c r="K550" s="17"/>
    </row>
    <row r="551" ht="15.0" customHeight="1">
      <c r="A551" s="19"/>
      <c r="B551" s="15"/>
      <c r="C551" s="26" t="str">
        <f t="array" ref="C551">IFERROR(INDEX('Patrimônio'!$C$7:$C$1003,MATCH($B551,'Patrimônio'!$A$7:$A$1003,0)),"")</f>
        <v/>
      </c>
      <c r="D551" s="26" t="str">
        <f t="array" ref="D551">IFERROR(INDEX('Patrimônio'!$B$7:$B$1003,MATCH($B551,'Patrimônio'!$A$7:$A$1003,0)),"")</f>
        <v/>
      </c>
      <c r="E551" s="17"/>
      <c r="F551" s="18"/>
      <c r="G551" s="19"/>
      <c r="H551" s="15"/>
      <c r="I551" s="17"/>
      <c r="J551" s="24" t="str">
        <f t="shared" si="1"/>
        <v/>
      </c>
      <c r="K551" s="17"/>
    </row>
    <row r="552" ht="15.0" customHeight="1">
      <c r="A552" s="19"/>
      <c r="B552" s="15"/>
      <c r="C552" s="26" t="str">
        <f t="array" ref="C552">IFERROR(INDEX('Patrimônio'!$C$7:$C$1003,MATCH($B552,'Patrimônio'!$A$7:$A$1003,0)),"")</f>
        <v/>
      </c>
      <c r="D552" s="26" t="str">
        <f t="array" ref="D552">IFERROR(INDEX('Patrimônio'!$B$7:$B$1003,MATCH($B552,'Patrimônio'!$A$7:$A$1003,0)),"")</f>
        <v/>
      </c>
      <c r="E552" s="17"/>
      <c r="F552" s="18"/>
      <c r="G552" s="19"/>
      <c r="H552" s="15"/>
      <c r="I552" s="17"/>
      <c r="J552" s="24" t="str">
        <f t="shared" si="1"/>
        <v/>
      </c>
      <c r="K552" s="17"/>
    </row>
    <row r="553" ht="15.0" customHeight="1">
      <c r="A553" s="19"/>
      <c r="B553" s="15"/>
      <c r="C553" s="26" t="str">
        <f t="array" ref="C553">IFERROR(INDEX('Patrimônio'!$C$7:$C$1003,MATCH($B553,'Patrimônio'!$A$7:$A$1003,0)),"")</f>
        <v/>
      </c>
      <c r="D553" s="26" t="str">
        <f t="array" ref="D553">IFERROR(INDEX('Patrimônio'!$B$7:$B$1003,MATCH($B553,'Patrimônio'!$A$7:$A$1003,0)),"")</f>
        <v/>
      </c>
      <c r="E553" s="17"/>
      <c r="F553" s="18"/>
      <c r="G553" s="19"/>
      <c r="H553" s="15"/>
      <c r="I553" s="17"/>
      <c r="J553" s="24" t="str">
        <f t="shared" si="1"/>
        <v/>
      </c>
      <c r="K553" s="17"/>
    </row>
    <row r="554" ht="15.0" customHeight="1">
      <c r="A554" s="19"/>
      <c r="B554" s="15"/>
      <c r="C554" s="26" t="str">
        <f t="array" ref="C554">IFERROR(INDEX('Patrimônio'!$C$7:$C$1003,MATCH($B554,'Patrimônio'!$A$7:$A$1003,0)),"")</f>
        <v/>
      </c>
      <c r="D554" s="26" t="str">
        <f t="array" ref="D554">IFERROR(INDEX('Patrimônio'!$B$7:$B$1003,MATCH($B554,'Patrimônio'!$A$7:$A$1003,0)),"")</f>
        <v/>
      </c>
      <c r="E554" s="17"/>
      <c r="F554" s="18"/>
      <c r="G554" s="19"/>
      <c r="H554" s="15"/>
      <c r="I554" s="17"/>
      <c r="J554" s="24" t="str">
        <f t="shared" si="1"/>
        <v/>
      </c>
      <c r="K554" s="17"/>
    </row>
    <row r="555" ht="15.0" customHeight="1">
      <c r="A555" s="19"/>
      <c r="B555" s="15"/>
      <c r="C555" s="26" t="str">
        <f t="array" ref="C555">IFERROR(INDEX('Patrimônio'!$C$7:$C$1003,MATCH($B555,'Patrimônio'!$A$7:$A$1003,0)),"")</f>
        <v/>
      </c>
      <c r="D555" s="26" t="str">
        <f t="array" ref="D555">IFERROR(INDEX('Patrimônio'!$B$7:$B$1003,MATCH($B555,'Patrimônio'!$A$7:$A$1003,0)),"")</f>
        <v/>
      </c>
      <c r="E555" s="17"/>
      <c r="F555" s="18"/>
      <c r="G555" s="19"/>
      <c r="H555" s="15"/>
      <c r="I555" s="17"/>
      <c r="J555" s="24" t="str">
        <f t="shared" si="1"/>
        <v/>
      </c>
      <c r="K555" s="17"/>
    </row>
    <row r="556" ht="15.0" customHeight="1">
      <c r="A556" s="19"/>
      <c r="B556" s="15"/>
      <c r="C556" s="26" t="str">
        <f t="array" ref="C556">IFERROR(INDEX('Patrimônio'!$C$7:$C$1003,MATCH($B556,'Patrimônio'!$A$7:$A$1003,0)),"")</f>
        <v/>
      </c>
      <c r="D556" s="26" t="str">
        <f t="array" ref="D556">IFERROR(INDEX('Patrimônio'!$B$7:$B$1003,MATCH($B556,'Patrimônio'!$A$7:$A$1003,0)),"")</f>
        <v/>
      </c>
      <c r="E556" s="17"/>
      <c r="F556" s="18"/>
      <c r="G556" s="19"/>
      <c r="H556" s="15"/>
      <c r="I556" s="17"/>
      <c r="J556" s="24" t="str">
        <f t="shared" si="1"/>
        <v/>
      </c>
      <c r="K556" s="17"/>
    </row>
    <row r="557" ht="15.0" customHeight="1">
      <c r="A557" s="19"/>
      <c r="B557" s="15"/>
      <c r="C557" s="26" t="str">
        <f t="array" ref="C557">IFERROR(INDEX('Patrimônio'!$C$7:$C$1003,MATCH($B557,'Patrimônio'!$A$7:$A$1003,0)),"")</f>
        <v/>
      </c>
      <c r="D557" s="26" t="str">
        <f t="array" ref="D557">IFERROR(INDEX('Patrimônio'!$B$7:$B$1003,MATCH($B557,'Patrimônio'!$A$7:$A$1003,0)),"")</f>
        <v/>
      </c>
      <c r="E557" s="17"/>
      <c r="F557" s="18"/>
      <c r="G557" s="19"/>
      <c r="H557" s="15"/>
      <c r="I557" s="17"/>
      <c r="J557" s="24" t="str">
        <f t="shared" si="1"/>
        <v/>
      </c>
      <c r="K557" s="17"/>
    </row>
    <row r="558" ht="15.0" customHeight="1">
      <c r="A558" s="19"/>
      <c r="B558" s="15"/>
      <c r="C558" s="26" t="str">
        <f t="array" ref="C558">IFERROR(INDEX('Patrimônio'!$C$7:$C$1003,MATCH($B558,'Patrimônio'!$A$7:$A$1003,0)),"")</f>
        <v/>
      </c>
      <c r="D558" s="26" t="str">
        <f t="array" ref="D558">IFERROR(INDEX('Patrimônio'!$B$7:$B$1003,MATCH($B558,'Patrimônio'!$A$7:$A$1003,0)),"")</f>
        <v/>
      </c>
      <c r="E558" s="17"/>
      <c r="F558" s="18"/>
      <c r="G558" s="19"/>
      <c r="H558" s="15"/>
      <c r="I558" s="17"/>
      <c r="J558" s="24" t="str">
        <f t="shared" si="1"/>
        <v/>
      </c>
      <c r="K558" s="17"/>
    </row>
    <row r="559" ht="15.0" customHeight="1">
      <c r="A559" s="19"/>
      <c r="B559" s="15"/>
      <c r="C559" s="26" t="str">
        <f t="array" ref="C559">IFERROR(INDEX('Patrimônio'!$C$7:$C$1003,MATCH($B559,'Patrimônio'!$A$7:$A$1003,0)),"")</f>
        <v/>
      </c>
      <c r="D559" s="26" t="str">
        <f t="array" ref="D559">IFERROR(INDEX('Patrimônio'!$B$7:$B$1003,MATCH($B559,'Patrimônio'!$A$7:$A$1003,0)),"")</f>
        <v/>
      </c>
      <c r="E559" s="17"/>
      <c r="F559" s="18"/>
      <c r="G559" s="19"/>
      <c r="H559" s="15"/>
      <c r="I559" s="17"/>
      <c r="J559" s="24" t="str">
        <f t="shared" si="1"/>
        <v/>
      </c>
      <c r="K559" s="17"/>
    </row>
    <row r="560" ht="15.0" customHeight="1">
      <c r="A560" s="19"/>
      <c r="B560" s="15"/>
      <c r="C560" s="26" t="str">
        <f t="array" ref="C560">IFERROR(INDEX('Patrimônio'!$C$7:$C$1003,MATCH($B560,'Patrimônio'!$A$7:$A$1003,0)),"")</f>
        <v/>
      </c>
      <c r="D560" s="26" t="str">
        <f t="array" ref="D560">IFERROR(INDEX('Patrimônio'!$B$7:$B$1003,MATCH($B560,'Patrimônio'!$A$7:$A$1003,0)),"")</f>
        <v/>
      </c>
      <c r="E560" s="17"/>
      <c r="F560" s="18"/>
      <c r="G560" s="19"/>
      <c r="H560" s="15"/>
      <c r="I560" s="17"/>
      <c r="J560" s="24" t="str">
        <f t="shared" si="1"/>
        <v/>
      </c>
      <c r="K560" s="17"/>
    </row>
    <row r="561" ht="15.0" customHeight="1">
      <c r="A561" s="19"/>
      <c r="B561" s="15"/>
      <c r="C561" s="26" t="str">
        <f t="array" ref="C561">IFERROR(INDEX('Patrimônio'!$C$7:$C$1003,MATCH($B561,'Patrimônio'!$A$7:$A$1003,0)),"")</f>
        <v/>
      </c>
      <c r="D561" s="26" t="str">
        <f t="array" ref="D561">IFERROR(INDEX('Patrimônio'!$B$7:$B$1003,MATCH($B561,'Patrimônio'!$A$7:$A$1003,0)),"")</f>
        <v/>
      </c>
      <c r="E561" s="17"/>
      <c r="F561" s="18"/>
      <c r="G561" s="19"/>
      <c r="H561" s="15"/>
      <c r="I561" s="17"/>
      <c r="J561" s="24" t="str">
        <f t="shared" si="1"/>
        <v/>
      </c>
      <c r="K561" s="17"/>
    </row>
    <row r="562" ht="15.0" customHeight="1">
      <c r="A562" s="19"/>
      <c r="B562" s="15"/>
      <c r="C562" s="26" t="str">
        <f t="array" ref="C562">IFERROR(INDEX('Patrimônio'!$C$7:$C$1003,MATCH($B562,'Patrimônio'!$A$7:$A$1003,0)),"")</f>
        <v/>
      </c>
      <c r="D562" s="26" t="str">
        <f t="array" ref="D562">IFERROR(INDEX('Patrimônio'!$B$7:$B$1003,MATCH($B562,'Patrimônio'!$A$7:$A$1003,0)),"")</f>
        <v/>
      </c>
      <c r="E562" s="17"/>
      <c r="F562" s="18"/>
      <c r="G562" s="19"/>
      <c r="H562" s="15"/>
      <c r="I562" s="17"/>
      <c r="J562" s="24" t="str">
        <f t="shared" si="1"/>
        <v/>
      </c>
      <c r="K562" s="17"/>
    </row>
    <row r="563" ht="15.0" customHeight="1">
      <c r="A563" s="19"/>
      <c r="B563" s="15"/>
      <c r="C563" s="26" t="str">
        <f t="array" ref="C563">IFERROR(INDEX('Patrimônio'!$C$7:$C$1003,MATCH($B563,'Patrimônio'!$A$7:$A$1003,0)),"")</f>
        <v/>
      </c>
      <c r="D563" s="26" t="str">
        <f t="array" ref="D563">IFERROR(INDEX('Patrimônio'!$B$7:$B$1003,MATCH($B563,'Patrimônio'!$A$7:$A$1003,0)),"")</f>
        <v/>
      </c>
      <c r="E563" s="17"/>
      <c r="F563" s="18"/>
      <c r="G563" s="19"/>
      <c r="H563" s="15"/>
      <c r="I563" s="17"/>
      <c r="J563" s="24" t="str">
        <f t="shared" si="1"/>
        <v/>
      </c>
      <c r="K563" s="17"/>
    </row>
    <row r="564" ht="15.0" customHeight="1">
      <c r="A564" s="19"/>
      <c r="B564" s="15"/>
      <c r="C564" s="26" t="str">
        <f t="array" ref="C564">IFERROR(INDEX('Patrimônio'!$C$7:$C$1003,MATCH($B564,'Patrimônio'!$A$7:$A$1003,0)),"")</f>
        <v/>
      </c>
      <c r="D564" s="26" t="str">
        <f t="array" ref="D564">IFERROR(INDEX('Patrimônio'!$B$7:$B$1003,MATCH($B564,'Patrimônio'!$A$7:$A$1003,0)),"")</f>
        <v/>
      </c>
      <c r="E564" s="17"/>
      <c r="F564" s="18"/>
      <c r="G564" s="19"/>
      <c r="H564" s="15"/>
      <c r="I564" s="17"/>
      <c r="J564" s="24" t="str">
        <f t="shared" si="1"/>
        <v/>
      </c>
      <c r="K564" s="17"/>
    </row>
    <row r="565" ht="15.0" customHeight="1">
      <c r="A565" s="19"/>
      <c r="B565" s="15"/>
      <c r="C565" s="26" t="str">
        <f t="array" ref="C565">IFERROR(INDEX('Patrimônio'!$C$7:$C$1003,MATCH($B565,'Patrimônio'!$A$7:$A$1003,0)),"")</f>
        <v/>
      </c>
      <c r="D565" s="26" t="str">
        <f t="array" ref="D565">IFERROR(INDEX('Patrimônio'!$B$7:$B$1003,MATCH($B565,'Patrimônio'!$A$7:$A$1003,0)),"")</f>
        <v/>
      </c>
      <c r="E565" s="17"/>
      <c r="F565" s="18"/>
      <c r="G565" s="19"/>
      <c r="H565" s="15"/>
      <c r="I565" s="17"/>
      <c r="J565" s="24" t="str">
        <f t="shared" si="1"/>
        <v/>
      </c>
      <c r="K565" s="17"/>
    </row>
    <row r="566" ht="15.0" customHeight="1">
      <c r="A566" s="19"/>
      <c r="B566" s="15"/>
      <c r="C566" s="26" t="str">
        <f t="array" ref="C566">IFERROR(INDEX('Patrimônio'!$C$7:$C$1003,MATCH($B566,'Patrimônio'!$A$7:$A$1003,0)),"")</f>
        <v/>
      </c>
      <c r="D566" s="26" t="str">
        <f t="array" ref="D566">IFERROR(INDEX('Patrimônio'!$B$7:$B$1003,MATCH($B566,'Patrimônio'!$A$7:$A$1003,0)),"")</f>
        <v/>
      </c>
      <c r="E566" s="17"/>
      <c r="F566" s="18"/>
      <c r="G566" s="19"/>
      <c r="H566" s="15"/>
      <c r="I566" s="17"/>
      <c r="J566" s="24" t="str">
        <f t="shared" si="1"/>
        <v/>
      </c>
      <c r="K566" s="17"/>
    </row>
    <row r="567" ht="15.0" customHeight="1">
      <c r="A567" s="19"/>
      <c r="B567" s="15"/>
      <c r="C567" s="26" t="str">
        <f t="array" ref="C567">IFERROR(INDEX('Patrimônio'!$C$7:$C$1003,MATCH($B567,'Patrimônio'!$A$7:$A$1003,0)),"")</f>
        <v/>
      </c>
      <c r="D567" s="26" t="str">
        <f t="array" ref="D567">IFERROR(INDEX('Patrimônio'!$B$7:$B$1003,MATCH($B567,'Patrimônio'!$A$7:$A$1003,0)),"")</f>
        <v/>
      </c>
      <c r="E567" s="17"/>
      <c r="F567" s="18"/>
      <c r="G567" s="19"/>
      <c r="H567" s="15"/>
      <c r="I567" s="17"/>
      <c r="J567" s="24" t="str">
        <f t="shared" si="1"/>
        <v/>
      </c>
      <c r="K567" s="17"/>
    </row>
    <row r="568" ht="15.0" customHeight="1">
      <c r="A568" s="19"/>
      <c r="B568" s="15"/>
      <c r="C568" s="26" t="str">
        <f t="array" ref="C568">IFERROR(INDEX('Patrimônio'!$C$7:$C$1003,MATCH($B568,'Patrimônio'!$A$7:$A$1003,0)),"")</f>
        <v/>
      </c>
      <c r="D568" s="26" t="str">
        <f t="array" ref="D568">IFERROR(INDEX('Patrimônio'!$B$7:$B$1003,MATCH($B568,'Patrimônio'!$A$7:$A$1003,0)),"")</f>
        <v/>
      </c>
      <c r="E568" s="17"/>
      <c r="F568" s="18"/>
      <c r="G568" s="19"/>
      <c r="H568" s="15"/>
      <c r="I568" s="17"/>
      <c r="J568" s="24" t="str">
        <f t="shared" si="1"/>
        <v/>
      </c>
      <c r="K568" s="17"/>
    </row>
    <row r="569" ht="15.0" customHeight="1">
      <c r="A569" s="19"/>
      <c r="B569" s="15"/>
      <c r="C569" s="26" t="str">
        <f t="array" ref="C569">IFERROR(INDEX('Patrimônio'!$C$7:$C$1003,MATCH($B569,'Patrimônio'!$A$7:$A$1003,0)),"")</f>
        <v/>
      </c>
      <c r="D569" s="26" t="str">
        <f t="array" ref="D569">IFERROR(INDEX('Patrimônio'!$B$7:$B$1003,MATCH($B569,'Patrimônio'!$A$7:$A$1003,0)),"")</f>
        <v/>
      </c>
      <c r="E569" s="17"/>
      <c r="F569" s="18"/>
      <c r="G569" s="19"/>
      <c r="H569" s="15"/>
      <c r="I569" s="17"/>
      <c r="J569" s="24" t="str">
        <f t="shared" si="1"/>
        <v/>
      </c>
      <c r="K569" s="17"/>
    </row>
    <row r="570" ht="15.0" customHeight="1">
      <c r="A570" s="19"/>
      <c r="B570" s="15"/>
      <c r="C570" s="26" t="str">
        <f t="array" ref="C570">IFERROR(INDEX('Patrimônio'!$C$7:$C$1003,MATCH($B570,'Patrimônio'!$A$7:$A$1003,0)),"")</f>
        <v/>
      </c>
      <c r="D570" s="26" t="str">
        <f t="array" ref="D570">IFERROR(INDEX('Patrimônio'!$B$7:$B$1003,MATCH($B570,'Patrimônio'!$A$7:$A$1003,0)),"")</f>
        <v/>
      </c>
      <c r="E570" s="17"/>
      <c r="F570" s="18"/>
      <c r="G570" s="19"/>
      <c r="H570" s="15"/>
      <c r="I570" s="17"/>
      <c r="J570" s="24" t="str">
        <f t="shared" si="1"/>
        <v/>
      </c>
      <c r="K570" s="17"/>
    </row>
    <row r="571" ht="15.0" customHeight="1">
      <c r="A571" s="19"/>
      <c r="B571" s="15"/>
      <c r="C571" s="26" t="str">
        <f t="array" ref="C571">IFERROR(INDEX('Patrimônio'!$C$7:$C$1003,MATCH($B571,'Patrimônio'!$A$7:$A$1003,0)),"")</f>
        <v/>
      </c>
      <c r="D571" s="26" t="str">
        <f t="array" ref="D571">IFERROR(INDEX('Patrimônio'!$B$7:$B$1003,MATCH($B571,'Patrimônio'!$A$7:$A$1003,0)),"")</f>
        <v/>
      </c>
      <c r="E571" s="17"/>
      <c r="F571" s="18"/>
      <c r="G571" s="19"/>
      <c r="H571" s="15"/>
      <c r="I571" s="17"/>
      <c r="J571" s="24" t="str">
        <f t="shared" si="1"/>
        <v/>
      </c>
      <c r="K571" s="17"/>
    </row>
    <row r="572" ht="15.0" customHeight="1">
      <c r="A572" s="19"/>
      <c r="B572" s="15"/>
      <c r="C572" s="26" t="str">
        <f t="array" ref="C572">IFERROR(INDEX('Patrimônio'!$C$7:$C$1003,MATCH($B572,'Patrimônio'!$A$7:$A$1003,0)),"")</f>
        <v/>
      </c>
      <c r="D572" s="26" t="str">
        <f t="array" ref="D572">IFERROR(INDEX('Patrimônio'!$B$7:$B$1003,MATCH($B572,'Patrimônio'!$A$7:$A$1003,0)),"")</f>
        <v/>
      </c>
      <c r="E572" s="17"/>
      <c r="F572" s="18"/>
      <c r="G572" s="19"/>
      <c r="H572" s="15"/>
      <c r="I572" s="17"/>
      <c r="J572" s="24" t="str">
        <f t="shared" si="1"/>
        <v/>
      </c>
      <c r="K572" s="17"/>
    </row>
    <row r="573" ht="15.0" customHeight="1">
      <c r="A573" s="19"/>
      <c r="B573" s="15"/>
      <c r="C573" s="26" t="str">
        <f t="array" ref="C573">IFERROR(INDEX('Patrimônio'!$C$7:$C$1003,MATCH($B573,'Patrimônio'!$A$7:$A$1003,0)),"")</f>
        <v/>
      </c>
      <c r="D573" s="26" t="str">
        <f t="array" ref="D573">IFERROR(INDEX('Patrimônio'!$B$7:$B$1003,MATCH($B573,'Patrimônio'!$A$7:$A$1003,0)),"")</f>
        <v/>
      </c>
      <c r="E573" s="17"/>
      <c r="F573" s="18"/>
      <c r="G573" s="19"/>
      <c r="H573" s="15"/>
      <c r="I573" s="17"/>
      <c r="J573" s="24" t="str">
        <f t="shared" si="1"/>
        <v/>
      </c>
      <c r="K573" s="17"/>
    </row>
    <row r="574" ht="15.0" customHeight="1">
      <c r="A574" s="19"/>
      <c r="B574" s="15"/>
      <c r="C574" s="26" t="str">
        <f t="array" ref="C574">IFERROR(INDEX('Patrimônio'!$C$7:$C$1003,MATCH($B574,'Patrimônio'!$A$7:$A$1003,0)),"")</f>
        <v/>
      </c>
      <c r="D574" s="26" t="str">
        <f t="array" ref="D574">IFERROR(INDEX('Patrimônio'!$B$7:$B$1003,MATCH($B574,'Patrimônio'!$A$7:$A$1003,0)),"")</f>
        <v/>
      </c>
      <c r="E574" s="17"/>
      <c r="F574" s="18"/>
      <c r="G574" s="19"/>
      <c r="H574" s="15"/>
      <c r="I574" s="17"/>
      <c r="J574" s="24" t="str">
        <f t="shared" si="1"/>
        <v/>
      </c>
      <c r="K574" s="17"/>
    </row>
    <row r="575" ht="15.0" customHeight="1">
      <c r="A575" s="19"/>
      <c r="B575" s="15"/>
      <c r="C575" s="26" t="str">
        <f t="array" ref="C575">IFERROR(INDEX('Patrimônio'!$C$7:$C$1003,MATCH($B575,'Patrimônio'!$A$7:$A$1003,0)),"")</f>
        <v/>
      </c>
      <c r="D575" s="26" t="str">
        <f t="array" ref="D575">IFERROR(INDEX('Patrimônio'!$B$7:$B$1003,MATCH($B575,'Patrimônio'!$A$7:$A$1003,0)),"")</f>
        <v/>
      </c>
      <c r="E575" s="17"/>
      <c r="F575" s="18"/>
      <c r="G575" s="19"/>
      <c r="H575" s="15"/>
      <c r="I575" s="17"/>
      <c r="J575" s="24" t="str">
        <f t="shared" si="1"/>
        <v/>
      </c>
      <c r="K575" s="17"/>
    </row>
    <row r="576" ht="15.0" customHeight="1">
      <c r="A576" s="19"/>
      <c r="B576" s="15"/>
      <c r="C576" s="26" t="str">
        <f t="array" ref="C576">IFERROR(INDEX('Patrimônio'!$C$7:$C$1003,MATCH($B576,'Patrimônio'!$A$7:$A$1003,0)),"")</f>
        <v/>
      </c>
      <c r="D576" s="26" t="str">
        <f t="array" ref="D576">IFERROR(INDEX('Patrimônio'!$B$7:$B$1003,MATCH($B576,'Patrimônio'!$A$7:$A$1003,0)),"")</f>
        <v/>
      </c>
      <c r="E576" s="17"/>
      <c r="F576" s="18"/>
      <c r="G576" s="19"/>
      <c r="H576" s="15"/>
      <c r="I576" s="17"/>
      <c r="J576" s="24" t="str">
        <f t="shared" si="1"/>
        <v/>
      </c>
      <c r="K576" s="17"/>
    </row>
    <row r="577" ht="15.0" customHeight="1">
      <c r="A577" s="19"/>
      <c r="B577" s="15"/>
      <c r="C577" s="26" t="str">
        <f t="array" ref="C577">IFERROR(INDEX('Patrimônio'!$C$7:$C$1003,MATCH($B577,'Patrimônio'!$A$7:$A$1003,0)),"")</f>
        <v/>
      </c>
      <c r="D577" s="26" t="str">
        <f t="array" ref="D577">IFERROR(INDEX('Patrimônio'!$B$7:$B$1003,MATCH($B577,'Patrimônio'!$A$7:$A$1003,0)),"")</f>
        <v/>
      </c>
      <c r="E577" s="17"/>
      <c r="F577" s="18"/>
      <c r="G577" s="19"/>
      <c r="H577" s="15"/>
      <c r="I577" s="17"/>
      <c r="J577" s="24" t="str">
        <f t="shared" si="1"/>
        <v/>
      </c>
      <c r="K577" s="17"/>
    </row>
    <row r="578" ht="15.0" customHeight="1">
      <c r="A578" s="19"/>
      <c r="B578" s="15"/>
      <c r="C578" s="26" t="str">
        <f t="array" ref="C578">IFERROR(INDEX('Patrimônio'!$C$7:$C$1003,MATCH($B578,'Patrimônio'!$A$7:$A$1003,0)),"")</f>
        <v/>
      </c>
      <c r="D578" s="26" t="str">
        <f t="array" ref="D578">IFERROR(INDEX('Patrimônio'!$B$7:$B$1003,MATCH($B578,'Patrimônio'!$A$7:$A$1003,0)),"")</f>
        <v/>
      </c>
      <c r="E578" s="17"/>
      <c r="F578" s="18"/>
      <c r="G578" s="19"/>
      <c r="H578" s="15"/>
      <c r="I578" s="17"/>
      <c r="J578" s="24" t="str">
        <f t="shared" si="1"/>
        <v/>
      </c>
      <c r="K578" s="17"/>
    </row>
    <row r="579" ht="15.0" customHeight="1">
      <c r="A579" s="19"/>
      <c r="B579" s="15"/>
      <c r="C579" s="26" t="str">
        <f t="array" ref="C579">IFERROR(INDEX('Patrimônio'!$C$7:$C$1003,MATCH($B579,'Patrimônio'!$A$7:$A$1003,0)),"")</f>
        <v/>
      </c>
      <c r="D579" s="26" t="str">
        <f t="array" ref="D579">IFERROR(INDEX('Patrimônio'!$B$7:$B$1003,MATCH($B579,'Patrimônio'!$A$7:$A$1003,0)),"")</f>
        <v/>
      </c>
      <c r="E579" s="17"/>
      <c r="F579" s="18"/>
      <c r="G579" s="19"/>
      <c r="H579" s="15"/>
      <c r="I579" s="17"/>
      <c r="J579" s="24" t="str">
        <f t="shared" si="1"/>
        <v/>
      </c>
      <c r="K579" s="17"/>
    </row>
    <row r="580" ht="15.0" customHeight="1">
      <c r="A580" s="19"/>
      <c r="B580" s="15"/>
      <c r="C580" s="26" t="str">
        <f t="array" ref="C580">IFERROR(INDEX('Patrimônio'!$C$7:$C$1003,MATCH($B580,'Patrimônio'!$A$7:$A$1003,0)),"")</f>
        <v/>
      </c>
      <c r="D580" s="26" t="str">
        <f t="array" ref="D580">IFERROR(INDEX('Patrimônio'!$B$7:$B$1003,MATCH($B580,'Patrimônio'!$A$7:$A$1003,0)),"")</f>
        <v/>
      </c>
      <c r="E580" s="17"/>
      <c r="F580" s="18"/>
      <c r="G580" s="19"/>
      <c r="H580" s="15"/>
      <c r="I580" s="17"/>
      <c r="J580" s="24" t="str">
        <f t="shared" si="1"/>
        <v/>
      </c>
      <c r="K580" s="17"/>
    </row>
    <row r="581" ht="15.0" customHeight="1">
      <c r="A581" s="19"/>
      <c r="B581" s="15"/>
      <c r="C581" s="26" t="str">
        <f t="array" ref="C581">IFERROR(INDEX('Patrimônio'!$C$7:$C$1003,MATCH($B581,'Patrimônio'!$A$7:$A$1003,0)),"")</f>
        <v/>
      </c>
      <c r="D581" s="26" t="str">
        <f t="array" ref="D581">IFERROR(INDEX('Patrimônio'!$B$7:$B$1003,MATCH($B581,'Patrimônio'!$A$7:$A$1003,0)),"")</f>
        <v/>
      </c>
      <c r="E581" s="17"/>
      <c r="F581" s="18"/>
      <c r="G581" s="19"/>
      <c r="H581" s="15"/>
      <c r="I581" s="17"/>
      <c r="J581" s="24" t="str">
        <f t="shared" si="1"/>
        <v/>
      </c>
      <c r="K581" s="17"/>
    </row>
    <row r="582" ht="15.0" customHeight="1">
      <c r="A582" s="19"/>
      <c r="B582" s="15"/>
      <c r="C582" s="26" t="str">
        <f t="array" ref="C582">IFERROR(INDEX('Patrimônio'!$C$7:$C$1003,MATCH($B582,'Patrimônio'!$A$7:$A$1003,0)),"")</f>
        <v/>
      </c>
      <c r="D582" s="26" t="str">
        <f t="array" ref="D582">IFERROR(INDEX('Patrimônio'!$B$7:$B$1003,MATCH($B582,'Patrimônio'!$A$7:$A$1003,0)),"")</f>
        <v/>
      </c>
      <c r="E582" s="17"/>
      <c r="F582" s="18"/>
      <c r="G582" s="19"/>
      <c r="H582" s="15"/>
      <c r="I582" s="17"/>
      <c r="J582" s="24" t="str">
        <f t="shared" si="1"/>
        <v/>
      </c>
      <c r="K582" s="17"/>
    </row>
    <row r="583" ht="15.0" customHeight="1">
      <c r="A583" s="19"/>
      <c r="B583" s="15"/>
      <c r="C583" s="26" t="str">
        <f t="array" ref="C583">IFERROR(INDEX('Patrimônio'!$C$7:$C$1003,MATCH($B583,'Patrimônio'!$A$7:$A$1003,0)),"")</f>
        <v/>
      </c>
      <c r="D583" s="26" t="str">
        <f t="array" ref="D583">IFERROR(INDEX('Patrimônio'!$B$7:$B$1003,MATCH($B583,'Patrimônio'!$A$7:$A$1003,0)),"")</f>
        <v/>
      </c>
      <c r="E583" s="17"/>
      <c r="F583" s="18"/>
      <c r="G583" s="19"/>
      <c r="H583" s="15"/>
      <c r="I583" s="17"/>
      <c r="J583" s="24" t="str">
        <f t="shared" si="1"/>
        <v/>
      </c>
      <c r="K583" s="17"/>
    </row>
    <row r="584" ht="15.0" customHeight="1">
      <c r="A584" s="19"/>
      <c r="B584" s="15"/>
      <c r="C584" s="26" t="str">
        <f t="array" ref="C584">IFERROR(INDEX('Patrimônio'!$C$7:$C$1003,MATCH($B584,'Patrimônio'!$A$7:$A$1003,0)),"")</f>
        <v/>
      </c>
      <c r="D584" s="26" t="str">
        <f t="array" ref="D584">IFERROR(INDEX('Patrimônio'!$B$7:$B$1003,MATCH($B584,'Patrimônio'!$A$7:$A$1003,0)),"")</f>
        <v/>
      </c>
      <c r="E584" s="17"/>
      <c r="F584" s="18"/>
      <c r="G584" s="19"/>
      <c r="H584" s="15"/>
      <c r="I584" s="17"/>
      <c r="J584" s="24" t="str">
        <f t="shared" si="1"/>
        <v/>
      </c>
      <c r="K584" s="17"/>
    </row>
    <row r="585" ht="15.0" customHeight="1">
      <c r="A585" s="19"/>
      <c r="B585" s="15"/>
      <c r="C585" s="26" t="str">
        <f t="array" ref="C585">IFERROR(INDEX('Patrimônio'!$C$7:$C$1003,MATCH($B585,'Patrimônio'!$A$7:$A$1003,0)),"")</f>
        <v/>
      </c>
      <c r="D585" s="26" t="str">
        <f t="array" ref="D585">IFERROR(INDEX('Patrimônio'!$B$7:$B$1003,MATCH($B585,'Patrimônio'!$A$7:$A$1003,0)),"")</f>
        <v/>
      </c>
      <c r="E585" s="17"/>
      <c r="F585" s="18"/>
      <c r="G585" s="19"/>
      <c r="H585" s="15"/>
      <c r="I585" s="17"/>
      <c r="J585" s="24" t="str">
        <f t="shared" si="1"/>
        <v/>
      </c>
      <c r="K585" s="17"/>
    </row>
    <row r="586" ht="15.0" customHeight="1">
      <c r="A586" s="19"/>
      <c r="B586" s="15"/>
      <c r="C586" s="26" t="str">
        <f t="array" ref="C586">IFERROR(INDEX('Patrimônio'!$C$7:$C$1003,MATCH($B586,'Patrimônio'!$A$7:$A$1003,0)),"")</f>
        <v/>
      </c>
      <c r="D586" s="26" t="str">
        <f t="array" ref="D586">IFERROR(INDEX('Patrimônio'!$B$7:$B$1003,MATCH($B586,'Patrimônio'!$A$7:$A$1003,0)),"")</f>
        <v/>
      </c>
      <c r="E586" s="17"/>
      <c r="F586" s="18"/>
      <c r="G586" s="19"/>
      <c r="H586" s="15"/>
      <c r="I586" s="17"/>
      <c r="J586" s="24" t="str">
        <f t="shared" si="1"/>
        <v/>
      </c>
      <c r="K586" s="17"/>
    </row>
    <row r="587" ht="15.0" customHeight="1">
      <c r="A587" s="19"/>
      <c r="B587" s="15"/>
      <c r="C587" s="26" t="str">
        <f t="array" ref="C587">IFERROR(INDEX('Patrimônio'!$C$7:$C$1003,MATCH($B587,'Patrimônio'!$A$7:$A$1003,0)),"")</f>
        <v/>
      </c>
      <c r="D587" s="26" t="str">
        <f t="array" ref="D587">IFERROR(INDEX('Patrimônio'!$B$7:$B$1003,MATCH($B587,'Patrimônio'!$A$7:$A$1003,0)),"")</f>
        <v/>
      </c>
      <c r="E587" s="17"/>
      <c r="F587" s="18"/>
      <c r="G587" s="19"/>
      <c r="H587" s="15"/>
      <c r="I587" s="17"/>
      <c r="J587" s="24" t="str">
        <f t="shared" si="1"/>
        <v/>
      </c>
      <c r="K587" s="17"/>
    </row>
    <row r="588" ht="15.0" customHeight="1">
      <c r="A588" s="19"/>
      <c r="B588" s="15"/>
      <c r="C588" s="26" t="str">
        <f t="array" ref="C588">IFERROR(INDEX('Patrimônio'!$C$7:$C$1003,MATCH($B588,'Patrimônio'!$A$7:$A$1003,0)),"")</f>
        <v/>
      </c>
      <c r="D588" s="26" t="str">
        <f t="array" ref="D588">IFERROR(INDEX('Patrimônio'!$B$7:$B$1003,MATCH($B588,'Patrimônio'!$A$7:$A$1003,0)),"")</f>
        <v/>
      </c>
      <c r="E588" s="17"/>
      <c r="F588" s="18"/>
      <c r="G588" s="19"/>
      <c r="H588" s="15"/>
      <c r="I588" s="17"/>
      <c r="J588" s="24" t="str">
        <f t="shared" si="1"/>
        <v/>
      </c>
      <c r="K588" s="17"/>
    </row>
    <row r="589" ht="15.0" customHeight="1">
      <c r="A589" s="19"/>
      <c r="B589" s="15"/>
      <c r="C589" s="26" t="str">
        <f t="array" ref="C589">IFERROR(INDEX('Patrimônio'!$C$7:$C$1003,MATCH($B589,'Patrimônio'!$A$7:$A$1003,0)),"")</f>
        <v/>
      </c>
      <c r="D589" s="26" t="str">
        <f t="array" ref="D589">IFERROR(INDEX('Patrimônio'!$B$7:$B$1003,MATCH($B589,'Patrimônio'!$A$7:$A$1003,0)),"")</f>
        <v/>
      </c>
      <c r="E589" s="17"/>
      <c r="F589" s="18"/>
      <c r="G589" s="19"/>
      <c r="H589" s="15"/>
      <c r="I589" s="17"/>
      <c r="J589" s="24" t="str">
        <f t="shared" si="1"/>
        <v/>
      </c>
      <c r="K589" s="17"/>
    </row>
    <row r="590" ht="15.0" customHeight="1">
      <c r="A590" s="19"/>
      <c r="B590" s="15"/>
      <c r="C590" s="26" t="str">
        <f t="array" ref="C590">IFERROR(INDEX('Patrimônio'!$C$7:$C$1003,MATCH($B590,'Patrimônio'!$A$7:$A$1003,0)),"")</f>
        <v/>
      </c>
      <c r="D590" s="26" t="str">
        <f t="array" ref="D590">IFERROR(INDEX('Patrimônio'!$B$7:$B$1003,MATCH($B590,'Patrimônio'!$A$7:$A$1003,0)),"")</f>
        <v/>
      </c>
      <c r="E590" s="17"/>
      <c r="F590" s="18"/>
      <c r="G590" s="19"/>
      <c r="H590" s="15"/>
      <c r="I590" s="17"/>
      <c r="J590" s="24" t="str">
        <f t="shared" si="1"/>
        <v/>
      </c>
      <c r="K590" s="17"/>
    </row>
    <row r="591" ht="15.0" customHeight="1">
      <c r="A591" s="19"/>
      <c r="B591" s="15"/>
      <c r="C591" s="26" t="str">
        <f t="array" ref="C591">IFERROR(INDEX('Patrimônio'!$C$7:$C$1003,MATCH($B591,'Patrimônio'!$A$7:$A$1003,0)),"")</f>
        <v/>
      </c>
      <c r="D591" s="26" t="str">
        <f t="array" ref="D591">IFERROR(INDEX('Patrimônio'!$B$7:$B$1003,MATCH($B591,'Patrimônio'!$A$7:$A$1003,0)),"")</f>
        <v/>
      </c>
      <c r="E591" s="17"/>
      <c r="F591" s="18"/>
      <c r="G591" s="19"/>
      <c r="H591" s="15"/>
      <c r="I591" s="17"/>
      <c r="J591" s="24" t="str">
        <f t="shared" si="1"/>
        <v/>
      </c>
      <c r="K591" s="17"/>
    </row>
    <row r="592" ht="15.0" customHeight="1">
      <c r="A592" s="19"/>
      <c r="B592" s="15"/>
      <c r="C592" s="26" t="str">
        <f t="array" ref="C592">IFERROR(INDEX('Patrimônio'!$C$7:$C$1003,MATCH($B592,'Patrimônio'!$A$7:$A$1003,0)),"")</f>
        <v/>
      </c>
      <c r="D592" s="26" t="str">
        <f t="array" ref="D592">IFERROR(INDEX('Patrimônio'!$B$7:$B$1003,MATCH($B592,'Patrimônio'!$A$7:$A$1003,0)),"")</f>
        <v/>
      </c>
      <c r="E592" s="17"/>
      <c r="F592" s="18"/>
      <c r="G592" s="19"/>
      <c r="H592" s="15"/>
      <c r="I592" s="17"/>
      <c r="J592" s="24" t="str">
        <f t="shared" si="1"/>
        <v/>
      </c>
      <c r="K592" s="17"/>
    </row>
    <row r="593" ht="15.0" customHeight="1">
      <c r="A593" s="19"/>
      <c r="B593" s="15"/>
      <c r="C593" s="26" t="str">
        <f t="array" ref="C593">IFERROR(INDEX('Patrimônio'!$C$7:$C$1003,MATCH($B593,'Patrimônio'!$A$7:$A$1003,0)),"")</f>
        <v/>
      </c>
      <c r="D593" s="26" t="str">
        <f t="array" ref="D593">IFERROR(INDEX('Patrimônio'!$B$7:$B$1003,MATCH($B593,'Patrimônio'!$A$7:$A$1003,0)),"")</f>
        <v/>
      </c>
      <c r="E593" s="17"/>
      <c r="F593" s="18"/>
      <c r="G593" s="19"/>
      <c r="H593" s="15"/>
      <c r="I593" s="17"/>
      <c r="J593" s="24" t="str">
        <f t="shared" si="1"/>
        <v/>
      </c>
      <c r="K593" s="17"/>
    </row>
    <row r="594" ht="15.0" customHeight="1">
      <c r="A594" s="19"/>
      <c r="B594" s="15"/>
      <c r="C594" s="26" t="str">
        <f t="array" ref="C594">IFERROR(INDEX('Patrimônio'!$C$7:$C$1003,MATCH($B594,'Patrimônio'!$A$7:$A$1003,0)),"")</f>
        <v/>
      </c>
      <c r="D594" s="26" t="str">
        <f t="array" ref="D594">IFERROR(INDEX('Patrimônio'!$B$7:$B$1003,MATCH($B594,'Patrimônio'!$A$7:$A$1003,0)),"")</f>
        <v/>
      </c>
      <c r="E594" s="17"/>
      <c r="F594" s="18"/>
      <c r="G594" s="19"/>
      <c r="H594" s="15"/>
      <c r="I594" s="17"/>
      <c r="J594" s="24" t="str">
        <f t="shared" si="1"/>
        <v/>
      </c>
      <c r="K594" s="17"/>
    </row>
    <row r="595" ht="15.0" customHeight="1">
      <c r="A595" s="19"/>
      <c r="B595" s="15"/>
      <c r="C595" s="26" t="str">
        <f t="array" ref="C595">IFERROR(INDEX('Patrimônio'!$C$7:$C$1003,MATCH($B595,'Patrimônio'!$A$7:$A$1003,0)),"")</f>
        <v/>
      </c>
      <c r="D595" s="26" t="str">
        <f t="array" ref="D595">IFERROR(INDEX('Patrimônio'!$B$7:$B$1003,MATCH($B595,'Patrimônio'!$A$7:$A$1003,0)),"")</f>
        <v/>
      </c>
      <c r="E595" s="17"/>
      <c r="F595" s="18"/>
      <c r="G595" s="19"/>
      <c r="H595" s="15"/>
      <c r="I595" s="17"/>
      <c r="J595" s="24" t="str">
        <f t="shared" si="1"/>
        <v/>
      </c>
      <c r="K595" s="17"/>
    </row>
    <row r="596" ht="15.0" customHeight="1">
      <c r="A596" s="19"/>
      <c r="B596" s="15"/>
      <c r="C596" s="26" t="str">
        <f t="array" ref="C596">IFERROR(INDEX('Patrimônio'!$C$7:$C$1003,MATCH($B596,'Patrimônio'!$A$7:$A$1003,0)),"")</f>
        <v/>
      </c>
      <c r="D596" s="26" t="str">
        <f t="array" ref="D596">IFERROR(INDEX('Patrimônio'!$B$7:$B$1003,MATCH($B596,'Patrimônio'!$A$7:$A$1003,0)),"")</f>
        <v/>
      </c>
      <c r="E596" s="17"/>
      <c r="F596" s="18"/>
      <c r="G596" s="19"/>
      <c r="H596" s="15"/>
      <c r="I596" s="17"/>
      <c r="J596" s="24" t="str">
        <f t="shared" si="1"/>
        <v/>
      </c>
      <c r="K596" s="17"/>
    </row>
    <row r="597" ht="15.0" customHeight="1">
      <c r="A597" s="19"/>
      <c r="B597" s="15"/>
      <c r="C597" s="26" t="str">
        <f t="array" ref="C597">IFERROR(INDEX('Patrimônio'!$C$7:$C$1003,MATCH($B597,'Patrimônio'!$A$7:$A$1003,0)),"")</f>
        <v/>
      </c>
      <c r="D597" s="26" t="str">
        <f t="array" ref="D597">IFERROR(INDEX('Patrimônio'!$B$7:$B$1003,MATCH($B597,'Patrimônio'!$A$7:$A$1003,0)),"")</f>
        <v/>
      </c>
      <c r="E597" s="17"/>
      <c r="F597" s="18"/>
      <c r="G597" s="19"/>
      <c r="H597" s="15"/>
      <c r="I597" s="17"/>
      <c r="J597" s="24" t="str">
        <f t="shared" si="1"/>
        <v/>
      </c>
      <c r="K597" s="17"/>
    </row>
    <row r="598" ht="15.0" customHeight="1">
      <c r="A598" s="19"/>
      <c r="B598" s="15"/>
      <c r="C598" s="26" t="str">
        <f t="array" ref="C598">IFERROR(INDEX('Patrimônio'!$C$7:$C$1003,MATCH($B598,'Patrimônio'!$A$7:$A$1003,0)),"")</f>
        <v/>
      </c>
      <c r="D598" s="26" t="str">
        <f t="array" ref="D598">IFERROR(INDEX('Patrimônio'!$B$7:$B$1003,MATCH($B598,'Patrimônio'!$A$7:$A$1003,0)),"")</f>
        <v/>
      </c>
      <c r="E598" s="17"/>
      <c r="F598" s="18"/>
      <c r="G598" s="19"/>
      <c r="H598" s="15"/>
      <c r="I598" s="17"/>
      <c r="J598" s="24" t="str">
        <f t="shared" si="1"/>
        <v/>
      </c>
      <c r="K598" s="17"/>
    </row>
    <row r="599" ht="15.0" customHeight="1">
      <c r="A599" s="19"/>
      <c r="B599" s="15"/>
      <c r="C599" s="26" t="str">
        <f t="array" ref="C599">IFERROR(INDEX('Patrimônio'!$C$7:$C$1003,MATCH($B599,'Patrimônio'!$A$7:$A$1003,0)),"")</f>
        <v/>
      </c>
      <c r="D599" s="26" t="str">
        <f t="array" ref="D599">IFERROR(INDEX('Patrimônio'!$B$7:$B$1003,MATCH($B599,'Patrimônio'!$A$7:$A$1003,0)),"")</f>
        <v/>
      </c>
      <c r="E599" s="17"/>
      <c r="F599" s="18"/>
      <c r="G599" s="19"/>
      <c r="H599" s="15"/>
      <c r="I599" s="17"/>
      <c r="J599" s="24" t="str">
        <f t="shared" si="1"/>
        <v/>
      </c>
      <c r="K599" s="17"/>
    </row>
    <row r="600" ht="15.0" customHeight="1">
      <c r="A600" s="19"/>
      <c r="B600" s="15"/>
      <c r="C600" s="26" t="str">
        <f t="array" ref="C600">IFERROR(INDEX('Patrimônio'!$C$7:$C$1003,MATCH($B600,'Patrimônio'!$A$7:$A$1003,0)),"")</f>
        <v/>
      </c>
      <c r="D600" s="26" t="str">
        <f t="array" ref="D600">IFERROR(INDEX('Patrimônio'!$B$7:$B$1003,MATCH($B600,'Patrimônio'!$A$7:$A$1003,0)),"")</f>
        <v/>
      </c>
      <c r="E600" s="17"/>
      <c r="F600" s="18"/>
      <c r="G600" s="19"/>
      <c r="H600" s="15"/>
      <c r="I600" s="17"/>
      <c r="J600" s="24" t="str">
        <f t="shared" si="1"/>
        <v/>
      </c>
      <c r="K600" s="17"/>
    </row>
    <row r="601" ht="15.0" customHeight="1">
      <c r="A601" s="19"/>
      <c r="B601" s="15"/>
      <c r="C601" s="26" t="str">
        <f t="array" ref="C601">IFERROR(INDEX('Patrimônio'!$C$7:$C$1003,MATCH($B601,'Patrimônio'!$A$7:$A$1003,0)),"")</f>
        <v/>
      </c>
      <c r="D601" s="26" t="str">
        <f t="array" ref="D601">IFERROR(INDEX('Patrimônio'!$B$7:$B$1003,MATCH($B601,'Patrimônio'!$A$7:$A$1003,0)),"")</f>
        <v/>
      </c>
      <c r="E601" s="17"/>
      <c r="F601" s="18"/>
      <c r="G601" s="19"/>
      <c r="H601" s="15"/>
      <c r="I601" s="17"/>
      <c r="J601" s="24" t="str">
        <f t="shared" si="1"/>
        <v/>
      </c>
      <c r="K601" s="17"/>
    </row>
    <row r="602" ht="15.0" customHeight="1">
      <c r="A602" s="19"/>
      <c r="B602" s="15"/>
      <c r="C602" s="26" t="str">
        <f t="array" ref="C602">IFERROR(INDEX('Patrimônio'!$C$7:$C$1003,MATCH($B602,'Patrimônio'!$A$7:$A$1003,0)),"")</f>
        <v/>
      </c>
      <c r="D602" s="26" t="str">
        <f t="array" ref="D602">IFERROR(INDEX('Patrimônio'!$B$7:$B$1003,MATCH($B602,'Patrimônio'!$A$7:$A$1003,0)),"")</f>
        <v/>
      </c>
      <c r="E602" s="17"/>
      <c r="F602" s="18"/>
      <c r="G602" s="19"/>
      <c r="H602" s="15"/>
      <c r="I602" s="17"/>
      <c r="J602" s="24" t="str">
        <f t="shared" si="1"/>
        <v/>
      </c>
      <c r="K602" s="17"/>
    </row>
    <row r="603" ht="15.0" customHeight="1">
      <c r="A603" s="19"/>
      <c r="B603" s="15"/>
      <c r="C603" s="26" t="str">
        <f t="array" ref="C603">IFERROR(INDEX('Patrimônio'!$C$7:$C$1003,MATCH($B603,'Patrimônio'!$A$7:$A$1003,0)),"")</f>
        <v/>
      </c>
      <c r="D603" s="26" t="str">
        <f t="array" ref="D603">IFERROR(INDEX('Patrimônio'!$B$7:$B$1003,MATCH($B603,'Patrimônio'!$A$7:$A$1003,0)),"")</f>
        <v/>
      </c>
      <c r="E603" s="17"/>
      <c r="F603" s="18"/>
      <c r="G603" s="19"/>
      <c r="H603" s="15"/>
      <c r="I603" s="17"/>
      <c r="J603" s="24" t="str">
        <f t="shared" si="1"/>
        <v/>
      </c>
      <c r="K603" s="17"/>
    </row>
    <row r="604" ht="15.0" customHeight="1">
      <c r="A604" s="19"/>
      <c r="B604" s="15"/>
      <c r="C604" s="26" t="str">
        <f t="array" ref="C604">IFERROR(INDEX('Patrimônio'!$C$7:$C$1003,MATCH($B604,'Patrimônio'!$A$7:$A$1003,0)),"")</f>
        <v/>
      </c>
      <c r="D604" s="26" t="str">
        <f t="array" ref="D604">IFERROR(INDEX('Patrimônio'!$B$7:$B$1003,MATCH($B604,'Patrimônio'!$A$7:$A$1003,0)),"")</f>
        <v/>
      </c>
      <c r="E604" s="17"/>
      <c r="F604" s="18"/>
      <c r="G604" s="19"/>
      <c r="H604" s="15"/>
      <c r="I604" s="17"/>
      <c r="J604" s="24" t="str">
        <f t="shared" si="1"/>
        <v/>
      </c>
      <c r="K604" s="17"/>
    </row>
    <row r="605" ht="15.0" customHeight="1">
      <c r="A605" s="19"/>
      <c r="B605" s="15"/>
      <c r="C605" s="26" t="str">
        <f t="array" ref="C605">IFERROR(INDEX('Patrimônio'!$C$7:$C$1003,MATCH($B605,'Patrimônio'!$A$7:$A$1003,0)),"")</f>
        <v/>
      </c>
      <c r="D605" s="26" t="str">
        <f t="array" ref="D605">IFERROR(INDEX('Patrimônio'!$B$7:$B$1003,MATCH($B605,'Patrimônio'!$A$7:$A$1003,0)),"")</f>
        <v/>
      </c>
      <c r="E605" s="17"/>
      <c r="F605" s="18"/>
      <c r="G605" s="19"/>
      <c r="H605" s="15"/>
      <c r="I605" s="17"/>
      <c r="J605" s="24" t="str">
        <f t="shared" si="1"/>
        <v/>
      </c>
      <c r="K605" s="17"/>
    </row>
    <row r="606" ht="15.0" customHeight="1">
      <c r="A606" s="19"/>
      <c r="B606" s="15"/>
      <c r="C606" s="26" t="str">
        <f t="array" ref="C606">IFERROR(INDEX('Patrimônio'!$C$7:$C$1003,MATCH($B606,'Patrimônio'!$A$7:$A$1003,0)),"")</f>
        <v/>
      </c>
      <c r="D606" s="26" t="str">
        <f t="array" ref="D606">IFERROR(INDEX('Patrimônio'!$B$7:$B$1003,MATCH($B606,'Patrimônio'!$A$7:$A$1003,0)),"")</f>
        <v/>
      </c>
      <c r="E606" s="17"/>
      <c r="F606" s="18"/>
      <c r="G606" s="19"/>
      <c r="H606" s="15"/>
      <c r="I606" s="17"/>
      <c r="J606" s="24" t="str">
        <f t="shared" si="1"/>
        <v/>
      </c>
      <c r="K606" s="17"/>
    </row>
    <row r="607" ht="15.0" customHeight="1">
      <c r="A607" s="19"/>
      <c r="B607" s="15"/>
      <c r="C607" s="26" t="str">
        <f t="array" ref="C607">IFERROR(INDEX('Patrimônio'!$C$7:$C$1003,MATCH($B607,'Patrimônio'!$A$7:$A$1003,0)),"")</f>
        <v/>
      </c>
      <c r="D607" s="26" t="str">
        <f t="array" ref="D607">IFERROR(INDEX('Patrimônio'!$B$7:$B$1003,MATCH($B607,'Patrimônio'!$A$7:$A$1003,0)),"")</f>
        <v/>
      </c>
      <c r="E607" s="17"/>
      <c r="F607" s="18"/>
      <c r="G607" s="19"/>
      <c r="H607" s="15"/>
      <c r="I607" s="17"/>
      <c r="J607" s="24" t="str">
        <f t="shared" si="1"/>
        <v/>
      </c>
      <c r="K607" s="17"/>
    </row>
    <row r="608" ht="15.0" customHeight="1">
      <c r="A608" s="19"/>
      <c r="B608" s="15"/>
      <c r="C608" s="26" t="str">
        <f t="array" ref="C608">IFERROR(INDEX('Patrimônio'!$C$7:$C$1003,MATCH($B608,'Patrimônio'!$A$7:$A$1003,0)),"")</f>
        <v/>
      </c>
      <c r="D608" s="26" t="str">
        <f t="array" ref="D608">IFERROR(INDEX('Patrimônio'!$B$7:$B$1003,MATCH($B608,'Patrimônio'!$A$7:$A$1003,0)),"")</f>
        <v/>
      </c>
      <c r="E608" s="17"/>
      <c r="F608" s="18"/>
      <c r="G608" s="19"/>
      <c r="H608" s="15"/>
      <c r="I608" s="17"/>
      <c r="J608" s="24" t="str">
        <f t="shared" si="1"/>
        <v/>
      </c>
      <c r="K608" s="17"/>
    </row>
    <row r="609" ht="15.0" customHeight="1">
      <c r="A609" s="19"/>
      <c r="B609" s="15"/>
      <c r="C609" s="26" t="str">
        <f t="array" ref="C609">IFERROR(INDEX('Patrimônio'!$C$7:$C$1003,MATCH($B609,'Patrimônio'!$A$7:$A$1003,0)),"")</f>
        <v/>
      </c>
      <c r="D609" s="26" t="str">
        <f t="array" ref="D609">IFERROR(INDEX('Patrimônio'!$B$7:$B$1003,MATCH($B609,'Patrimônio'!$A$7:$A$1003,0)),"")</f>
        <v/>
      </c>
      <c r="E609" s="17"/>
      <c r="F609" s="18"/>
      <c r="G609" s="19"/>
      <c r="H609" s="15"/>
      <c r="I609" s="17"/>
      <c r="J609" s="24" t="str">
        <f t="shared" si="1"/>
        <v/>
      </c>
      <c r="K609" s="17"/>
    </row>
    <row r="610" ht="15.0" customHeight="1">
      <c r="A610" s="19"/>
      <c r="B610" s="15"/>
      <c r="C610" s="26" t="str">
        <f t="array" ref="C610">IFERROR(INDEX('Patrimônio'!$C$7:$C$1003,MATCH($B610,'Patrimônio'!$A$7:$A$1003,0)),"")</f>
        <v/>
      </c>
      <c r="D610" s="26" t="str">
        <f t="array" ref="D610">IFERROR(INDEX('Patrimônio'!$B$7:$B$1003,MATCH($B610,'Patrimônio'!$A$7:$A$1003,0)),"")</f>
        <v/>
      </c>
      <c r="E610" s="17"/>
      <c r="F610" s="18"/>
      <c r="G610" s="19"/>
      <c r="H610" s="15"/>
      <c r="I610" s="17"/>
      <c r="J610" s="24" t="str">
        <f t="shared" si="1"/>
        <v/>
      </c>
      <c r="K610" s="17"/>
    </row>
    <row r="611" ht="15.0" customHeight="1">
      <c r="A611" s="19"/>
      <c r="B611" s="15"/>
      <c r="C611" s="26" t="str">
        <f t="array" ref="C611">IFERROR(INDEX('Patrimônio'!$C$7:$C$1003,MATCH($B611,'Patrimônio'!$A$7:$A$1003,0)),"")</f>
        <v/>
      </c>
      <c r="D611" s="26" t="str">
        <f t="array" ref="D611">IFERROR(INDEX('Patrimônio'!$B$7:$B$1003,MATCH($B611,'Patrimônio'!$A$7:$A$1003,0)),"")</f>
        <v/>
      </c>
      <c r="E611" s="17"/>
      <c r="F611" s="18"/>
      <c r="G611" s="19"/>
      <c r="H611" s="15"/>
      <c r="I611" s="17"/>
      <c r="J611" s="24" t="str">
        <f t="shared" si="1"/>
        <v/>
      </c>
      <c r="K611" s="17"/>
    </row>
    <row r="612" ht="15.0" customHeight="1">
      <c r="A612" s="19"/>
      <c r="B612" s="15"/>
      <c r="C612" s="26" t="str">
        <f t="array" ref="C612">IFERROR(INDEX('Patrimônio'!$C$7:$C$1003,MATCH($B612,'Patrimônio'!$A$7:$A$1003,0)),"")</f>
        <v/>
      </c>
      <c r="D612" s="26" t="str">
        <f t="array" ref="D612">IFERROR(INDEX('Patrimônio'!$B$7:$B$1003,MATCH($B612,'Patrimônio'!$A$7:$A$1003,0)),"")</f>
        <v/>
      </c>
      <c r="E612" s="17"/>
      <c r="F612" s="18"/>
      <c r="G612" s="19"/>
      <c r="H612" s="15"/>
      <c r="I612" s="17"/>
      <c r="J612" s="24" t="str">
        <f t="shared" si="1"/>
        <v/>
      </c>
      <c r="K612" s="17"/>
    </row>
    <row r="613" ht="15.0" customHeight="1">
      <c r="A613" s="19"/>
      <c r="B613" s="15"/>
      <c r="C613" s="26" t="str">
        <f t="array" ref="C613">IFERROR(INDEX('Patrimônio'!$C$7:$C$1003,MATCH($B613,'Patrimônio'!$A$7:$A$1003,0)),"")</f>
        <v/>
      </c>
      <c r="D613" s="26" t="str">
        <f t="array" ref="D613">IFERROR(INDEX('Patrimônio'!$B$7:$B$1003,MATCH($B613,'Patrimônio'!$A$7:$A$1003,0)),"")</f>
        <v/>
      </c>
      <c r="E613" s="17"/>
      <c r="F613" s="18"/>
      <c r="G613" s="19"/>
      <c r="H613" s="15"/>
      <c r="I613" s="17"/>
      <c r="J613" s="24" t="str">
        <f t="shared" si="1"/>
        <v/>
      </c>
      <c r="K613" s="17"/>
    </row>
    <row r="614" ht="15.0" customHeight="1">
      <c r="A614" s="19"/>
      <c r="B614" s="15"/>
      <c r="C614" s="26" t="str">
        <f t="array" ref="C614">IFERROR(INDEX('Patrimônio'!$C$7:$C$1003,MATCH($B614,'Patrimônio'!$A$7:$A$1003,0)),"")</f>
        <v/>
      </c>
      <c r="D614" s="26" t="str">
        <f t="array" ref="D614">IFERROR(INDEX('Patrimônio'!$B$7:$B$1003,MATCH($B614,'Patrimônio'!$A$7:$A$1003,0)),"")</f>
        <v/>
      </c>
      <c r="E614" s="17"/>
      <c r="F614" s="18"/>
      <c r="G614" s="19"/>
      <c r="H614" s="15"/>
      <c r="I614" s="17"/>
      <c r="J614" s="24" t="str">
        <f t="shared" si="1"/>
        <v/>
      </c>
      <c r="K614" s="17"/>
    </row>
    <row r="615" ht="15.0" customHeight="1">
      <c r="A615" s="19"/>
      <c r="B615" s="15"/>
      <c r="C615" s="26" t="str">
        <f t="array" ref="C615">IFERROR(INDEX('Patrimônio'!$C$7:$C$1003,MATCH($B615,'Patrimônio'!$A$7:$A$1003,0)),"")</f>
        <v/>
      </c>
      <c r="D615" s="26" t="str">
        <f t="array" ref="D615">IFERROR(INDEX('Patrimônio'!$B$7:$B$1003,MATCH($B615,'Patrimônio'!$A$7:$A$1003,0)),"")</f>
        <v/>
      </c>
      <c r="E615" s="17"/>
      <c r="F615" s="18"/>
      <c r="G615" s="19"/>
      <c r="H615" s="15"/>
      <c r="I615" s="17"/>
      <c r="J615" s="24" t="str">
        <f t="shared" si="1"/>
        <v/>
      </c>
      <c r="K615" s="17"/>
    </row>
    <row r="616" ht="15.0" customHeight="1">
      <c r="A616" s="19"/>
      <c r="B616" s="15"/>
      <c r="C616" s="26" t="str">
        <f t="array" ref="C616">IFERROR(INDEX('Patrimônio'!$C$7:$C$1003,MATCH($B616,'Patrimônio'!$A$7:$A$1003,0)),"")</f>
        <v/>
      </c>
      <c r="D616" s="26" t="str">
        <f t="array" ref="D616">IFERROR(INDEX('Patrimônio'!$B$7:$B$1003,MATCH($B616,'Patrimônio'!$A$7:$A$1003,0)),"")</f>
        <v/>
      </c>
      <c r="E616" s="17"/>
      <c r="F616" s="18"/>
      <c r="G616" s="19"/>
      <c r="H616" s="15"/>
      <c r="I616" s="17"/>
      <c r="J616" s="24" t="str">
        <f t="shared" si="1"/>
        <v/>
      </c>
      <c r="K616" s="17"/>
    </row>
    <row r="617" ht="15.0" customHeight="1">
      <c r="A617" s="19"/>
      <c r="B617" s="15"/>
      <c r="C617" s="26" t="str">
        <f t="array" ref="C617">IFERROR(INDEX('Patrimônio'!$C$7:$C$1003,MATCH($B617,'Patrimônio'!$A$7:$A$1003,0)),"")</f>
        <v/>
      </c>
      <c r="D617" s="26" t="str">
        <f t="array" ref="D617">IFERROR(INDEX('Patrimônio'!$B$7:$B$1003,MATCH($B617,'Patrimônio'!$A$7:$A$1003,0)),"")</f>
        <v/>
      </c>
      <c r="E617" s="17"/>
      <c r="F617" s="18"/>
      <c r="G617" s="19"/>
      <c r="H617" s="15"/>
      <c r="I617" s="17"/>
      <c r="J617" s="24" t="str">
        <f t="shared" si="1"/>
        <v/>
      </c>
      <c r="K617" s="17"/>
    </row>
    <row r="618" ht="15.0" customHeight="1">
      <c r="A618" s="19"/>
      <c r="B618" s="15"/>
      <c r="C618" s="26" t="str">
        <f t="array" ref="C618">IFERROR(INDEX('Patrimônio'!$C$7:$C$1003,MATCH($B618,'Patrimônio'!$A$7:$A$1003,0)),"")</f>
        <v/>
      </c>
      <c r="D618" s="26" t="str">
        <f t="array" ref="D618">IFERROR(INDEX('Patrimônio'!$B$7:$B$1003,MATCH($B618,'Patrimônio'!$A$7:$A$1003,0)),"")</f>
        <v/>
      </c>
      <c r="E618" s="17"/>
      <c r="F618" s="18"/>
      <c r="G618" s="19"/>
      <c r="H618" s="15"/>
      <c r="I618" s="17"/>
      <c r="J618" s="24" t="str">
        <f t="shared" si="1"/>
        <v/>
      </c>
      <c r="K618" s="17"/>
    </row>
    <row r="619" ht="15.0" customHeight="1">
      <c r="A619" s="19"/>
      <c r="B619" s="15"/>
      <c r="C619" s="26" t="str">
        <f t="array" ref="C619">IFERROR(INDEX('Patrimônio'!$C$7:$C$1003,MATCH($B619,'Patrimônio'!$A$7:$A$1003,0)),"")</f>
        <v/>
      </c>
      <c r="D619" s="26" t="str">
        <f t="array" ref="D619">IFERROR(INDEX('Patrimônio'!$B$7:$B$1003,MATCH($B619,'Patrimônio'!$A$7:$A$1003,0)),"")</f>
        <v/>
      </c>
      <c r="E619" s="17"/>
      <c r="F619" s="18"/>
      <c r="G619" s="19"/>
      <c r="H619" s="15"/>
      <c r="I619" s="17"/>
      <c r="J619" s="24" t="str">
        <f t="shared" si="1"/>
        <v/>
      </c>
      <c r="K619" s="17"/>
    </row>
    <row r="620" ht="15.0" customHeight="1">
      <c r="A620" s="19"/>
      <c r="B620" s="15"/>
      <c r="C620" s="26" t="str">
        <f t="array" ref="C620">IFERROR(INDEX('Patrimônio'!$C$7:$C$1003,MATCH($B620,'Patrimônio'!$A$7:$A$1003,0)),"")</f>
        <v/>
      </c>
      <c r="D620" s="26" t="str">
        <f t="array" ref="D620">IFERROR(INDEX('Patrimônio'!$B$7:$B$1003,MATCH($B620,'Patrimônio'!$A$7:$A$1003,0)),"")</f>
        <v/>
      </c>
      <c r="E620" s="17"/>
      <c r="F620" s="18"/>
      <c r="G620" s="19"/>
      <c r="H620" s="15"/>
      <c r="I620" s="17"/>
      <c r="J620" s="24" t="str">
        <f t="shared" si="1"/>
        <v/>
      </c>
      <c r="K620" s="17"/>
    </row>
    <row r="621" ht="15.0" customHeight="1">
      <c r="A621" s="19"/>
      <c r="B621" s="15"/>
      <c r="C621" s="26" t="str">
        <f t="array" ref="C621">IFERROR(INDEX('Patrimônio'!$C$7:$C$1003,MATCH($B621,'Patrimônio'!$A$7:$A$1003,0)),"")</f>
        <v/>
      </c>
      <c r="D621" s="26" t="str">
        <f t="array" ref="D621">IFERROR(INDEX('Patrimônio'!$B$7:$B$1003,MATCH($B621,'Patrimônio'!$A$7:$A$1003,0)),"")</f>
        <v/>
      </c>
      <c r="E621" s="17"/>
      <c r="F621" s="18"/>
      <c r="G621" s="19"/>
      <c r="H621" s="15"/>
      <c r="I621" s="17"/>
      <c r="J621" s="24" t="str">
        <f t="shared" si="1"/>
        <v/>
      </c>
      <c r="K621" s="17"/>
    </row>
    <row r="622" ht="15.0" customHeight="1">
      <c r="A622" s="19"/>
      <c r="B622" s="15"/>
      <c r="C622" s="26" t="str">
        <f t="array" ref="C622">IFERROR(INDEX('Patrimônio'!$C$7:$C$1003,MATCH($B622,'Patrimônio'!$A$7:$A$1003,0)),"")</f>
        <v/>
      </c>
      <c r="D622" s="26" t="str">
        <f t="array" ref="D622">IFERROR(INDEX('Patrimônio'!$B$7:$B$1003,MATCH($B622,'Patrimônio'!$A$7:$A$1003,0)),"")</f>
        <v/>
      </c>
      <c r="E622" s="17"/>
      <c r="F622" s="18"/>
      <c r="G622" s="19"/>
      <c r="H622" s="15"/>
      <c r="I622" s="17"/>
      <c r="J622" s="24" t="str">
        <f t="shared" si="1"/>
        <v/>
      </c>
      <c r="K622" s="17"/>
    </row>
    <row r="623" ht="15.0" customHeight="1">
      <c r="A623" s="19"/>
      <c r="B623" s="15"/>
      <c r="C623" s="26" t="str">
        <f t="array" ref="C623">IFERROR(INDEX('Patrimônio'!$C$7:$C$1003,MATCH($B623,'Patrimônio'!$A$7:$A$1003,0)),"")</f>
        <v/>
      </c>
      <c r="D623" s="26" t="str">
        <f t="array" ref="D623">IFERROR(INDEX('Patrimônio'!$B$7:$B$1003,MATCH($B623,'Patrimônio'!$A$7:$A$1003,0)),"")</f>
        <v/>
      </c>
      <c r="E623" s="17"/>
      <c r="F623" s="18"/>
      <c r="G623" s="19"/>
      <c r="H623" s="15"/>
      <c r="I623" s="17"/>
      <c r="J623" s="24" t="str">
        <f t="shared" si="1"/>
        <v/>
      </c>
      <c r="K623" s="17"/>
    </row>
    <row r="624" ht="15.0" customHeight="1">
      <c r="A624" s="19"/>
      <c r="B624" s="15"/>
      <c r="C624" s="26" t="str">
        <f t="array" ref="C624">IFERROR(INDEX('Patrimônio'!$C$7:$C$1003,MATCH($B624,'Patrimônio'!$A$7:$A$1003,0)),"")</f>
        <v/>
      </c>
      <c r="D624" s="26" t="str">
        <f t="array" ref="D624">IFERROR(INDEX('Patrimônio'!$B$7:$B$1003,MATCH($B624,'Patrimônio'!$A$7:$A$1003,0)),"")</f>
        <v/>
      </c>
      <c r="E624" s="17"/>
      <c r="F624" s="18"/>
      <c r="G624" s="19"/>
      <c r="H624" s="15"/>
      <c r="I624" s="17"/>
      <c r="J624" s="24" t="str">
        <f t="shared" si="1"/>
        <v/>
      </c>
      <c r="K624" s="17"/>
    </row>
    <row r="625" ht="15.0" customHeight="1">
      <c r="A625" s="19"/>
      <c r="B625" s="15"/>
      <c r="C625" s="26" t="str">
        <f t="array" ref="C625">IFERROR(INDEX('Patrimônio'!$C$7:$C$1003,MATCH($B625,'Patrimônio'!$A$7:$A$1003,0)),"")</f>
        <v/>
      </c>
      <c r="D625" s="26" t="str">
        <f t="array" ref="D625">IFERROR(INDEX('Patrimônio'!$B$7:$B$1003,MATCH($B625,'Patrimônio'!$A$7:$A$1003,0)),"")</f>
        <v/>
      </c>
      <c r="E625" s="17"/>
      <c r="F625" s="18"/>
      <c r="G625" s="19"/>
      <c r="H625" s="15"/>
      <c r="I625" s="17"/>
      <c r="J625" s="24" t="str">
        <f t="shared" si="1"/>
        <v/>
      </c>
      <c r="K625" s="17"/>
    </row>
    <row r="626" ht="15.0" customHeight="1">
      <c r="A626" s="19"/>
      <c r="B626" s="15"/>
      <c r="C626" s="26" t="str">
        <f t="array" ref="C626">IFERROR(INDEX('Patrimônio'!$C$7:$C$1003,MATCH($B626,'Patrimônio'!$A$7:$A$1003,0)),"")</f>
        <v/>
      </c>
      <c r="D626" s="26" t="str">
        <f t="array" ref="D626">IFERROR(INDEX('Patrimônio'!$B$7:$B$1003,MATCH($B626,'Patrimônio'!$A$7:$A$1003,0)),"")</f>
        <v/>
      </c>
      <c r="E626" s="17"/>
      <c r="F626" s="18"/>
      <c r="G626" s="19"/>
      <c r="H626" s="15"/>
      <c r="I626" s="17"/>
      <c r="J626" s="24" t="str">
        <f t="shared" si="1"/>
        <v/>
      </c>
      <c r="K626" s="17"/>
    </row>
    <row r="627" ht="15.0" customHeight="1">
      <c r="A627" s="19"/>
      <c r="B627" s="15"/>
      <c r="C627" s="26" t="str">
        <f t="array" ref="C627">IFERROR(INDEX('Patrimônio'!$C$7:$C$1003,MATCH($B627,'Patrimônio'!$A$7:$A$1003,0)),"")</f>
        <v/>
      </c>
      <c r="D627" s="26" t="str">
        <f t="array" ref="D627">IFERROR(INDEX('Patrimônio'!$B$7:$B$1003,MATCH($B627,'Patrimônio'!$A$7:$A$1003,0)),"")</f>
        <v/>
      </c>
      <c r="E627" s="17"/>
      <c r="F627" s="18"/>
      <c r="G627" s="19"/>
      <c r="H627" s="15"/>
      <c r="I627" s="17"/>
      <c r="J627" s="24" t="str">
        <f t="shared" si="1"/>
        <v/>
      </c>
      <c r="K627" s="17"/>
    </row>
    <row r="628" ht="15.0" customHeight="1">
      <c r="A628" s="19"/>
      <c r="B628" s="15"/>
      <c r="C628" s="26" t="str">
        <f t="array" ref="C628">IFERROR(INDEX('Patrimônio'!$C$7:$C$1003,MATCH($B628,'Patrimônio'!$A$7:$A$1003,0)),"")</f>
        <v/>
      </c>
      <c r="D628" s="26" t="str">
        <f t="array" ref="D628">IFERROR(INDEX('Patrimônio'!$B$7:$B$1003,MATCH($B628,'Patrimônio'!$A$7:$A$1003,0)),"")</f>
        <v/>
      </c>
      <c r="E628" s="17"/>
      <c r="F628" s="18"/>
      <c r="G628" s="19"/>
      <c r="H628" s="15"/>
      <c r="I628" s="17"/>
      <c r="J628" s="24" t="str">
        <f t="shared" si="1"/>
        <v/>
      </c>
      <c r="K628" s="17"/>
    </row>
    <row r="629" ht="15.0" customHeight="1">
      <c r="A629" s="19"/>
      <c r="B629" s="15"/>
      <c r="C629" s="26" t="str">
        <f t="array" ref="C629">IFERROR(INDEX('Patrimônio'!$C$7:$C$1003,MATCH($B629,'Patrimônio'!$A$7:$A$1003,0)),"")</f>
        <v/>
      </c>
      <c r="D629" s="26" t="str">
        <f t="array" ref="D629">IFERROR(INDEX('Patrimônio'!$B$7:$B$1003,MATCH($B629,'Patrimônio'!$A$7:$A$1003,0)),"")</f>
        <v/>
      </c>
      <c r="E629" s="17"/>
      <c r="F629" s="18"/>
      <c r="G629" s="19"/>
      <c r="H629" s="15"/>
      <c r="I629" s="17"/>
      <c r="J629" s="24" t="str">
        <f t="shared" si="1"/>
        <v/>
      </c>
      <c r="K629" s="17"/>
    </row>
    <row r="630" ht="15.0" customHeight="1">
      <c r="A630" s="19"/>
      <c r="B630" s="15"/>
      <c r="C630" s="26" t="str">
        <f t="array" ref="C630">IFERROR(INDEX('Patrimônio'!$C$7:$C$1003,MATCH($B630,'Patrimônio'!$A$7:$A$1003,0)),"")</f>
        <v/>
      </c>
      <c r="D630" s="26" t="str">
        <f t="array" ref="D630">IFERROR(INDEX('Patrimônio'!$B$7:$B$1003,MATCH($B630,'Patrimônio'!$A$7:$A$1003,0)),"")</f>
        <v/>
      </c>
      <c r="E630" s="17"/>
      <c r="F630" s="18"/>
      <c r="G630" s="19"/>
      <c r="H630" s="15"/>
      <c r="I630" s="17"/>
      <c r="J630" s="24" t="str">
        <f t="shared" si="1"/>
        <v/>
      </c>
      <c r="K630" s="17"/>
    </row>
    <row r="631" ht="15.0" customHeight="1">
      <c r="A631" s="19"/>
      <c r="B631" s="15"/>
      <c r="C631" s="26" t="str">
        <f t="array" ref="C631">IFERROR(INDEX('Patrimônio'!$C$7:$C$1003,MATCH($B631,'Patrimônio'!$A$7:$A$1003,0)),"")</f>
        <v/>
      </c>
      <c r="D631" s="26" t="str">
        <f t="array" ref="D631">IFERROR(INDEX('Patrimônio'!$B$7:$B$1003,MATCH($B631,'Patrimônio'!$A$7:$A$1003,0)),"")</f>
        <v/>
      </c>
      <c r="E631" s="17"/>
      <c r="F631" s="18"/>
      <c r="G631" s="19"/>
      <c r="H631" s="15"/>
      <c r="I631" s="17"/>
      <c r="J631" s="24" t="str">
        <f t="shared" si="1"/>
        <v/>
      </c>
      <c r="K631" s="17"/>
    </row>
    <row r="632" ht="15.0" customHeight="1">
      <c r="A632" s="19"/>
      <c r="B632" s="15"/>
      <c r="C632" s="26" t="str">
        <f t="array" ref="C632">IFERROR(INDEX('Patrimônio'!$C$7:$C$1003,MATCH($B632,'Patrimônio'!$A$7:$A$1003,0)),"")</f>
        <v/>
      </c>
      <c r="D632" s="26" t="str">
        <f t="array" ref="D632">IFERROR(INDEX('Patrimônio'!$B$7:$B$1003,MATCH($B632,'Patrimônio'!$A$7:$A$1003,0)),"")</f>
        <v/>
      </c>
      <c r="E632" s="17"/>
      <c r="F632" s="18"/>
      <c r="G632" s="19"/>
      <c r="H632" s="15"/>
      <c r="I632" s="17"/>
      <c r="J632" s="24" t="str">
        <f t="shared" si="1"/>
        <v/>
      </c>
      <c r="K632" s="17"/>
    </row>
    <row r="633" ht="15.0" customHeight="1">
      <c r="A633" s="19"/>
      <c r="B633" s="15"/>
      <c r="C633" s="26" t="str">
        <f t="array" ref="C633">IFERROR(INDEX('Patrimônio'!$C$7:$C$1003,MATCH($B633,'Patrimônio'!$A$7:$A$1003,0)),"")</f>
        <v/>
      </c>
      <c r="D633" s="26" t="str">
        <f t="array" ref="D633">IFERROR(INDEX('Patrimônio'!$B$7:$B$1003,MATCH($B633,'Patrimônio'!$A$7:$A$1003,0)),"")</f>
        <v/>
      </c>
      <c r="E633" s="17"/>
      <c r="F633" s="18"/>
      <c r="G633" s="19"/>
      <c r="H633" s="15"/>
      <c r="I633" s="17"/>
      <c r="J633" s="24" t="str">
        <f t="shared" si="1"/>
        <v/>
      </c>
      <c r="K633" s="17"/>
    </row>
    <row r="634" ht="15.0" customHeight="1">
      <c r="A634" s="19"/>
      <c r="B634" s="15"/>
      <c r="C634" s="26" t="str">
        <f t="array" ref="C634">IFERROR(INDEX('Patrimônio'!$C$7:$C$1003,MATCH($B634,'Patrimônio'!$A$7:$A$1003,0)),"")</f>
        <v/>
      </c>
      <c r="D634" s="26" t="str">
        <f t="array" ref="D634">IFERROR(INDEX('Patrimônio'!$B$7:$B$1003,MATCH($B634,'Patrimônio'!$A$7:$A$1003,0)),"")</f>
        <v/>
      </c>
      <c r="E634" s="17"/>
      <c r="F634" s="18"/>
      <c r="G634" s="19"/>
      <c r="H634" s="15"/>
      <c r="I634" s="17"/>
      <c r="J634" s="24" t="str">
        <f t="shared" si="1"/>
        <v/>
      </c>
      <c r="K634" s="17"/>
    </row>
    <row r="635" ht="15.0" customHeight="1">
      <c r="A635" s="19"/>
      <c r="B635" s="15"/>
      <c r="C635" s="26" t="str">
        <f t="array" ref="C635">IFERROR(INDEX('Patrimônio'!$C$7:$C$1003,MATCH($B635,'Patrimônio'!$A$7:$A$1003,0)),"")</f>
        <v/>
      </c>
      <c r="D635" s="26" t="str">
        <f t="array" ref="D635">IFERROR(INDEX('Patrimônio'!$B$7:$B$1003,MATCH($B635,'Patrimônio'!$A$7:$A$1003,0)),"")</f>
        <v/>
      </c>
      <c r="E635" s="17"/>
      <c r="F635" s="18"/>
      <c r="G635" s="19"/>
      <c r="H635" s="15"/>
      <c r="I635" s="17"/>
      <c r="J635" s="24" t="str">
        <f t="shared" si="1"/>
        <v/>
      </c>
      <c r="K635" s="17"/>
    </row>
    <row r="636" ht="15.0" customHeight="1">
      <c r="A636" s="19"/>
      <c r="B636" s="15"/>
      <c r="C636" s="26" t="str">
        <f t="array" ref="C636">IFERROR(INDEX('Patrimônio'!$C$7:$C$1003,MATCH($B636,'Patrimônio'!$A$7:$A$1003,0)),"")</f>
        <v/>
      </c>
      <c r="D636" s="26" t="str">
        <f t="array" ref="D636">IFERROR(INDEX('Patrimônio'!$B$7:$B$1003,MATCH($B636,'Patrimônio'!$A$7:$A$1003,0)),"")</f>
        <v/>
      </c>
      <c r="E636" s="17"/>
      <c r="F636" s="18"/>
      <c r="G636" s="19"/>
      <c r="H636" s="15"/>
      <c r="I636" s="17"/>
      <c r="J636" s="24" t="str">
        <f t="shared" si="1"/>
        <v/>
      </c>
      <c r="K636" s="17"/>
    </row>
    <row r="637" ht="15.0" customHeight="1">
      <c r="A637" s="19"/>
      <c r="B637" s="15"/>
      <c r="C637" s="26" t="str">
        <f t="array" ref="C637">IFERROR(INDEX('Patrimônio'!$C$7:$C$1003,MATCH($B637,'Patrimônio'!$A$7:$A$1003,0)),"")</f>
        <v/>
      </c>
      <c r="D637" s="26" t="str">
        <f t="array" ref="D637">IFERROR(INDEX('Patrimônio'!$B$7:$B$1003,MATCH($B637,'Patrimônio'!$A$7:$A$1003,0)),"")</f>
        <v/>
      </c>
      <c r="E637" s="17"/>
      <c r="F637" s="18"/>
      <c r="G637" s="19"/>
      <c r="H637" s="15"/>
      <c r="I637" s="17"/>
      <c r="J637" s="24" t="str">
        <f t="shared" si="1"/>
        <v/>
      </c>
      <c r="K637" s="17"/>
    </row>
    <row r="638" ht="15.0" customHeight="1">
      <c r="A638" s="19"/>
      <c r="B638" s="15"/>
      <c r="C638" s="26" t="str">
        <f t="array" ref="C638">IFERROR(INDEX('Patrimônio'!$C$7:$C$1003,MATCH($B638,'Patrimônio'!$A$7:$A$1003,0)),"")</f>
        <v/>
      </c>
      <c r="D638" s="26" t="str">
        <f t="array" ref="D638">IFERROR(INDEX('Patrimônio'!$B$7:$B$1003,MATCH($B638,'Patrimônio'!$A$7:$A$1003,0)),"")</f>
        <v/>
      </c>
      <c r="E638" s="17"/>
      <c r="F638" s="18"/>
      <c r="G638" s="19"/>
      <c r="H638" s="15"/>
      <c r="I638" s="17"/>
      <c r="J638" s="24" t="str">
        <f t="shared" si="1"/>
        <v/>
      </c>
      <c r="K638" s="17"/>
    </row>
    <row r="639" ht="15.0" customHeight="1">
      <c r="A639" s="19"/>
      <c r="B639" s="15"/>
      <c r="C639" s="26" t="str">
        <f t="array" ref="C639">IFERROR(INDEX('Patrimônio'!$C$7:$C$1003,MATCH($B639,'Patrimônio'!$A$7:$A$1003,0)),"")</f>
        <v/>
      </c>
      <c r="D639" s="26" t="str">
        <f t="array" ref="D639">IFERROR(INDEX('Patrimônio'!$B$7:$B$1003,MATCH($B639,'Patrimônio'!$A$7:$A$1003,0)),"")</f>
        <v/>
      </c>
      <c r="E639" s="17"/>
      <c r="F639" s="18"/>
      <c r="G639" s="19"/>
      <c r="H639" s="15"/>
      <c r="I639" s="17"/>
      <c r="J639" s="24" t="str">
        <f t="shared" si="1"/>
        <v/>
      </c>
      <c r="K639" s="17"/>
    </row>
    <row r="640" ht="15.0" customHeight="1">
      <c r="A640" s="19"/>
      <c r="B640" s="15"/>
      <c r="C640" s="26" t="str">
        <f t="array" ref="C640">IFERROR(INDEX('Patrimônio'!$C$7:$C$1003,MATCH($B640,'Patrimônio'!$A$7:$A$1003,0)),"")</f>
        <v/>
      </c>
      <c r="D640" s="26" t="str">
        <f t="array" ref="D640">IFERROR(INDEX('Patrimônio'!$B$7:$B$1003,MATCH($B640,'Patrimônio'!$A$7:$A$1003,0)),"")</f>
        <v/>
      </c>
      <c r="E640" s="17"/>
      <c r="F640" s="18"/>
      <c r="G640" s="19"/>
      <c r="H640" s="15"/>
      <c r="I640" s="17"/>
      <c r="J640" s="24" t="str">
        <f t="shared" si="1"/>
        <v/>
      </c>
      <c r="K640" s="17"/>
    </row>
    <row r="641" ht="15.0" customHeight="1">
      <c r="A641" s="19"/>
      <c r="B641" s="15"/>
      <c r="C641" s="26" t="str">
        <f t="array" ref="C641">IFERROR(INDEX('Patrimônio'!$C$7:$C$1003,MATCH($B641,'Patrimônio'!$A$7:$A$1003,0)),"")</f>
        <v/>
      </c>
      <c r="D641" s="26" t="str">
        <f t="array" ref="D641">IFERROR(INDEX('Patrimônio'!$B$7:$B$1003,MATCH($B641,'Patrimônio'!$A$7:$A$1003,0)),"")</f>
        <v/>
      </c>
      <c r="E641" s="17"/>
      <c r="F641" s="18"/>
      <c r="G641" s="19"/>
      <c r="H641" s="15"/>
      <c r="I641" s="17"/>
      <c r="J641" s="24" t="str">
        <f t="shared" si="1"/>
        <v/>
      </c>
      <c r="K641" s="17"/>
    </row>
    <row r="642" ht="15.0" customHeight="1">
      <c r="A642" s="19"/>
      <c r="B642" s="15"/>
      <c r="C642" s="26" t="str">
        <f t="array" ref="C642">IFERROR(INDEX('Patrimônio'!$C$7:$C$1003,MATCH($B642,'Patrimônio'!$A$7:$A$1003,0)),"")</f>
        <v/>
      </c>
      <c r="D642" s="26" t="str">
        <f t="array" ref="D642">IFERROR(INDEX('Patrimônio'!$B$7:$B$1003,MATCH($B642,'Patrimônio'!$A$7:$A$1003,0)),"")</f>
        <v/>
      </c>
      <c r="E642" s="17"/>
      <c r="F642" s="18"/>
      <c r="G642" s="19"/>
      <c r="H642" s="15"/>
      <c r="I642" s="17"/>
      <c r="J642" s="24" t="str">
        <f t="shared" si="1"/>
        <v/>
      </c>
      <c r="K642" s="17"/>
    </row>
    <row r="643" ht="15.0" customHeight="1">
      <c r="A643" s="19"/>
      <c r="B643" s="15"/>
      <c r="C643" s="26" t="str">
        <f t="array" ref="C643">IFERROR(INDEX('Patrimônio'!$C$7:$C$1003,MATCH($B643,'Patrimônio'!$A$7:$A$1003,0)),"")</f>
        <v/>
      </c>
      <c r="D643" s="26" t="str">
        <f t="array" ref="D643">IFERROR(INDEX('Patrimônio'!$B$7:$B$1003,MATCH($B643,'Patrimônio'!$A$7:$A$1003,0)),"")</f>
        <v/>
      </c>
      <c r="E643" s="17"/>
      <c r="F643" s="18"/>
      <c r="G643" s="19"/>
      <c r="H643" s="15"/>
      <c r="I643" s="17"/>
      <c r="J643" s="24" t="str">
        <f t="shared" si="1"/>
        <v/>
      </c>
      <c r="K643" s="17"/>
    </row>
    <row r="644" ht="15.0" customHeight="1">
      <c r="A644" s="19"/>
      <c r="B644" s="15"/>
      <c r="C644" s="26" t="str">
        <f t="array" ref="C644">IFERROR(INDEX('Patrimônio'!$C$7:$C$1003,MATCH($B644,'Patrimônio'!$A$7:$A$1003,0)),"")</f>
        <v/>
      </c>
      <c r="D644" s="26" t="str">
        <f t="array" ref="D644">IFERROR(INDEX('Patrimônio'!$B$7:$B$1003,MATCH($B644,'Patrimônio'!$A$7:$A$1003,0)),"")</f>
        <v/>
      </c>
      <c r="E644" s="17"/>
      <c r="F644" s="18"/>
      <c r="G644" s="19"/>
      <c r="H644" s="15"/>
      <c r="I644" s="17"/>
      <c r="J644" s="24" t="str">
        <f t="shared" si="1"/>
        <v/>
      </c>
      <c r="K644" s="17"/>
    </row>
    <row r="645" ht="15.0" customHeight="1">
      <c r="A645" s="19"/>
      <c r="B645" s="15"/>
      <c r="C645" s="26" t="str">
        <f t="array" ref="C645">IFERROR(INDEX('Patrimônio'!$C$7:$C$1003,MATCH($B645,'Patrimônio'!$A$7:$A$1003,0)),"")</f>
        <v/>
      </c>
      <c r="D645" s="26" t="str">
        <f t="array" ref="D645">IFERROR(INDEX('Patrimônio'!$B$7:$B$1003,MATCH($B645,'Patrimônio'!$A$7:$A$1003,0)),"")</f>
        <v/>
      </c>
      <c r="E645" s="17"/>
      <c r="F645" s="18"/>
      <c r="G645" s="19"/>
      <c r="H645" s="15"/>
      <c r="I645" s="17"/>
      <c r="J645" s="24" t="str">
        <f t="shared" si="1"/>
        <v/>
      </c>
      <c r="K645" s="17"/>
    </row>
    <row r="646" ht="15.0" customHeight="1">
      <c r="A646" s="19"/>
      <c r="B646" s="15"/>
      <c r="C646" s="26" t="str">
        <f t="array" ref="C646">IFERROR(INDEX('Patrimônio'!$C$7:$C$1003,MATCH($B646,'Patrimônio'!$A$7:$A$1003,0)),"")</f>
        <v/>
      </c>
      <c r="D646" s="26" t="str">
        <f t="array" ref="D646">IFERROR(INDEX('Patrimônio'!$B$7:$B$1003,MATCH($B646,'Patrimônio'!$A$7:$A$1003,0)),"")</f>
        <v/>
      </c>
      <c r="E646" s="17"/>
      <c r="F646" s="18"/>
      <c r="G646" s="19"/>
      <c r="H646" s="15"/>
      <c r="I646" s="17"/>
      <c r="J646" s="24" t="str">
        <f t="shared" si="1"/>
        <v/>
      </c>
      <c r="K646" s="17"/>
    </row>
    <row r="647" ht="15.0" customHeight="1">
      <c r="A647" s="19"/>
      <c r="B647" s="15"/>
      <c r="C647" s="26" t="str">
        <f t="array" ref="C647">IFERROR(INDEX('Patrimônio'!$C$7:$C$1003,MATCH($B647,'Patrimônio'!$A$7:$A$1003,0)),"")</f>
        <v/>
      </c>
      <c r="D647" s="26" t="str">
        <f t="array" ref="D647">IFERROR(INDEX('Patrimônio'!$B$7:$B$1003,MATCH($B647,'Patrimônio'!$A$7:$A$1003,0)),"")</f>
        <v/>
      </c>
      <c r="E647" s="17"/>
      <c r="F647" s="18"/>
      <c r="G647" s="19"/>
      <c r="H647" s="15"/>
      <c r="I647" s="17"/>
      <c r="J647" s="24" t="str">
        <f t="shared" si="1"/>
        <v/>
      </c>
      <c r="K647" s="17"/>
    </row>
    <row r="648" ht="15.0" customHeight="1">
      <c r="A648" s="19"/>
      <c r="B648" s="15"/>
      <c r="C648" s="26" t="str">
        <f t="array" ref="C648">IFERROR(INDEX('Patrimônio'!$C$7:$C$1003,MATCH($B648,'Patrimônio'!$A$7:$A$1003,0)),"")</f>
        <v/>
      </c>
      <c r="D648" s="26" t="str">
        <f t="array" ref="D648">IFERROR(INDEX('Patrimônio'!$B$7:$B$1003,MATCH($B648,'Patrimônio'!$A$7:$A$1003,0)),"")</f>
        <v/>
      </c>
      <c r="E648" s="17"/>
      <c r="F648" s="18"/>
      <c r="G648" s="19"/>
      <c r="H648" s="15"/>
      <c r="I648" s="17"/>
      <c r="J648" s="24" t="str">
        <f t="shared" si="1"/>
        <v/>
      </c>
      <c r="K648" s="17"/>
    </row>
    <row r="649" ht="15.0" customHeight="1">
      <c r="A649" s="19"/>
      <c r="B649" s="15"/>
      <c r="C649" s="26" t="str">
        <f t="array" ref="C649">IFERROR(INDEX('Patrimônio'!$C$7:$C$1003,MATCH($B649,'Patrimônio'!$A$7:$A$1003,0)),"")</f>
        <v/>
      </c>
      <c r="D649" s="26" t="str">
        <f t="array" ref="D649">IFERROR(INDEX('Patrimônio'!$B$7:$B$1003,MATCH($B649,'Patrimônio'!$A$7:$A$1003,0)),"")</f>
        <v/>
      </c>
      <c r="E649" s="17"/>
      <c r="F649" s="18"/>
      <c r="G649" s="19"/>
      <c r="H649" s="15"/>
      <c r="I649" s="17"/>
      <c r="J649" s="24" t="str">
        <f t="shared" si="1"/>
        <v/>
      </c>
      <c r="K649" s="17"/>
    </row>
    <row r="650" ht="15.0" customHeight="1">
      <c r="A650" s="19"/>
      <c r="B650" s="15"/>
      <c r="C650" s="26" t="str">
        <f t="array" ref="C650">IFERROR(INDEX('Patrimônio'!$C$7:$C$1003,MATCH($B650,'Patrimônio'!$A$7:$A$1003,0)),"")</f>
        <v/>
      </c>
      <c r="D650" s="26" t="str">
        <f t="array" ref="D650">IFERROR(INDEX('Patrimônio'!$B$7:$B$1003,MATCH($B650,'Patrimônio'!$A$7:$A$1003,0)),"")</f>
        <v/>
      </c>
      <c r="E650" s="17"/>
      <c r="F650" s="18"/>
      <c r="G650" s="19"/>
      <c r="H650" s="15"/>
      <c r="I650" s="17"/>
      <c r="J650" s="24" t="str">
        <f t="shared" si="1"/>
        <v/>
      </c>
      <c r="K650" s="17"/>
    </row>
    <row r="651" ht="15.0" customHeight="1">
      <c r="A651" s="19"/>
      <c r="B651" s="15"/>
      <c r="C651" s="26" t="str">
        <f t="array" ref="C651">IFERROR(INDEX('Patrimônio'!$C$7:$C$1003,MATCH($B651,'Patrimônio'!$A$7:$A$1003,0)),"")</f>
        <v/>
      </c>
      <c r="D651" s="26" t="str">
        <f t="array" ref="D651">IFERROR(INDEX('Patrimônio'!$B$7:$B$1003,MATCH($B651,'Patrimônio'!$A$7:$A$1003,0)),"")</f>
        <v/>
      </c>
      <c r="E651" s="17"/>
      <c r="F651" s="18"/>
      <c r="G651" s="19"/>
      <c r="H651" s="15"/>
      <c r="I651" s="17"/>
      <c r="J651" s="24" t="str">
        <f t="shared" si="1"/>
        <v/>
      </c>
      <c r="K651" s="17"/>
    </row>
    <row r="652" ht="15.0" customHeight="1">
      <c r="A652" s="19"/>
      <c r="B652" s="15"/>
      <c r="C652" s="26" t="str">
        <f t="array" ref="C652">IFERROR(INDEX('Patrimônio'!$C$7:$C$1003,MATCH($B652,'Patrimônio'!$A$7:$A$1003,0)),"")</f>
        <v/>
      </c>
      <c r="D652" s="26" t="str">
        <f t="array" ref="D652">IFERROR(INDEX('Patrimônio'!$B$7:$B$1003,MATCH($B652,'Patrimônio'!$A$7:$A$1003,0)),"")</f>
        <v/>
      </c>
      <c r="E652" s="17"/>
      <c r="F652" s="18"/>
      <c r="G652" s="19"/>
      <c r="H652" s="15"/>
      <c r="I652" s="17"/>
      <c r="J652" s="24" t="str">
        <f t="shared" si="1"/>
        <v/>
      </c>
      <c r="K652" s="17"/>
    </row>
    <row r="653" ht="15.0" customHeight="1">
      <c r="A653" s="19"/>
      <c r="B653" s="15"/>
      <c r="C653" s="26" t="str">
        <f t="array" ref="C653">IFERROR(INDEX('Patrimônio'!$C$7:$C$1003,MATCH($B653,'Patrimônio'!$A$7:$A$1003,0)),"")</f>
        <v/>
      </c>
      <c r="D653" s="26" t="str">
        <f t="array" ref="D653">IFERROR(INDEX('Patrimônio'!$B$7:$B$1003,MATCH($B653,'Patrimônio'!$A$7:$A$1003,0)),"")</f>
        <v/>
      </c>
      <c r="E653" s="17"/>
      <c r="F653" s="18"/>
      <c r="G653" s="19"/>
      <c r="H653" s="15"/>
      <c r="I653" s="17"/>
      <c r="J653" s="24" t="str">
        <f t="shared" si="1"/>
        <v/>
      </c>
      <c r="K653" s="17"/>
    </row>
    <row r="654" ht="15.0" customHeight="1">
      <c r="A654" s="19"/>
      <c r="B654" s="15"/>
      <c r="C654" s="26" t="str">
        <f t="array" ref="C654">IFERROR(INDEX('Patrimônio'!$C$7:$C$1003,MATCH($B654,'Patrimônio'!$A$7:$A$1003,0)),"")</f>
        <v/>
      </c>
      <c r="D654" s="26" t="str">
        <f t="array" ref="D654">IFERROR(INDEX('Patrimônio'!$B$7:$B$1003,MATCH($B654,'Patrimônio'!$A$7:$A$1003,0)),"")</f>
        <v/>
      </c>
      <c r="E654" s="17"/>
      <c r="F654" s="18"/>
      <c r="G654" s="19"/>
      <c r="H654" s="15"/>
      <c r="I654" s="17"/>
      <c r="J654" s="24" t="str">
        <f t="shared" si="1"/>
        <v/>
      </c>
      <c r="K654" s="17"/>
    </row>
    <row r="655" ht="15.0" customHeight="1">
      <c r="A655" s="19"/>
      <c r="B655" s="15"/>
      <c r="C655" s="26" t="str">
        <f t="array" ref="C655">IFERROR(INDEX('Patrimônio'!$C$7:$C$1003,MATCH($B655,'Patrimônio'!$A$7:$A$1003,0)),"")</f>
        <v/>
      </c>
      <c r="D655" s="26" t="str">
        <f t="array" ref="D655">IFERROR(INDEX('Patrimônio'!$B$7:$B$1003,MATCH($B655,'Patrimônio'!$A$7:$A$1003,0)),"")</f>
        <v/>
      </c>
      <c r="E655" s="17"/>
      <c r="F655" s="18"/>
      <c r="G655" s="19"/>
      <c r="H655" s="15"/>
      <c r="I655" s="17"/>
      <c r="J655" s="24" t="str">
        <f t="shared" si="1"/>
        <v/>
      </c>
      <c r="K655" s="17"/>
    </row>
    <row r="656" ht="15.0" customHeight="1">
      <c r="A656" s="19"/>
      <c r="B656" s="15"/>
      <c r="C656" s="26" t="str">
        <f t="array" ref="C656">IFERROR(INDEX('Patrimônio'!$C$7:$C$1003,MATCH($B656,'Patrimônio'!$A$7:$A$1003,0)),"")</f>
        <v/>
      </c>
      <c r="D656" s="26" t="str">
        <f t="array" ref="D656">IFERROR(INDEX('Patrimônio'!$B$7:$B$1003,MATCH($B656,'Patrimônio'!$A$7:$A$1003,0)),"")</f>
        <v/>
      </c>
      <c r="E656" s="17"/>
      <c r="F656" s="18"/>
      <c r="G656" s="19"/>
      <c r="H656" s="15"/>
      <c r="I656" s="17"/>
      <c r="J656" s="24" t="str">
        <f t="shared" si="1"/>
        <v/>
      </c>
      <c r="K656" s="17"/>
    </row>
    <row r="657" ht="15.0" customHeight="1">
      <c r="A657" s="19"/>
      <c r="B657" s="15"/>
      <c r="C657" s="26" t="str">
        <f t="array" ref="C657">IFERROR(INDEX('Patrimônio'!$C$7:$C$1003,MATCH($B657,'Patrimônio'!$A$7:$A$1003,0)),"")</f>
        <v/>
      </c>
      <c r="D657" s="26" t="str">
        <f t="array" ref="D657">IFERROR(INDEX('Patrimônio'!$B$7:$B$1003,MATCH($B657,'Patrimônio'!$A$7:$A$1003,0)),"")</f>
        <v/>
      </c>
      <c r="E657" s="17"/>
      <c r="F657" s="18"/>
      <c r="G657" s="19"/>
      <c r="H657" s="15"/>
      <c r="I657" s="17"/>
      <c r="J657" s="24" t="str">
        <f t="shared" si="1"/>
        <v/>
      </c>
      <c r="K657" s="17"/>
    </row>
    <row r="658" ht="15.0" customHeight="1">
      <c r="A658" s="19"/>
      <c r="B658" s="15"/>
      <c r="C658" s="26" t="str">
        <f t="array" ref="C658">IFERROR(INDEX('Patrimônio'!$C$7:$C$1003,MATCH($B658,'Patrimônio'!$A$7:$A$1003,0)),"")</f>
        <v/>
      </c>
      <c r="D658" s="26" t="str">
        <f t="array" ref="D658">IFERROR(INDEX('Patrimônio'!$B$7:$B$1003,MATCH($B658,'Patrimônio'!$A$7:$A$1003,0)),"")</f>
        <v/>
      </c>
      <c r="E658" s="17"/>
      <c r="F658" s="18"/>
      <c r="G658" s="19"/>
      <c r="H658" s="15"/>
      <c r="I658" s="17"/>
      <c r="J658" s="24" t="str">
        <f t="shared" si="1"/>
        <v/>
      </c>
      <c r="K658" s="17"/>
    </row>
    <row r="659" ht="15.0" customHeight="1">
      <c r="A659" s="19"/>
      <c r="B659" s="15"/>
      <c r="C659" s="26" t="str">
        <f t="array" ref="C659">IFERROR(INDEX('Patrimônio'!$C$7:$C$1003,MATCH($B659,'Patrimônio'!$A$7:$A$1003,0)),"")</f>
        <v/>
      </c>
      <c r="D659" s="26" t="str">
        <f t="array" ref="D659">IFERROR(INDEX('Patrimônio'!$B$7:$B$1003,MATCH($B659,'Patrimônio'!$A$7:$A$1003,0)),"")</f>
        <v/>
      </c>
      <c r="E659" s="17"/>
      <c r="F659" s="18"/>
      <c r="G659" s="19"/>
      <c r="H659" s="15"/>
      <c r="I659" s="17"/>
      <c r="J659" s="24" t="str">
        <f t="shared" si="1"/>
        <v/>
      </c>
      <c r="K659" s="17"/>
    </row>
    <row r="660" ht="15.0" customHeight="1">
      <c r="A660" s="19"/>
      <c r="B660" s="15"/>
      <c r="C660" s="26" t="str">
        <f t="array" ref="C660">IFERROR(INDEX('Patrimônio'!$C$7:$C$1003,MATCH($B660,'Patrimônio'!$A$7:$A$1003,0)),"")</f>
        <v/>
      </c>
      <c r="D660" s="26" t="str">
        <f t="array" ref="D660">IFERROR(INDEX('Patrimônio'!$B$7:$B$1003,MATCH($B660,'Patrimônio'!$A$7:$A$1003,0)),"")</f>
        <v/>
      </c>
      <c r="E660" s="17"/>
      <c r="F660" s="18"/>
      <c r="G660" s="19"/>
      <c r="H660" s="15"/>
      <c r="I660" s="17"/>
      <c r="J660" s="24" t="str">
        <f t="shared" si="1"/>
        <v/>
      </c>
      <c r="K660" s="17"/>
    </row>
    <row r="661" ht="15.0" customHeight="1">
      <c r="A661" s="19"/>
      <c r="B661" s="15"/>
      <c r="C661" s="26" t="str">
        <f t="array" ref="C661">IFERROR(INDEX('Patrimônio'!$C$7:$C$1003,MATCH($B661,'Patrimônio'!$A$7:$A$1003,0)),"")</f>
        <v/>
      </c>
      <c r="D661" s="26" t="str">
        <f t="array" ref="D661">IFERROR(INDEX('Patrimônio'!$B$7:$B$1003,MATCH($B661,'Patrimônio'!$A$7:$A$1003,0)),"")</f>
        <v/>
      </c>
      <c r="E661" s="17"/>
      <c r="F661" s="18"/>
      <c r="G661" s="19"/>
      <c r="H661" s="15"/>
      <c r="I661" s="17"/>
      <c r="J661" s="24" t="str">
        <f t="shared" si="1"/>
        <v/>
      </c>
      <c r="K661" s="17"/>
    </row>
    <row r="662" ht="15.0" customHeight="1">
      <c r="A662" s="19"/>
      <c r="B662" s="15"/>
      <c r="C662" s="26" t="str">
        <f t="array" ref="C662">IFERROR(INDEX('Patrimônio'!$C$7:$C$1003,MATCH($B662,'Patrimônio'!$A$7:$A$1003,0)),"")</f>
        <v/>
      </c>
      <c r="D662" s="26" t="str">
        <f t="array" ref="D662">IFERROR(INDEX('Patrimônio'!$B$7:$B$1003,MATCH($B662,'Patrimônio'!$A$7:$A$1003,0)),"")</f>
        <v/>
      </c>
      <c r="E662" s="17"/>
      <c r="F662" s="18"/>
      <c r="G662" s="19"/>
      <c r="H662" s="15"/>
      <c r="I662" s="17"/>
      <c r="J662" s="24" t="str">
        <f t="shared" si="1"/>
        <v/>
      </c>
      <c r="K662" s="17"/>
    </row>
    <row r="663" ht="15.0" customHeight="1">
      <c r="A663" s="19"/>
      <c r="B663" s="15"/>
      <c r="C663" s="26" t="str">
        <f t="array" ref="C663">IFERROR(INDEX('Patrimônio'!$C$7:$C$1003,MATCH($B663,'Patrimônio'!$A$7:$A$1003,0)),"")</f>
        <v/>
      </c>
      <c r="D663" s="26" t="str">
        <f t="array" ref="D663">IFERROR(INDEX('Patrimônio'!$B$7:$B$1003,MATCH($B663,'Patrimônio'!$A$7:$A$1003,0)),"")</f>
        <v/>
      </c>
      <c r="E663" s="17"/>
      <c r="F663" s="18"/>
      <c r="G663" s="19"/>
      <c r="H663" s="15"/>
      <c r="I663" s="17"/>
      <c r="J663" s="24" t="str">
        <f t="shared" si="1"/>
        <v/>
      </c>
      <c r="K663" s="17"/>
    </row>
    <row r="664" ht="15.0" customHeight="1">
      <c r="A664" s="19"/>
      <c r="B664" s="15"/>
      <c r="C664" s="26" t="str">
        <f t="array" ref="C664">IFERROR(INDEX('Patrimônio'!$C$7:$C$1003,MATCH($B664,'Patrimônio'!$A$7:$A$1003,0)),"")</f>
        <v/>
      </c>
      <c r="D664" s="26" t="str">
        <f t="array" ref="D664">IFERROR(INDEX('Patrimônio'!$B$7:$B$1003,MATCH($B664,'Patrimônio'!$A$7:$A$1003,0)),"")</f>
        <v/>
      </c>
      <c r="E664" s="17"/>
      <c r="F664" s="18"/>
      <c r="G664" s="19"/>
      <c r="H664" s="15"/>
      <c r="I664" s="17"/>
      <c r="J664" s="24" t="str">
        <f t="shared" si="1"/>
        <v/>
      </c>
      <c r="K664" s="17"/>
    </row>
    <row r="665" ht="15.0" customHeight="1">
      <c r="A665" s="19"/>
      <c r="B665" s="15"/>
      <c r="C665" s="26" t="str">
        <f t="array" ref="C665">IFERROR(INDEX('Patrimônio'!$C$7:$C$1003,MATCH($B665,'Patrimônio'!$A$7:$A$1003,0)),"")</f>
        <v/>
      </c>
      <c r="D665" s="26" t="str">
        <f t="array" ref="D665">IFERROR(INDEX('Patrimônio'!$B$7:$B$1003,MATCH($B665,'Patrimônio'!$A$7:$A$1003,0)),"")</f>
        <v/>
      </c>
      <c r="E665" s="17"/>
      <c r="F665" s="18"/>
      <c r="G665" s="19"/>
      <c r="H665" s="15"/>
      <c r="I665" s="17"/>
      <c r="J665" s="24" t="str">
        <f t="shared" si="1"/>
        <v/>
      </c>
      <c r="K665" s="17"/>
    </row>
    <row r="666" ht="15.0" customHeight="1">
      <c r="A666" s="19"/>
      <c r="B666" s="15"/>
      <c r="C666" s="26" t="str">
        <f t="array" ref="C666">IFERROR(INDEX('Patrimônio'!$C$7:$C$1003,MATCH($B666,'Patrimônio'!$A$7:$A$1003,0)),"")</f>
        <v/>
      </c>
      <c r="D666" s="26" t="str">
        <f t="array" ref="D666">IFERROR(INDEX('Patrimônio'!$B$7:$B$1003,MATCH($B666,'Patrimônio'!$A$7:$A$1003,0)),"")</f>
        <v/>
      </c>
      <c r="E666" s="17"/>
      <c r="F666" s="18"/>
      <c r="G666" s="19"/>
      <c r="H666" s="15"/>
      <c r="I666" s="17"/>
      <c r="J666" s="24" t="str">
        <f t="shared" si="1"/>
        <v/>
      </c>
      <c r="K666" s="17"/>
    </row>
    <row r="667" ht="15.0" customHeight="1">
      <c r="A667" s="19"/>
      <c r="B667" s="15"/>
      <c r="C667" s="26" t="str">
        <f t="array" ref="C667">IFERROR(INDEX('Patrimônio'!$C$7:$C$1003,MATCH($B667,'Patrimônio'!$A$7:$A$1003,0)),"")</f>
        <v/>
      </c>
      <c r="D667" s="26" t="str">
        <f t="array" ref="D667">IFERROR(INDEX('Patrimônio'!$B$7:$B$1003,MATCH($B667,'Patrimônio'!$A$7:$A$1003,0)),"")</f>
        <v/>
      </c>
      <c r="E667" s="17"/>
      <c r="F667" s="18"/>
      <c r="G667" s="19"/>
      <c r="H667" s="15"/>
      <c r="I667" s="17"/>
      <c r="J667" s="24" t="str">
        <f t="shared" si="1"/>
        <v/>
      </c>
      <c r="K667" s="17"/>
    </row>
    <row r="668" ht="15.0" customHeight="1">
      <c r="A668" s="19"/>
      <c r="B668" s="15"/>
      <c r="C668" s="26" t="str">
        <f t="array" ref="C668">IFERROR(INDEX('Patrimônio'!$C$7:$C$1003,MATCH($B668,'Patrimônio'!$A$7:$A$1003,0)),"")</f>
        <v/>
      </c>
      <c r="D668" s="26" t="str">
        <f t="array" ref="D668">IFERROR(INDEX('Patrimônio'!$B$7:$B$1003,MATCH($B668,'Patrimônio'!$A$7:$A$1003,0)),"")</f>
        <v/>
      </c>
      <c r="E668" s="17"/>
      <c r="F668" s="18"/>
      <c r="G668" s="19"/>
      <c r="H668" s="15"/>
      <c r="I668" s="17"/>
      <c r="J668" s="24" t="str">
        <f t="shared" si="1"/>
        <v/>
      </c>
      <c r="K668" s="17"/>
    </row>
    <row r="669" ht="15.0" customHeight="1">
      <c r="A669" s="19"/>
      <c r="B669" s="15"/>
      <c r="C669" s="26" t="str">
        <f t="array" ref="C669">IFERROR(INDEX('Patrimônio'!$C$7:$C$1003,MATCH($B669,'Patrimônio'!$A$7:$A$1003,0)),"")</f>
        <v/>
      </c>
      <c r="D669" s="26" t="str">
        <f t="array" ref="D669">IFERROR(INDEX('Patrimônio'!$B$7:$B$1003,MATCH($B669,'Patrimônio'!$A$7:$A$1003,0)),"")</f>
        <v/>
      </c>
      <c r="E669" s="17"/>
      <c r="F669" s="18"/>
      <c r="G669" s="19"/>
      <c r="H669" s="15"/>
      <c r="I669" s="17"/>
      <c r="J669" s="24" t="str">
        <f t="shared" si="1"/>
        <v/>
      </c>
      <c r="K669" s="17"/>
    </row>
    <row r="670" ht="15.0" customHeight="1">
      <c r="A670" s="19"/>
      <c r="B670" s="15"/>
      <c r="C670" s="26" t="str">
        <f t="array" ref="C670">IFERROR(INDEX('Patrimônio'!$C$7:$C$1003,MATCH($B670,'Patrimônio'!$A$7:$A$1003,0)),"")</f>
        <v/>
      </c>
      <c r="D670" s="26" t="str">
        <f t="array" ref="D670">IFERROR(INDEX('Patrimônio'!$B$7:$B$1003,MATCH($B670,'Patrimônio'!$A$7:$A$1003,0)),"")</f>
        <v/>
      </c>
      <c r="E670" s="17"/>
      <c r="F670" s="18"/>
      <c r="G670" s="19"/>
      <c r="H670" s="15"/>
      <c r="I670" s="17"/>
      <c r="J670" s="24" t="str">
        <f t="shared" si="1"/>
        <v/>
      </c>
      <c r="K670" s="17"/>
    </row>
    <row r="671" ht="15.0" customHeight="1">
      <c r="A671" s="19"/>
      <c r="B671" s="15"/>
      <c r="C671" s="26" t="str">
        <f t="array" ref="C671">IFERROR(INDEX('Patrimônio'!$C$7:$C$1003,MATCH($B671,'Patrimônio'!$A$7:$A$1003,0)),"")</f>
        <v/>
      </c>
      <c r="D671" s="26" t="str">
        <f t="array" ref="D671">IFERROR(INDEX('Patrimônio'!$B$7:$B$1003,MATCH($B671,'Patrimônio'!$A$7:$A$1003,0)),"")</f>
        <v/>
      </c>
      <c r="E671" s="17"/>
      <c r="F671" s="18"/>
      <c r="G671" s="19"/>
      <c r="H671" s="15"/>
      <c r="I671" s="17"/>
      <c r="J671" s="24" t="str">
        <f t="shared" si="1"/>
        <v/>
      </c>
      <c r="K671" s="17"/>
    </row>
    <row r="672" ht="15.0" customHeight="1">
      <c r="A672" s="19"/>
      <c r="B672" s="15"/>
      <c r="C672" s="26" t="str">
        <f t="array" ref="C672">IFERROR(INDEX('Patrimônio'!$C$7:$C$1003,MATCH($B672,'Patrimônio'!$A$7:$A$1003,0)),"")</f>
        <v/>
      </c>
      <c r="D672" s="26" t="str">
        <f t="array" ref="D672">IFERROR(INDEX('Patrimônio'!$B$7:$B$1003,MATCH($B672,'Patrimônio'!$A$7:$A$1003,0)),"")</f>
        <v/>
      </c>
      <c r="E672" s="17"/>
      <c r="F672" s="18"/>
      <c r="G672" s="19"/>
      <c r="H672" s="15"/>
      <c r="I672" s="17"/>
      <c r="J672" s="24" t="str">
        <f t="shared" si="1"/>
        <v/>
      </c>
      <c r="K672" s="17"/>
    </row>
    <row r="673" ht="15.0" customHeight="1">
      <c r="A673" s="19"/>
      <c r="B673" s="15"/>
      <c r="C673" s="26" t="str">
        <f t="array" ref="C673">IFERROR(INDEX('Patrimônio'!$C$7:$C$1003,MATCH($B673,'Patrimônio'!$A$7:$A$1003,0)),"")</f>
        <v/>
      </c>
      <c r="D673" s="26" t="str">
        <f t="array" ref="D673">IFERROR(INDEX('Patrimônio'!$B$7:$B$1003,MATCH($B673,'Patrimônio'!$A$7:$A$1003,0)),"")</f>
        <v/>
      </c>
      <c r="E673" s="17"/>
      <c r="F673" s="18"/>
      <c r="G673" s="19"/>
      <c r="H673" s="15"/>
      <c r="I673" s="17"/>
      <c r="J673" s="24" t="str">
        <f t="shared" si="1"/>
        <v/>
      </c>
      <c r="K673" s="17"/>
    </row>
    <row r="674" ht="15.0" customHeight="1">
      <c r="A674" s="19"/>
      <c r="B674" s="15"/>
      <c r="C674" s="26" t="str">
        <f t="array" ref="C674">IFERROR(INDEX('Patrimônio'!$C$7:$C$1003,MATCH($B674,'Patrimônio'!$A$7:$A$1003,0)),"")</f>
        <v/>
      </c>
      <c r="D674" s="26" t="str">
        <f t="array" ref="D674">IFERROR(INDEX('Patrimônio'!$B$7:$B$1003,MATCH($B674,'Patrimônio'!$A$7:$A$1003,0)),"")</f>
        <v/>
      </c>
      <c r="E674" s="17"/>
      <c r="F674" s="18"/>
      <c r="G674" s="19"/>
      <c r="H674" s="15"/>
      <c r="I674" s="17"/>
      <c r="J674" s="24" t="str">
        <f t="shared" si="1"/>
        <v/>
      </c>
      <c r="K674" s="17"/>
    </row>
    <row r="675" ht="15.0" customHeight="1">
      <c r="A675" s="19"/>
      <c r="B675" s="15"/>
      <c r="C675" s="26" t="str">
        <f t="array" ref="C675">IFERROR(INDEX('Patrimônio'!$C$7:$C$1003,MATCH($B675,'Patrimônio'!$A$7:$A$1003,0)),"")</f>
        <v/>
      </c>
      <c r="D675" s="26" t="str">
        <f t="array" ref="D675">IFERROR(INDEX('Patrimônio'!$B$7:$B$1003,MATCH($B675,'Patrimônio'!$A$7:$A$1003,0)),"")</f>
        <v/>
      </c>
      <c r="E675" s="17"/>
      <c r="F675" s="18"/>
      <c r="G675" s="19"/>
      <c r="H675" s="15"/>
      <c r="I675" s="17"/>
      <c r="J675" s="24" t="str">
        <f t="shared" si="1"/>
        <v/>
      </c>
      <c r="K675" s="17"/>
    </row>
    <row r="676" ht="15.0" customHeight="1">
      <c r="A676" s="19"/>
      <c r="B676" s="15"/>
      <c r="C676" s="26" t="str">
        <f t="array" ref="C676">IFERROR(INDEX('Patrimônio'!$C$7:$C$1003,MATCH($B676,'Patrimônio'!$A$7:$A$1003,0)),"")</f>
        <v/>
      </c>
      <c r="D676" s="26" t="str">
        <f t="array" ref="D676">IFERROR(INDEX('Patrimônio'!$B$7:$B$1003,MATCH($B676,'Patrimônio'!$A$7:$A$1003,0)),"")</f>
        <v/>
      </c>
      <c r="E676" s="17"/>
      <c r="F676" s="18"/>
      <c r="G676" s="19"/>
      <c r="H676" s="15"/>
      <c r="I676" s="17"/>
      <c r="J676" s="24" t="str">
        <f t="shared" si="1"/>
        <v/>
      </c>
      <c r="K676" s="17"/>
    </row>
    <row r="677" ht="15.0" customHeight="1">
      <c r="A677" s="19"/>
      <c r="B677" s="15"/>
      <c r="C677" s="26" t="str">
        <f t="array" ref="C677">IFERROR(INDEX('Patrimônio'!$C$7:$C$1003,MATCH($B677,'Patrimônio'!$A$7:$A$1003,0)),"")</f>
        <v/>
      </c>
      <c r="D677" s="26" t="str">
        <f t="array" ref="D677">IFERROR(INDEX('Patrimônio'!$B$7:$B$1003,MATCH($B677,'Patrimônio'!$A$7:$A$1003,0)),"")</f>
        <v/>
      </c>
      <c r="E677" s="17"/>
      <c r="F677" s="18"/>
      <c r="G677" s="19"/>
      <c r="H677" s="15"/>
      <c r="I677" s="17"/>
      <c r="J677" s="24" t="str">
        <f t="shared" si="1"/>
        <v/>
      </c>
      <c r="K677" s="17"/>
    </row>
    <row r="678" ht="15.0" customHeight="1">
      <c r="A678" s="19"/>
      <c r="B678" s="15"/>
      <c r="C678" s="26" t="str">
        <f t="array" ref="C678">IFERROR(INDEX('Patrimônio'!$C$7:$C$1003,MATCH($B678,'Patrimônio'!$A$7:$A$1003,0)),"")</f>
        <v/>
      </c>
      <c r="D678" s="26" t="str">
        <f t="array" ref="D678">IFERROR(INDEX('Patrimônio'!$B$7:$B$1003,MATCH($B678,'Patrimônio'!$A$7:$A$1003,0)),"")</f>
        <v/>
      </c>
      <c r="E678" s="17"/>
      <c r="F678" s="18"/>
      <c r="G678" s="19"/>
      <c r="H678" s="15"/>
      <c r="I678" s="17"/>
      <c r="J678" s="24" t="str">
        <f t="shared" si="1"/>
        <v/>
      </c>
      <c r="K678" s="17"/>
    </row>
    <row r="679" ht="15.0" customHeight="1">
      <c r="A679" s="19"/>
      <c r="B679" s="15"/>
      <c r="C679" s="26" t="str">
        <f t="array" ref="C679">IFERROR(INDEX('Patrimônio'!$C$7:$C$1003,MATCH($B679,'Patrimônio'!$A$7:$A$1003,0)),"")</f>
        <v/>
      </c>
      <c r="D679" s="26" t="str">
        <f t="array" ref="D679">IFERROR(INDEX('Patrimônio'!$B$7:$B$1003,MATCH($B679,'Patrimônio'!$A$7:$A$1003,0)),"")</f>
        <v/>
      </c>
      <c r="E679" s="17"/>
      <c r="F679" s="18"/>
      <c r="G679" s="19"/>
      <c r="H679" s="15"/>
      <c r="I679" s="17"/>
      <c r="J679" s="24" t="str">
        <f t="shared" si="1"/>
        <v/>
      </c>
      <c r="K679" s="17"/>
    </row>
    <row r="680" ht="15.0" customHeight="1">
      <c r="A680" s="19"/>
      <c r="B680" s="15"/>
      <c r="C680" s="26" t="str">
        <f t="array" ref="C680">IFERROR(INDEX('Patrimônio'!$C$7:$C$1003,MATCH($B680,'Patrimônio'!$A$7:$A$1003,0)),"")</f>
        <v/>
      </c>
      <c r="D680" s="26" t="str">
        <f t="array" ref="D680">IFERROR(INDEX('Patrimônio'!$B$7:$B$1003,MATCH($B680,'Patrimônio'!$A$7:$A$1003,0)),"")</f>
        <v/>
      </c>
      <c r="E680" s="17"/>
      <c r="F680" s="18"/>
      <c r="G680" s="19"/>
      <c r="H680" s="15"/>
      <c r="I680" s="17"/>
      <c r="J680" s="24" t="str">
        <f t="shared" si="1"/>
        <v/>
      </c>
      <c r="K680" s="17"/>
    </row>
    <row r="681" ht="15.0" customHeight="1">
      <c r="A681" s="19"/>
      <c r="B681" s="15"/>
      <c r="C681" s="26" t="str">
        <f t="array" ref="C681">IFERROR(INDEX('Patrimônio'!$C$7:$C$1003,MATCH($B681,'Patrimônio'!$A$7:$A$1003,0)),"")</f>
        <v/>
      </c>
      <c r="D681" s="26" t="str">
        <f t="array" ref="D681">IFERROR(INDEX('Patrimônio'!$B$7:$B$1003,MATCH($B681,'Patrimônio'!$A$7:$A$1003,0)),"")</f>
        <v/>
      </c>
      <c r="E681" s="17"/>
      <c r="F681" s="18"/>
      <c r="G681" s="19"/>
      <c r="H681" s="15"/>
      <c r="I681" s="17"/>
      <c r="J681" s="24" t="str">
        <f t="shared" si="1"/>
        <v/>
      </c>
      <c r="K681" s="17"/>
    </row>
    <row r="682" ht="15.0" customHeight="1">
      <c r="A682" s="19"/>
      <c r="B682" s="15"/>
      <c r="C682" s="26" t="str">
        <f t="array" ref="C682">IFERROR(INDEX('Patrimônio'!$C$7:$C$1003,MATCH($B682,'Patrimônio'!$A$7:$A$1003,0)),"")</f>
        <v/>
      </c>
      <c r="D682" s="26" t="str">
        <f t="array" ref="D682">IFERROR(INDEX('Patrimônio'!$B$7:$B$1003,MATCH($B682,'Patrimônio'!$A$7:$A$1003,0)),"")</f>
        <v/>
      </c>
      <c r="E682" s="17"/>
      <c r="F682" s="18"/>
      <c r="G682" s="19"/>
      <c r="H682" s="15"/>
      <c r="I682" s="17"/>
      <c r="J682" s="24" t="str">
        <f t="shared" si="1"/>
        <v/>
      </c>
      <c r="K682" s="17"/>
    </row>
    <row r="683" ht="15.0" customHeight="1">
      <c r="A683" s="19"/>
      <c r="B683" s="15"/>
      <c r="C683" s="26" t="str">
        <f t="array" ref="C683">IFERROR(INDEX('Patrimônio'!$C$7:$C$1003,MATCH($B683,'Patrimônio'!$A$7:$A$1003,0)),"")</f>
        <v/>
      </c>
      <c r="D683" s="26" t="str">
        <f t="array" ref="D683">IFERROR(INDEX('Patrimônio'!$B$7:$B$1003,MATCH($B683,'Patrimônio'!$A$7:$A$1003,0)),"")</f>
        <v/>
      </c>
      <c r="E683" s="17"/>
      <c r="F683" s="18"/>
      <c r="G683" s="19"/>
      <c r="H683" s="15"/>
      <c r="I683" s="17"/>
      <c r="J683" s="24" t="str">
        <f t="shared" si="1"/>
        <v/>
      </c>
      <c r="K683" s="17"/>
    </row>
    <row r="684" ht="15.0" customHeight="1">
      <c r="A684" s="19"/>
      <c r="B684" s="15"/>
      <c r="C684" s="26" t="str">
        <f t="array" ref="C684">IFERROR(INDEX('Patrimônio'!$C$7:$C$1003,MATCH($B684,'Patrimônio'!$A$7:$A$1003,0)),"")</f>
        <v/>
      </c>
      <c r="D684" s="26" t="str">
        <f t="array" ref="D684">IFERROR(INDEX('Patrimônio'!$B$7:$B$1003,MATCH($B684,'Patrimônio'!$A$7:$A$1003,0)),"")</f>
        <v/>
      </c>
      <c r="E684" s="17"/>
      <c r="F684" s="18"/>
      <c r="G684" s="19"/>
      <c r="H684" s="15"/>
      <c r="I684" s="17"/>
      <c r="J684" s="24" t="str">
        <f t="shared" si="1"/>
        <v/>
      </c>
      <c r="K684" s="17"/>
    </row>
    <row r="685" ht="15.0" customHeight="1">
      <c r="A685" s="19"/>
      <c r="B685" s="15"/>
      <c r="C685" s="26" t="str">
        <f t="array" ref="C685">IFERROR(INDEX('Patrimônio'!$C$7:$C$1003,MATCH($B685,'Patrimônio'!$A$7:$A$1003,0)),"")</f>
        <v/>
      </c>
      <c r="D685" s="26" t="str">
        <f t="array" ref="D685">IFERROR(INDEX('Patrimônio'!$B$7:$B$1003,MATCH($B685,'Patrimônio'!$A$7:$A$1003,0)),"")</f>
        <v/>
      </c>
      <c r="E685" s="17"/>
      <c r="F685" s="18"/>
      <c r="G685" s="19"/>
      <c r="H685" s="15"/>
      <c r="I685" s="17"/>
      <c r="J685" s="24" t="str">
        <f t="shared" si="1"/>
        <v/>
      </c>
      <c r="K685" s="17"/>
    </row>
    <row r="686" ht="15.0" customHeight="1">
      <c r="A686" s="19"/>
      <c r="B686" s="15"/>
      <c r="C686" s="26" t="str">
        <f t="array" ref="C686">IFERROR(INDEX('Patrimônio'!$C$7:$C$1003,MATCH($B686,'Patrimônio'!$A$7:$A$1003,0)),"")</f>
        <v/>
      </c>
      <c r="D686" s="26" t="str">
        <f t="array" ref="D686">IFERROR(INDEX('Patrimônio'!$B$7:$B$1003,MATCH($B686,'Patrimônio'!$A$7:$A$1003,0)),"")</f>
        <v/>
      </c>
      <c r="E686" s="17"/>
      <c r="F686" s="18"/>
      <c r="G686" s="19"/>
      <c r="H686" s="15"/>
      <c r="I686" s="17"/>
      <c r="J686" s="24" t="str">
        <f t="shared" si="1"/>
        <v/>
      </c>
      <c r="K686" s="17"/>
    </row>
    <row r="687" ht="15.0" customHeight="1">
      <c r="A687" s="19"/>
      <c r="B687" s="15"/>
      <c r="C687" s="26" t="str">
        <f t="array" ref="C687">IFERROR(INDEX('Patrimônio'!$C$7:$C$1003,MATCH($B687,'Patrimônio'!$A$7:$A$1003,0)),"")</f>
        <v/>
      </c>
      <c r="D687" s="26" t="str">
        <f t="array" ref="D687">IFERROR(INDEX('Patrimônio'!$B$7:$B$1003,MATCH($B687,'Patrimônio'!$A$7:$A$1003,0)),"")</f>
        <v/>
      </c>
      <c r="E687" s="17"/>
      <c r="F687" s="18"/>
      <c r="G687" s="19"/>
      <c r="H687" s="15"/>
      <c r="I687" s="17"/>
      <c r="J687" s="24" t="str">
        <f t="shared" si="1"/>
        <v/>
      </c>
      <c r="K687" s="17"/>
    </row>
    <row r="688" ht="15.0" customHeight="1">
      <c r="A688" s="19"/>
      <c r="B688" s="15"/>
      <c r="C688" s="26" t="str">
        <f t="array" ref="C688">IFERROR(INDEX('Patrimônio'!$C$7:$C$1003,MATCH($B688,'Patrimônio'!$A$7:$A$1003,0)),"")</f>
        <v/>
      </c>
      <c r="D688" s="26" t="str">
        <f t="array" ref="D688">IFERROR(INDEX('Patrimônio'!$B$7:$B$1003,MATCH($B688,'Patrimônio'!$A$7:$A$1003,0)),"")</f>
        <v/>
      </c>
      <c r="E688" s="17"/>
      <c r="F688" s="18"/>
      <c r="G688" s="19"/>
      <c r="H688" s="15"/>
      <c r="I688" s="17"/>
      <c r="J688" s="24" t="str">
        <f t="shared" si="1"/>
        <v/>
      </c>
      <c r="K688" s="17"/>
    </row>
    <row r="689" ht="15.0" customHeight="1">
      <c r="A689" s="19"/>
      <c r="B689" s="15"/>
      <c r="C689" s="26" t="str">
        <f t="array" ref="C689">IFERROR(INDEX('Patrimônio'!$C$7:$C$1003,MATCH($B689,'Patrimônio'!$A$7:$A$1003,0)),"")</f>
        <v/>
      </c>
      <c r="D689" s="26" t="str">
        <f t="array" ref="D689">IFERROR(INDEX('Patrimônio'!$B$7:$B$1003,MATCH($B689,'Patrimônio'!$A$7:$A$1003,0)),"")</f>
        <v/>
      </c>
      <c r="E689" s="17"/>
      <c r="F689" s="18"/>
      <c r="G689" s="19"/>
      <c r="H689" s="15"/>
      <c r="I689" s="17"/>
      <c r="J689" s="24" t="str">
        <f t="shared" si="1"/>
        <v/>
      </c>
      <c r="K689" s="17"/>
    </row>
    <row r="690" ht="15.0" customHeight="1">
      <c r="A690" s="19"/>
      <c r="B690" s="15"/>
      <c r="C690" s="26" t="str">
        <f t="array" ref="C690">IFERROR(INDEX('Patrimônio'!$C$7:$C$1003,MATCH($B690,'Patrimônio'!$A$7:$A$1003,0)),"")</f>
        <v/>
      </c>
      <c r="D690" s="26" t="str">
        <f t="array" ref="D690">IFERROR(INDEX('Patrimônio'!$B$7:$B$1003,MATCH($B690,'Patrimônio'!$A$7:$A$1003,0)),"")</f>
        <v/>
      </c>
      <c r="E690" s="17"/>
      <c r="F690" s="18"/>
      <c r="G690" s="19"/>
      <c r="H690" s="15"/>
      <c r="I690" s="17"/>
      <c r="J690" s="24" t="str">
        <f t="shared" si="1"/>
        <v/>
      </c>
      <c r="K690" s="17"/>
    </row>
    <row r="691" ht="15.0" customHeight="1">
      <c r="A691" s="19"/>
      <c r="B691" s="15"/>
      <c r="C691" s="26" t="str">
        <f t="array" ref="C691">IFERROR(INDEX('Patrimônio'!$C$7:$C$1003,MATCH($B691,'Patrimônio'!$A$7:$A$1003,0)),"")</f>
        <v/>
      </c>
      <c r="D691" s="26" t="str">
        <f t="array" ref="D691">IFERROR(INDEX('Patrimônio'!$B$7:$B$1003,MATCH($B691,'Patrimônio'!$A$7:$A$1003,0)),"")</f>
        <v/>
      </c>
      <c r="E691" s="17"/>
      <c r="F691" s="18"/>
      <c r="G691" s="19"/>
      <c r="H691" s="15"/>
      <c r="I691" s="17"/>
      <c r="J691" s="24" t="str">
        <f t="shared" si="1"/>
        <v/>
      </c>
      <c r="K691" s="17"/>
    </row>
    <row r="692" ht="15.0" customHeight="1">
      <c r="A692" s="19"/>
      <c r="B692" s="15"/>
      <c r="C692" s="26" t="str">
        <f t="array" ref="C692">IFERROR(INDEX('Patrimônio'!$C$7:$C$1003,MATCH($B692,'Patrimônio'!$A$7:$A$1003,0)),"")</f>
        <v/>
      </c>
      <c r="D692" s="26" t="str">
        <f t="array" ref="D692">IFERROR(INDEX('Patrimônio'!$B$7:$B$1003,MATCH($B692,'Patrimônio'!$A$7:$A$1003,0)),"")</f>
        <v/>
      </c>
      <c r="E692" s="17"/>
      <c r="F692" s="18"/>
      <c r="G692" s="19"/>
      <c r="H692" s="15"/>
      <c r="I692" s="17"/>
      <c r="J692" s="24" t="str">
        <f t="shared" si="1"/>
        <v/>
      </c>
      <c r="K692" s="17"/>
    </row>
    <row r="693" ht="15.0" customHeight="1">
      <c r="A693" s="19"/>
      <c r="B693" s="15"/>
      <c r="C693" s="26" t="str">
        <f t="array" ref="C693">IFERROR(INDEX('Patrimônio'!$C$7:$C$1003,MATCH($B693,'Patrimônio'!$A$7:$A$1003,0)),"")</f>
        <v/>
      </c>
      <c r="D693" s="26" t="str">
        <f t="array" ref="D693">IFERROR(INDEX('Patrimônio'!$B$7:$B$1003,MATCH($B693,'Patrimônio'!$A$7:$A$1003,0)),"")</f>
        <v/>
      </c>
      <c r="E693" s="17"/>
      <c r="F693" s="18"/>
      <c r="G693" s="19"/>
      <c r="H693" s="15"/>
      <c r="I693" s="17"/>
      <c r="J693" s="24" t="str">
        <f t="shared" si="1"/>
        <v/>
      </c>
      <c r="K693" s="17"/>
    </row>
    <row r="694" ht="15.0" customHeight="1">
      <c r="A694" s="19"/>
      <c r="B694" s="15"/>
      <c r="C694" s="26" t="str">
        <f t="array" ref="C694">IFERROR(INDEX('Patrimônio'!$C$7:$C$1003,MATCH($B694,'Patrimônio'!$A$7:$A$1003,0)),"")</f>
        <v/>
      </c>
      <c r="D694" s="26" t="str">
        <f t="array" ref="D694">IFERROR(INDEX('Patrimônio'!$B$7:$B$1003,MATCH($B694,'Patrimônio'!$A$7:$A$1003,0)),"")</f>
        <v/>
      </c>
      <c r="E694" s="17"/>
      <c r="F694" s="18"/>
      <c r="G694" s="19"/>
      <c r="H694" s="15"/>
      <c r="I694" s="17"/>
      <c r="J694" s="24" t="str">
        <f t="shared" si="1"/>
        <v/>
      </c>
      <c r="K694" s="17"/>
    </row>
    <row r="695" ht="15.0" customHeight="1">
      <c r="A695" s="19"/>
      <c r="B695" s="15"/>
      <c r="C695" s="26" t="str">
        <f t="array" ref="C695">IFERROR(INDEX('Patrimônio'!$C$7:$C$1003,MATCH($B695,'Patrimônio'!$A$7:$A$1003,0)),"")</f>
        <v/>
      </c>
      <c r="D695" s="26" t="str">
        <f t="array" ref="D695">IFERROR(INDEX('Patrimônio'!$B$7:$B$1003,MATCH($B695,'Patrimônio'!$A$7:$A$1003,0)),"")</f>
        <v/>
      </c>
      <c r="E695" s="17"/>
      <c r="F695" s="18"/>
      <c r="G695" s="19"/>
      <c r="H695" s="15"/>
      <c r="I695" s="17"/>
      <c r="J695" s="24" t="str">
        <f t="shared" si="1"/>
        <v/>
      </c>
      <c r="K695" s="17"/>
    </row>
    <row r="696" ht="15.0" customHeight="1">
      <c r="A696" s="19"/>
      <c r="B696" s="15"/>
      <c r="C696" s="26" t="str">
        <f t="array" ref="C696">IFERROR(INDEX('Patrimônio'!$C$7:$C$1003,MATCH($B696,'Patrimônio'!$A$7:$A$1003,0)),"")</f>
        <v/>
      </c>
      <c r="D696" s="26" t="str">
        <f t="array" ref="D696">IFERROR(INDEX('Patrimônio'!$B$7:$B$1003,MATCH($B696,'Patrimônio'!$A$7:$A$1003,0)),"")</f>
        <v/>
      </c>
      <c r="E696" s="17"/>
      <c r="F696" s="18"/>
      <c r="G696" s="19"/>
      <c r="H696" s="15"/>
      <c r="I696" s="17"/>
      <c r="J696" s="24" t="str">
        <f t="shared" si="1"/>
        <v/>
      </c>
      <c r="K696" s="17"/>
    </row>
    <row r="697" ht="15.0" customHeight="1">
      <c r="A697" s="19"/>
      <c r="B697" s="15"/>
      <c r="C697" s="26" t="str">
        <f t="array" ref="C697">IFERROR(INDEX('Patrimônio'!$C$7:$C$1003,MATCH($B697,'Patrimônio'!$A$7:$A$1003,0)),"")</f>
        <v/>
      </c>
      <c r="D697" s="26" t="str">
        <f t="array" ref="D697">IFERROR(INDEX('Patrimônio'!$B$7:$B$1003,MATCH($B697,'Patrimônio'!$A$7:$A$1003,0)),"")</f>
        <v/>
      </c>
      <c r="E697" s="17"/>
      <c r="F697" s="18"/>
      <c r="G697" s="19"/>
      <c r="H697" s="15"/>
      <c r="I697" s="17"/>
      <c r="J697" s="24" t="str">
        <f t="shared" si="1"/>
        <v/>
      </c>
      <c r="K697" s="17"/>
    </row>
    <row r="698" ht="15.0" customHeight="1">
      <c r="A698" s="19"/>
      <c r="B698" s="15"/>
      <c r="C698" s="26" t="str">
        <f t="array" ref="C698">IFERROR(INDEX('Patrimônio'!$C$7:$C$1003,MATCH($B698,'Patrimônio'!$A$7:$A$1003,0)),"")</f>
        <v/>
      </c>
      <c r="D698" s="26" t="str">
        <f t="array" ref="D698">IFERROR(INDEX('Patrimônio'!$B$7:$B$1003,MATCH($B698,'Patrimônio'!$A$7:$A$1003,0)),"")</f>
        <v/>
      </c>
      <c r="E698" s="17"/>
      <c r="F698" s="18"/>
      <c r="G698" s="19"/>
      <c r="H698" s="15"/>
      <c r="I698" s="17"/>
      <c r="J698" s="24" t="str">
        <f t="shared" si="1"/>
        <v/>
      </c>
      <c r="K698" s="17"/>
    </row>
    <row r="699" ht="15.0" customHeight="1">
      <c r="A699" s="19"/>
      <c r="B699" s="15"/>
      <c r="C699" s="26" t="str">
        <f t="array" ref="C699">IFERROR(INDEX('Patrimônio'!$C$7:$C$1003,MATCH($B699,'Patrimônio'!$A$7:$A$1003,0)),"")</f>
        <v/>
      </c>
      <c r="D699" s="26" t="str">
        <f t="array" ref="D699">IFERROR(INDEX('Patrimônio'!$B$7:$B$1003,MATCH($B699,'Patrimônio'!$A$7:$A$1003,0)),"")</f>
        <v/>
      </c>
      <c r="E699" s="17"/>
      <c r="F699" s="18"/>
      <c r="G699" s="19"/>
      <c r="H699" s="15"/>
      <c r="I699" s="17"/>
      <c r="J699" s="24" t="str">
        <f t="shared" si="1"/>
        <v/>
      </c>
      <c r="K699" s="17"/>
    </row>
    <row r="700" ht="15.0" customHeight="1">
      <c r="A700" s="19"/>
      <c r="B700" s="15"/>
      <c r="C700" s="26" t="str">
        <f t="array" ref="C700">IFERROR(INDEX('Patrimônio'!$C$7:$C$1003,MATCH($B700,'Patrimônio'!$A$7:$A$1003,0)),"")</f>
        <v/>
      </c>
      <c r="D700" s="26" t="str">
        <f t="array" ref="D700">IFERROR(INDEX('Patrimônio'!$B$7:$B$1003,MATCH($B700,'Patrimônio'!$A$7:$A$1003,0)),"")</f>
        <v/>
      </c>
      <c r="E700" s="17"/>
      <c r="F700" s="18"/>
      <c r="G700" s="19"/>
      <c r="H700" s="15"/>
      <c r="I700" s="17"/>
      <c r="J700" s="24" t="str">
        <f t="shared" si="1"/>
        <v/>
      </c>
      <c r="K700" s="17"/>
    </row>
    <row r="701" ht="15.0" customHeight="1">
      <c r="A701" s="19"/>
      <c r="B701" s="15"/>
      <c r="C701" s="26" t="str">
        <f t="array" ref="C701">IFERROR(INDEX('Patrimônio'!$C$7:$C$1003,MATCH($B701,'Patrimônio'!$A$7:$A$1003,0)),"")</f>
        <v/>
      </c>
      <c r="D701" s="26" t="str">
        <f t="array" ref="D701">IFERROR(INDEX('Patrimônio'!$B$7:$B$1003,MATCH($B701,'Patrimônio'!$A$7:$A$1003,0)),"")</f>
        <v/>
      </c>
      <c r="E701" s="17"/>
      <c r="F701" s="18"/>
      <c r="G701" s="19"/>
      <c r="H701" s="15"/>
      <c r="I701" s="17"/>
      <c r="J701" s="24" t="str">
        <f t="shared" si="1"/>
        <v/>
      </c>
      <c r="K701" s="17"/>
    </row>
    <row r="702" ht="15.0" customHeight="1">
      <c r="A702" s="19"/>
      <c r="B702" s="15"/>
      <c r="C702" s="26" t="str">
        <f t="array" ref="C702">IFERROR(INDEX('Patrimônio'!$C$7:$C$1003,MATCH($B702,'Patrimônio'!$A$7:$A$1003,0)),"")</f>
        <v/>
      </c>
      <c r="D702" s="26" t="str">
        <f t="array" ref="D702">IFERROR(INDEX('Patrimônio'!$B$7:$B$1003,MATCH($B702,'Patrimônio'!$A$7:$A$1003,0)),"")</f>
        <v/>
      </c>
      <c r="E702" s="17"/>
      <c r="F702" s="18"/>
      <c r="G702" s="19"/>
      <c r="H702" s="15"/>
      <c r="I702" s="17"/>
      <c r="J702" s="24" t="str">
        <f t="shared" si="1"/>
        <v/>
      </c>
      <c r="K702" s="17"/>
    </row>
    <row r="703" ht="15.0" customHeight="1">
      <c r="A703" s="19"/>
      <c r="B703" s="15"/>
      <c r="C703" s="26" t="str">
        <f t="array" ref="C703">IFERROR(INDEX('Patrimônio'!$C$7:$C$1003,MATCH($B703,'Patrimônio'!$A$7:$A$1003,0)),"")</f>
        <v/>
      </c>
      <c r="D703" s="26" t="str">
        <f t="array" ref="D703">IFERROR(INDEX('Patrimônio'!$B$7:$B$1003,MATCH($B703,'Patrimônio'!$A$7:$A$1003,0)),"")</f>
        <v/>
      </c>
      <c r="E703" s="17"/>
      <c r="F703" s="18"/>
      <c r="G703" s="19"/>
      <c r="H703" s="15"/>
      <c r="I703" s="17"/>
      <c r="J703" s="24" t="str">
        <f t="shared" si="1"/>
        <v/>
      </c>
      <c r="K703" s="17"/>
    </row>
    <row r="704" ht="15.0" customHeight="1">
      <c r="A704" s="19"/>
      <c r="B704" s="15"/>
      <c r="C704" s="26" t="str">
        <f t="array" ref="C704">IFERROR(INDEX('Patrimônio'!$C$7:$C$1003,MATCH($B704,'Patrimônio'!$A$7:$A$1003,0)),"")</f>
        <v/>
      </c>
      <c r="D704" s="26" t="str">
        <f t="array" ref="D704">IFERROR(INDEX('Patrimônio'!$B$7:$B$1003,MATCH($B704,'Patrimônio'!$A$7:$A$1003,0)),"")</f>
        <v/>
      </c>
      <c r="E704" s="17"/>
      <c r="F704" s="18"/>
      <c r="G704" s="19"/>
      <c r="H704" s="15"/>
      <c r="I704" s="17"/>
      <c r="J704" s="24" t="str">
        <f t="shared" si="1"/>
        <v/>
      </c>
      <c r="K704" s="17"/>
    </row>
    <row r="705" ht="15.0" customHeight="1">
      <c r="A705" s="19"/>
      <c r="B705" s="15"/>
      <c r="C705" s="26" t="str">
        <f t="array" ref="C705">IFERROR(INDEX('Patrimônio'!$C$7:$C$1003,MATCH($B705,'Patrimônio'!$A$7:$A$1003,0)),"")</f>
        <v/>
      </c>
      <c r="D705" s="26" t="str">
        <f t="array" ref="D705">IFERROR(INDEX('Patrimônio'!$B$7:$B$1003,MATCH($B705,'Patrimônio'!$A$7:$A$1003,0)),"")</f>
        <v/>
      </c>
      <c r="E705" s="17"/>
      <c r="F705" s="18"/>
      <c r="G705" s="19"/>
      <c r="H705" s="15"/>
      <c r="I705" s="17"/>
      <c r="J705" s="24" t="str">
        <f t="shared" si="1"/>
        <v/>
      </c>
      <c r="K705" s="17"/>
    </row>
    <row r="706" ht="15.0" customHeight="1">
      <c r="A706" s="19"/>
      <c r="B706" s="15"/>
      <c r="C706" s="26" t="str">
        <f t="array" ref="C706">IFERROR(INDEX('Patrimônio'!$C$7:$C$1003,MATCH($B706,'Patrimônio'!$A$7:$A$1003,0)),"")</f>
        <v/>
      </c>
      <c r="D706" s="26" t="str">
        <f t="array" ref="D706">IFERROR(INDEX('Patrimônio'!$B$7:$B$1003,MATCH($B706,'Patrimônio'!$A$7:$A$1003,0)),"")</f>
        <v/>
      </c>
      <c r="E706" s="17"/>
      <c r="F706" s="18"/>
      <c r="G706" s="19"/>
      <c r="H706" s="15"/>
      <c r="I706" s="17"/>
      <c r="J706" s="24" t="str">
        <f t="shared" si="1"/>
        <v/>
      </c>
      <c r="K706" s="17"/>
    </row>
    <row r="707" ht="15.0" customHeight="1">
      <c r="A707" s="19"/>
      <c r="B707" s="15"/>
      <c r="C707" s="26" t="str">
        <f t="array" ref="C707">IFERROR(INDEX('Patrimônio'!$C$7:$C$1003,MATCH($B707,'Patrimônio'!$A$7:$A$1003,0)),"")</f>
        <v/>
      </c>
      <c r="D707" s="26" t="str">
        <f t="array" ref="D707">IFERROR(INDEX('Patrimônio'!$B$7:$B$1003,MATCH($B707,'Patrimônio'!$A$7:$A$1003,0)),"")</f>
        <v/>
      </c>
      <c r="E707" s="17"/>
      <c r="F707" s="18"/>
      <c r="G707" s="19"/>
      <c r="H707" s="15"/>
      <c r="I707" s="17"/>
      <c r="J707" s="24" t="str">
        <f t="shared" si="1"/>
        <v/>
      </c>
      <c r="K707" s="17"/>
    </row>
    <row r="708" ht="15.0" customHeight="1">
      <c r="A708" s="19"/>
      <c r="B708" s="15"/>
      <c r="C708" s="26" t="str">
        <f t="array" ref="C708">IFERROR(INDEX('Patrimônio'!$C$7:$C$1003,MATCH($B708,'Patrimônio'!$A$7:$A$1003,0)),"")</f>
        <v/>
      </c>
      <c r="D708" s="26" t="str">
        <f t="array" ref="D708">IFERROR(INDEX('Patrimônio'!$B$7:$B$1003,MATCH($B708,'Patrimônio'!$A$7:$A$1003,0)),"")</f>
        <v/>
      </c>
      <c r="E708" s="17"/>
      <c r="F708" s="18"/>
      <c r="G708" s="19"/>
      <c r="H708" s="15"/>
      <c r="I708" s="17"/>
      <c r="J708" s="24" t="str">
        <f t="shared" si="1"/>
        <v/>
      </c>
      <c r="K708" s="17"/>
    </row>
    <row r="709" ht="15.0" customHeight="1">
      <c r="A709" s="19"/>
      <c r="B709" s="15"/>
      <c r="C709" s="26" t="str">
        <f t="array" ref="C709">IFERROR(INDEX('Patrimônio'!$C$7:$C$1003,MATCH($B709,'Patrimônio'!$A$7:$A$1003,0)),"")</f>
        <v/>
      </c>
      <c r="D709" s="26" t="str">
        <f t="array" ref="D709">IFERROR(INDEX('Patrimônio'!$B$7:$B$1003,MATCH($B709,'Patrimônio'!$A$7:$A$1003,0)),"")</f>
        <v/>
      </c>
      <c r="E709" s="17"/>
      <c r="F709" s="18"/>
      <c r="G709" s="19"/>
      <c r="H709" s="15"/>
      <c r="I709" s="17"/>
      <c r="J709" s="24" t="str">
        <f t="shared" si="1"/>
        <v/>
      </c>
      <c r="K709" s="17"/>
    </row>
    <row r="710" ht="15.0" customHeight="1">
      <c r="A710" s="19"/>
      <c r="B710" s="15"/>
      <c r="C710" s="26" t="str">
        <f t="array" ref="C710">IFERROR(INDEX('Patrimônio'!$C$7:$C$1003,MATCH($B710,'Patrimônio'!$A$7:$A$1003,0)),"")</f>
        <v/>
      </c>
      <c r="D710" s="26" t="str">
        <f t="array" ref="D710">IFERROR(INDEX('Patrimônio'!$B$7:$B$1003,MATCH($B710,'Patrimônio'!$A$7:$A$1003,0)),"")</f>
        <v/>
      </c>
      <c r="E710" s="17"/>
      <c r="F710" s="18"/>
      <c r="G710" s="19"/>
      <c r="H710" s="15"/>
      <c r="I710" s="17"/>
      <c r="J710" s="24" t="str">
        <f t="shared" si="1"/>
        <v/>
      </c>
      <c r="K710" s="17"/>
    </row>
    <row r="711" ht="15.0" customHeight="1">
      <c r="A711" s="19"/>
      <c r="B711" s="15"/>
      <c r="C711" s="26" t="str">
        <f t="array" ref="C711">IFERROR(INDEX('Patrimônio'!$C$7:$C$1003,MATCH($B711,'Patrimônio'!$A$7:$A$1003,0)),"")</f>
        <v/>
      </c>
      <c r="D711" s="26" t="str">
        <f t="array" ref="D711">IFERROR(INDEX('Patrimônio'!$B$7:$B$1003,MATCH($B711,'Patrimônio'!$A$7:$A$1003,0)),"")</f>
        <v/>
      </c>
      <c r="E711" s="17"/>
      <c r="F711" s="18"/>
      <c r="G711" s="19"/>
      <c r="H711" s="15"/>
      <c r="I711" s="17"/>
      <c r="J711" s="24" t="str">
        <f t="shared" si="1"/>
        <v/>
      </c>
      <c r="K711" s="17"/>
    </row>
    <row r="712" ht="15.0" customHeight="1">
      <c r="A712" s="19"/>
      <c r="B712" s="15"/>
      <c r="C712" s="26" t="str">
        <f t="array" ref="C712">IFERROR(INDEX('Patrimônio'!$C$7:$C$1003,MATCH($B712,'Patrimônio'!$A$7:$A$1003,0)),"")</f>
        <v/>
      </c>
      <c r="D712" s="26" t="str">
        <f t="array" ref="D712">IFERROR(INDEX('Patrimônio'!$B$7:$B$1003,MATCH($B712,'Patrimônio'!$A$7:$A$1003,0)),"")</f>
        <v/>
      </c>
      <c r="E712" s="17"/>
      <c r="F712" s="18"/>
      <c r="G712" s="19"/>
      <c r="H712" s="15"/>
      <c r="I712" s="17"/>
      <c r="J712" s="24" t="str">
        <f t="shared" si="1"/>
        <v/>
      </c>
      <c r="K712" s="17"/>
    </row>
    <row r="713" ht="15.0" customHeight="1">
      <c r="A713" s="19"/>
      <c r="B713" s="15"/>
      <c r="C713" s="26" t="str">
        <f t="array" ref="C713">IFERROR(INDEX('Patrimônio'!$C$7:$C$1003,MATCH($B713,'Patrimônio'!$A$7:$A$1003,0)),"")</f>
        <v/>
      </c>
      <c r="D713" s="26" t="str">
        <f t="array" ref="D713">IFERROR(INDEX('Patrimônio'!$B$7:$B$1003,MATCH($B713,'Patrimônio'!$A$7:$A$1003,0)),"")</f>
        <v/>
      </c>
      <c r="E713" s="17"/>
      <c r="F713" s="18"/>
      <c r="G713" s="19"/>
      <c r="H713" s="15"/>
      <c r="I713" s="17"/>
      <c r="J713" s="24" t="str">
        <f t="shared" si="1"/>
        <v/>
      </c>
      <c r="K713" s="17"/>
    </row>
    <row r="714" ht="15.0" customHeight="1">
      <c r="A714" s="19"/>
      <c r="B714" s="15"/>
      <c r="C714" s="26" t="str">
        <f t="array" ref="C714">IFERROR(INDEX('Patrimônio'!$C$7:$C$1003,MATCH($B714,'Patrimônio'!$A$7:$A$1003,0)),"")</f>
        <v/>
      </c>
      <c r="D714" s="26" t="str">
        <f t="array" ref="D714">IFERROR(INDEX('Patrimônio'!$B$7:$B$1003,MATCH($B714,'Patrimônio'!$A$7:$A$1003,0)),"")</f>
        <v/>
      </c>
      <c r="E714" s="17"/>
      <c r="F714" s="18"/>
      <c r="G714" s="19"/>
      <c r="H714" s="15"/>
      <c r="I714" s="17"/>
      <c r="J714" s="24" t="str">
        <f t="shared" si="1"/>
        <v/>
      </c>
      <c r="K714" s="17"/>
    </row>
    <row r="715" ht="15.0" customHeight="1">
      <c r="A715" s="19"/>
      <c r="B715" s="15"/>
      <c r="C715" s="26" t="str">
        <f t="array" ref="C715">IFERROR(INDEX('Patrimônio'!$C$7:$C$1003,MATCH($B715,'Patrimônio'!$A$7:$A$1003,0)),"")</f>
        <v/>
      </c>
      <c r="D715" s="26" t="str">
        <f t="array" ref="D715">IFERROR(INDEX('Patrimônio'!$B$7:$B$1003,MATCH($B715,'Patrimônio'!$A$7:$A$1003,0)),"")</f>
        <v/>
      </c>
      <c r="E715" s="17"/>
      <c r="F715" s="18"/>
      <c r="G715" s="19"/>
      <c r="H715" s="15"/>
      <c r="I715" s="17"/>
      <c r="J715" s="24" t="str">
        <f t="shared" si="1"/>
        <v/>
      </c>
      <c r="K715" s="17"/>
    </row>
    <row r="716" ht="15.0" customHeight="1">
      <c r="A716" s="19"/>
      <c r="B716" s="15"/>
      <c r="C716" s="26" t="str">
        <f t="array" ref="C716">IFERROR(INDEX('Patrimônio'!$C$7:$C$1003,MATCH($B716,'Patrimônio'!$A$7:$A$1003,0)),"")</f>
        <v/>
      </c>
      <c r="D716" s="26" t="str">
        <f t="array" ref="D716">IFERROR(INDEX('Patrimônio'!$B$7:$B$1003,MATCH($B716,'Patrimônio'!$A$7:$A$1003,0)),"")</f>
        <v/>
      </c>
      <c r="E716" s="17"/>
      <c r="F716" s="18"/>
      <c r="G716" s="19"/>
      <c r="H716" s="15"/>
      <c r="I716" s="17"/>
      <c r="J716" s="24" t="str">
        <f t="shared" si="1"/>
        <v/>
      </c>
      <c r="K716" s="17"/>
    </row>
    <row r="717" ht="15.0" customHeight="1">
      <c r="A717" s="19"/>
      <c r="B717" s="15"/>
      <c r="C717" s="26" t="str">
        <f t="array" ref="C717">IFERROR(INDEX('Patrimônio'!$C$7:$C$1003,MATCH($B717,'Patrimônio'!$A$7:$A$1003,0)),"")</f>
        <v/>
      </c>
      <c r="D717" s="26" t="str">
        <f t="array" ref="D717">IFERROR(INDEX('Patrimônio'!$B$7:$B$1003,MATCH($B717,'Patrimônio'!$A$7:$A$1003,0)),"")</f>
        <v/>
      </c>
      <c r="E717" s="17"/>
      <c r="F717" s="18"/>
      <c r="G717" s="19"/>
      <c r="H717" s="15"/>
      <c r="I717" s="17"/>
      <c r="J717" s="24" t="str">
        <f t="shared" si="1"/>
        <v/>
      </c>
      <c r="K717" s="17"/>
    </row>
    <row r="718" ht="15.0" customHeight="1">
      <c r="A718" s="19"/>
      <c r="B718" s="15"/>
      <c r="C718" s="26" t="str">
        <f t="array" ref="C718">IFERROR(INDEX('Patrimônio'!$C$7:$C$1003,MATCH($B718,'Patrimônio'!$A$7:$A$1003,0)),"")</f>
        <v/>
      </c>
      <c r="D718" s="26" t="str">
        <f t="array" ref="D718">IFERROR(INDEX('Patrimônio'!$B$7:$B$1003,MATCH($B718,'Patrimônio'!$A$7:$A$1003,0)),"")</f>
        <v/>
      </c>
      <c r="E718" s="17"/>
      <c r="F718" s="18"/>
      <c r="G718" s="19"/>
      <c r="H718" s="15"/>
      <c r="I718" s="17"/>
      <c r="J718" s="24" t="str">
        <f t="shared" si="1"/>
        <v/>
      </c>
      <c r="K718" s="17"/>
    </row>
    <row r="719" ht="15.0" customHeight="1">
      <c r="A719" s="19"/>
      <c r="B719" s="15"/>
      <c r="C719" s="26" t="str">
        <f t="array" ref="C719">IFERROR(INDEX('Patrimônio'!$C$7:$C$1003,MATCH($B719,'Patrimônio'!$A$7:$A$1003,0)),"")</f>
        <v/>
      </c>
      <c r="D719" s="26" t="str">
        <f t="array" ref="D719">IFERROR(INDEX('Patrimônio'!$B$7:$B$1003,MATCH($B719,'Patrimônio'!$A$7:$A$1003,0)),"")</f>
        <v/>
      </c>
      <c r="E719" s="17"/>
      <c r="F719" s="18"/>
      <c r="G719" s="19"/>
      <c r="H719" s="15"/>
      <c r="I719" s="17"/>
      <c r="J719" s="24" t="str">
        <f t="shared" si="1"/>
        <v/>
      </c>
      <c r="K719" s="17"/>
    </row>
    <row r="720" ht="15.0" customHeight="1">
      <c r="A720" s="19"/>
      <c r="B720" s="15"/>
      <c r="C720" s="26" t="str">
        <f t="array" ref="C720">IFERROR(INDEX('Patrimônio'!$C$7:$C$1003,MATCH($B720,'Patrimônio'!$A$7:$A$1003,0)),"")</f>
        <v/>
      </c>
      <c r="D720" s="26" t="str">
        <f t="array" ref="D720">IFERROR(INDEX('Patrimônio'!$B$7:$B$1003,MATCH($B720,'Patrimônio'!$A$7:$A$1003,0)),"")</f>
        <v/>
      </c>
      <c r="E720" s="17"/>
      <c r="F720" s="18"/>
      <c r="G720" s="19"/>
      <c r="H720" s="15"/>
      <c r="I720" s="17"/>
      <c r="J720" s="24" t="str">
        <f t="shared" si="1"/>
        <v/>
      </c>
      <c r="K720" s="17"/>
    </row>
    <row r="721" ht="15.0" customHeight="1">
      <c r="A721" s="19"/>
      <c r="B721" s="15"/>
      <c r="C721" s="26" t="str">
        <f t="array" ref="C721">IFERROR(INDEX('Patrimônio'!$C$7:$C$1003,MATCH($B721,'Patrimônio'!$A$7:$A$1003,0)),"")</f>
        <v/>
      </c>
      <c r="D721" s="26" t="str">
        <f t="array" ref="D721">IFERROR(INDEX('Patrimônio'!$B$7:$B$1003,MATCH($B721,'Patrimônio'!$A$7:$A$1003,0)),"")</f>
        <v/>
      </c>
      <c r="E721" s="17"/>
      <c r="F721" s="18"/>
      <c r="G721" s="19"/>
      <c r="H721" s="15"/>
      <c r="I721" s="17"/>
      <c r="J721" s="24" t="str">
        <f t="shared" si="1"/>
        <v/>
      </c>
      <c r="K721" s="17"/>
    </row>
    <row r="722" ht="15.0" customHeight="1">
      <c r="A722" s="19"/>
      <c r="B722" s="15"/>
      <c r="C722" s="26" t="str">
        <f t="array" ref="C722">IFERROR(INDEX('Patrimônio'!$C$7:$C$1003,MATCH($B722,'Patrimônio'!$A$7:$A$1003,0)),"")</f>
        <v/>
      </c>
      <c r="D722" s="26" t="str">
        <f t="array" ref="D722">IFERROR(INDEX('Patrimônio'!$B$7:$B$1003,MATCH($B722,'Patrimônio'!$A$7:$A$1003,0)),"")</f>
        <v/>
      </c>
      <c r="E722" s="17"/>
      <c r="F722" s="18"/>
      <c r="G722" s="19"/>
      <c r="H722" s="15"/>
      <c r="I722" s="17"/>
      <c r="J722" s="24" t="str">
        <f t="shared" si="1"/>
        <v/>
      </c>
      <c r="K722" s="17"/>
    </row>
    <row r="723" ht="15.0" customHeight="1">
      <c r="A723" s="19"/>
      <c r="B723" s="15"/>
      <c r="C723" s="26" t="str">
        <f t="array" ref="C723">IFERROR(INDEX('Patrimônio'!$C$7:$C$1003,MATCH($B723,'Patrimônio'!$A$7:$A$1003,0)),"")</f>
        <v/>
      </c>
      <c r="D723" s="26" t="str">
        <f t="array" ref="D723">IFERROR(INDEX('Patrimônio'!$B$7:$B$1003,MATCH($B723,'Patrimônio'!$A$7:$A$1003,0)),"")</f>
        <v/>
      </c>
      <c r="E723" s="17"/>
      <c r="F723" s="18"/>
      <c r="G723" s="19"/>
      <c r="H723" s="15"/>
      <c r="I723" s="17"/>
      <c r="J723" s="24" t="str">
        <f t="shared" si="1"/>
        <v/>
      </c>
      <c r="K723" s="17"/>
    </row>
    <row r="724" ht="15.0" customHeight="1">
      <c r="A724" s="19"/>
      <c r="B724" s="15"/>
      <c r="C724" s="26" t="str">
        <f t="array" ref="C724">IFERROR(INDEX('Patrimônio'!$C$7:$C$1003,MATCH($B724,'Patrimônio'!$A$7:$A$1003,0)),"")</f>
        <v/>
      </c>
      <c r="D724" s="26" t="str">
        <f t="array" ref="D724">IFERROR(INDEX('Patrimônio'!$B$7:$B$1003,MATCH($B724,'Patrimônio'!$A$7:$A$1003,0)),"")</f>
        <v/>
      </c>
      <c r="E724" s="17"/>
      <c r="F724" s="18"/>
      <c r="G724" s="19"/>
      <c r="H724" s="15"/>
      <c r="I724" s="17"/>
      <c r="J724" s="24" t="str">
        <f t="shared" si="1"/>
        <v/>
      </c>
      <c r="K724" s="17"/>
    </row>
    <row r="725" ht="15.0" customHeight="1">
      <c r="A725" s="19"/>
      <c r="B725" s="15"/>
      <c r="C725" s="26" t="str">
        <f t="array" ref="C725">IFERROR(INDEX('Patrimônio'!$C$7:$C$1003,MATCH($B725,'Patrimônio'!$A$7:$A$1003,0)),"")</f>
        <v/>
      </c>
      <c r="D725" s="26" t="str">
        <f t="array" ref="D725">IFERROR(INDEX('Patrimônio'!$B$7:$B$1003,MATCH($B725,'Patrimônio'!$A$7:$A$1003,0)),"")</f>
        <v/>
      </c>
      <c r="E725" s="17"/>
      <c r="F725" s="18"/>
      <c r="G725" s="19"/>
      <c r="H725" s="15"/>
      <c r="I725" s="17"/>
      <c r="J725" s="24" t="str">
        <f t="shared" si="1"/>
        <v/>
      </c>
      <c r="K725" s="17"/>
    </row>
    <row r="726" ht="15.0" customHeight="1">
      <c r="A726" s="19"/>
      <c r="B726" s="15"/>
      <c r="C726" s="26" t="str">
        <f t="array" ref="C726">IFERROR(INDEX('Patrimônio'!$C$7:$C$1003,MATCH($B726,'Patrimônio'!$A$7:$A$1003,0)),"")</f>
        <v/>
      </c>
      <c r="D726" s="26" t="str">
        <f t="array" ref="D726">IFERROR(INDEX('Patrimônio'!$B$7:$B$1003,MATCH($B726,'Patrimônio'!$A$7:$A$1003,0)),"")</f>
        <v/>
      </c>
      <c r="E726" s="17"/>
      <c r="F726" s="18"/>
      <c r="G726" s="19"/>
      <c r="H726" s="15"/>
      <c r="I726" s="17"/>
      <c r="J726" s="24" t="str">
        <f t="shared" si="1"/>
        <v/>
      </c>
      <c r="K726" s="17"/>
    </row>
    <row r="727" ht="15.0" customHeight="1">
      <c r="A727" s="19"/>
      <c r="B727" s="15"/>
      <c r="C727" s="26" t="str">
        <f t="array" ref="C727">IFERROR(INDEX('Patrimônio'!$C$7:$C$1003,MATCH($B727,'Patrimônio'!$A$7:$A$1003,0)),"")</f>
        <v/>
      </c>
      <c r="D727" s="26" t="str">
        <f t="array" ref="D727">IFERROR(INDEX('Patrimônio'!$B$7:$B$1003,MATCH($B727,'Patrimônio'!$A$7:$A$1003,0)),"")</f>
        <v/>
      </c>
      <c r="E727" s="17"/>
      <c r="F727" s="18"/>
      <c r="G727" s="19"/>
      <c r="H727" s="15"/>
      <c r="I727" s="17"/>
      <c r="J727" s="24" t="str">
        <f t="shared" si="1"/>
        <v/>
      </c>
      <c r="K727" s="17"/>
    </row>
    <row r="728" ht="15.0" customHeight="1">
      <c r="A728" s="19"/>
      <c r="B728" s="15"/>
      <c r="C728" s="26" t="str">
        <f t="array" ref="C728">IFERROR(INDEX('Patrimônio'!$C$7:$C$1003,MATCH($B728,'Patrimônio'!$A$7:$A$1003,0)),"")</f>
        <v/>
      </c>
      <c r="D728" s="26" t="str">
        <f t="array" ref="D728">IFERROR(INDEX('Patrimônio'!$B$7:$B$1003,MATCH($B728,'Patrimônio'!$A$7:$A$1003,0)),"")</f>
        <v/>
      </c>
      <c r="E728" s="17"/>
      <c r="F728" s="18"/>
      <c r="G728" s="19"/>
      <c r="H728" s="15"/>
      <c r="I728" s="17"/>
      <c r="J728" s="24" t="str">
        <f t="shared" si="1"/>
        <v/>
      </c>
      <c r="K728" s="17"/>
    </row>
    <row r="729" ht="15.0" customHeight="1">
      <c r="A729" s="19"/>
      <c r="B729" s="15"/>
      <c r="C729" s="26" t="str">
        <f t="array" ref="C729">IFERROR(INDEX('Patrimônio'!$C$7:$C$1003,MATCH($B729,'Patrimônio'!$A$7:$A$1003,0)),"")</f>
        <v/>
      </c>
      <c r="D729" s="26" t="str">
        <f t="array" ref="D729">IFERROR(INDEX('Patrimônio'!$B$7:$B$1003,MATCH($B729,'Patrimônio'!$A$7:$A$1003,0)),"")</f>
        <v/>
      </c>
      <c r="E729" s="17"/>
      <c r="F729" s="18"/>
      <c r="G729" s="19"/>
      <c r="H729" s="15"/>
      <c r="I729" s="17"/>
      <c r="J729" s="24" t="str">
        <f t="shared" si="1"/>
        <v/>
      </c>
      <c r="K729" s="17"/>
    </row>
    <row r="730" ht="15.0" customHeight="1">
      <c r="A730" s="19"/>
      <c r="B730" s="15"/>
      <c r="C730" s="26" t="str">
        <f t="array" ref="C730">IFERROR(INDEX('Patrimônio'!$C$7:$C$1003,MATCH($B730,'Patrimônio'!$A$7:$A$1003,0)),"")</f>
        <v/>
      </c>
      <c r="D730" s="26" t="str">
        <f t="array" ref="D730">IFERROR(INDEX('Patrimônio'!$B$7:$B$1003,MATCH($B730,'Patrimônio'!$A$7:$A$1003,0)),"")</f>
        <v/>
      </c>
      <c r="E730" s="17"/>
      <c r="F730" s="18"/>
      <c r="G730" s="19"/>
      <c r="H730" s="15"/>
      <c r="I730" s="17"/>
      <c r="J730" s="24" t="str">
        <f t="shared" si="1"/>
        <v/>
      </c>
      <c r="K730" s="17"/>
    </row>
    <row r="731" ht="15.0" customHeight="1">
      <c r="A731" s="19"/>
      <c r="B731" s="15"/>
      <c r="C731" s="26" t="str">
        <f t="array" ref="C731">IFERROR(INDEX('Patrimônio'!$C$7:$C$1003,MATCH($B731,'Patrimônio'!$A$7:$A$1003,0)),"")</f>
        <v/>
      </c>
      <c r="D731" s="26" t="str">
        <f t="array" ref="D731">IFERROR(INDEX('Patrimônio'!$B$7:$B$1003,MATCH($B731,'Patrimônio'!$A$7:$A$1003,0)),"")</f>
        <v/>
      </c>
      <c r="E731" s="17"/>
      <c r="F731" s="18"/>
      <c r="G731" s="19"/>
      <c r="H731" s="15"/>
      <c r="I731" s="17"/>
      <c r="J731" s="24" t="str">
        <f t="shared" si="1"/>
        <v/>
      </c>
      <c r="K731" s="17"/>
    </row>
    <row r="732" ht="15.0" customHeight="1">
      <c r="A732" s="19"/>
      <c r="B732" s="15"/>
      <c r="C732" s="26" t="str">
        <f t="array" ref="C732">IFERROR(INDEX('Patrimônio'!$C$7:$C$1003,MATCH($B732,'Patrimônio'!$A$7:$A$1003,0)),"")</f>
        <v/>
      </c>
      <c r="D732" s="26" t="str">
        <f t="array" ref="D732">IFERROR(INDEX('Patrimônio'!$B$7:$B$1003,MATCH($B732,'Patrimônio'!$A$7:$A$1003,0)),"")</f>
        <v/>
      </c>
      <c r="E732" s="17"/>
      <c r="F732" s="18"/>
      <c r="G732" s="19"/>
      <c r="H732" s="15"/>
      <c r="I732" s="17"/>
      <c r="J732" s="24" t="str">
        <f t="shared" si="1"/>
        <v/>
      </c>
      <c r="K732" s="17"/>
    </row>
    <row r="733" ht="15.0" customHeight="1">
      <c r="A733" s="19"/>
      <c r="B733" s="15"/>
      <c r="C733" s="26" t="str">
        <f t="array" ref="C733">IFERROR(INDEX('Patrimônio'!$C$7:$C$1003,MATCH($B733,'Patrimônio'!$A$7:$A$1003,0)),"")</f>
        <v/>
      </c>
      <c r="D733" s="26" t="str">
        <f t="array" ref="D733">IFERROR(INDEX('Patrimônio'!$B$7:$B$1003,MATCH($B733,'Patrimônio'!$A$7:$A$1003,0)),"")</f>
        <v/>
      </c>
      <c r="E733" s="17"/>
      <c r="F733" s="18"/>
      <c r="G733" s="19"/>
      <c r="H733" s="15"/>
      <c r="I733" s="17"/>
      <c r="J733" s="24" t="str">
        <f t="shared" si="1"/>
        <v/>
      </c>
      <c r="K733" s="17"/>
    </row>
    <row r="734" ht="15.0" customHeight="1">
      <c r="A734" s="19"/>
      <c r="B734" s="15"/>
      <c r="C734" s="26" t="str">
        <f t="array" ref="C734">IFERROR(INDEX('Patrimônio'!$C$7:$C$1003,MATCH($B734,'Patrimônio'!$A$7:$A$1003,0)),"")</f>
        <v/>
      </c>
      <c r="D734" s="26" t="str">
        <f t="array" ref="D734">IFERROR(INDEX('Patrimônio'!$B$7:$B$1003,MATCH($B734,'Patrimônio'!$A$7:$A$1003,0)),"")</f>
        <v/>
      </c>
      <c r="E734" s="17"/>
      <c r="F734" s="18"/>
      <c r="G734" s="19"/>
      <c r="H734" s="15"/>
      <c r="I734" s="17"/>
      <c r="J734" s="24" t="str">
        <f t="shared" si="1"/>
        <v/>
      </c>
      <c r="K734" s="17"/>
    </row>
    <row r="735" ht="15.0" customHeight="1">
      <c r="A735" s="19"/>
      <c r="B735" s="15"/>
      <c r="C735" s="26" t="str">
        <f t="array" ref="C735">IFERROR(INDEX('Patrimônio'!$C$7:$C$1003,MATCH($B735,'Patrimônio'!$A$7:$A$1003,0)),"")</f>
        <v/>
      </c>
      <c r="D735" s="26" t="str">
        <f t="array" ref="D735">IFERROR(INDEX('Patrimônio'!$B$7:$B$1003,MATCH($B735,'Patrimônio'!$A$7:$A$1003,0)),"")</f>
        <v/>
      </c>
      <c r="E735" s="17"/>
      <c r="F735" s="18"/>
      <c r="G735" s="19"/>
      <c r="H735" s="15"/>
      <c r="I735" s="17"/>
      <c r="J735" s="24" t="str">
        <f t="shared" si="1"/>
        <v/>
      </c>
      <c r="K735" s="17"/>
    </row>
    <row r="736" ht="15.0" customHeight="1">
      <c r="A736" s="19"/>
      <c r="B736" s="15"/>
      <c r="C736" s="26" t="str">
        <f t="array" ref="C736">IFERROR(INDEX('Patrimônio'!$C$7:$C$1003,MATCH($B736,'Patrimônio'!$A$7:$A$1003,0)),"")</f>
        <v/>
      </c>
      <c r="D736" s="26" t="str">
        <f t="array" ref="D736">IFERROR(INDEX('Patrimônio'!$B$7:$B$1003,MATCH($B736,'Patrimônio'!$A$7:$A$1003,0)),"")</f>
        <v/>
      </c>
      <c r="E736" s="17"/>
      <c r="F736" s="18"/>
      <c r="G736" s="19"/>
      <c r="H736" s="15"/>
      <c r="I736" s="17"/>
      <c r="J736" s="24" t="str">
        <f t="shared" si="1"/>
        <v/>
      </c>
      <c r="K736" s="17"/>
    </row>
    <row r="737" ht="15.0" customHeight="1">
      <c r="A737" s="19"/>
      <c r="B737" s="15"/>
      <c r="C737" s="26" t="str">
        <f t="array" ref="C737">IFERROR(INDEX('Patrimônio'!$C$7:$C$1003,MATCH($B737,'Patrimônio'!$A$7:$A$1003,0)),"")</f>
        <v/>
      </c>
      <c r="D737" s="26" t="str">
        <f t="array" ref="D737">IFERROR(INDEX('Patrimônio'!$B$7:$B$1003,MATCH($B737,'Patrimônio'!$A$7:$A$1003,0)),"")</f>
        <v/>
      </c>
      <c r="E737" s="17"/>
      <c r="F737" s="18"/>
      <c r="G737" s="19"/>
      <c r="H737" s="15"/>
      <c r="I737" s="17"/>
      <c r="J737" s="24" t="str">
        <f t="shared" si="1"/>
        <v/>
      </c>
      <c r="K737" s="17"/>
    </row>
    <row r="738" ht="15.0" customHeight="1">
      <c r="A738" s="19"/>
      <c r="B738" s="15"/>
      <c r="C738" s="26" t="str">
        <f t="array" ref="C738">IFERROR(INDEX('Patrimônio'!$C$7:$C$1003,MATCH($B738,'Patrimônio'!$A$7:$A$1003,0)),"")</f>
        <v/>
      </c>
      <c r="D738" s="26" t="str">
        <f t="array" ref="D738">IFERROR(INDEX('Patrimônio'!$B$7:$B$1003,MATCH($B738,'Patrimônio'!$A$7:$A$1003,0)),"")</f>
        <v/>
      </c>
      <c r="E738" s="17"/>
      <c r="F738" s="18"/>
      <c r="G738" s="19"/>
      <c r="H738" s="15"/>
      <c r="I738" s="17"/>
      <c r="J738" s="24" t="str">
        <f t="shared" si="1"/>
        <v/>
      </c>
      <c r="K738" s="17"/>
    </row>
    <row r="739" ht="15.0" customHeight="1">
      <c r="A739" s="19"/>
      <c r="B739" s="15"/>
      <c r="C739" s="26" t="str">
        <f t="array" ref="C739">IFERROR(INDEX('Patrimônio'!$C$7:$C$1003,MATCH($B739,'Patrimônio'!$A$7:$A$1003,0)),"")</f>
        <v/>
      </c>
      <c r="D739" s="26" t="str">
        <f t="array" ref="D739">IFERROR(INDEX('Patrimônio'!$B$7:$B$1003,MATCH($B739,'Patrimônio'!$A$7:$A$1003,0)),"")</f>
        <v/>
      </c>
      <c r="E739" s="17"/>
      <c r="F739" s="18"/>
      <c r="G739" s="19"/>
      <c r="H739" s="15"/>
      <c r="I739" s="17"/>
      <c r="J739" s="24" t="str">
        <f t="shared" si="1"/>
        <v/>
      </c>
      <c r="K739" s="17"/>
    </row>
    <row r="740" ht="15.0" customHeight="1">
      <c r="A740" s="19"/>
      <c r="B740" s="15"/>
      <c r="C740" s="26" t="str">
        <f t="array" ref="C740">IFERROR(INDEX('Patrimônio'!$C$7:$C$1003,MATCH($B740,'Patrimônio'!$A$7:$A$1003,0)),"")</f>
        <v/>
      </c>
      <c r="D740" s="26" t="str">
        <f t="array" ref="D740">IFERROR(INDEX('Patrimônio'!$B$7:$B$1003,MATCH($B740,'Patrimônio'!$A$7:$A$1003,0)),"")</f>
        <v/>
      </c>
      <c r="E740" s="17"/>
      <c r="F740" s="18"/>
      <c r="G740" s="19"/>
      <c r="H740" s="15"/>
      <c r="I740" s="17"/>
      <c r="J740" s="24" t="str">
        <f t="shared" si="1"/>
        <v/>
      </c>
      <c r="K740" s="17"/>
    </row>
    <row r="741" ht="15.0" customHeight="1">
      <c r="A741" s="19"/>
      <c r="B741" s="15"/>
      <c r="C741" s="26" t="str">
        <f t="array" ref="C741">IFERROR(INDEX('Patrimônio'!$C$7:$C$1003,MATCH($B741,'Patrimônio'!$A$7:$A$1003,0)),"")</f>
        <v/>
      </c>
      <c r="D741" s="26" t="str">
        <f t="array" ref="D741">IFERROR(INDEX('Patrimônio'!$B$7:$B$1003,MATCH($B741,'Patrimônio'!$A$7:$A$1003,0)),"")</f>
        <v/>
      </c>
      <c r="E741" s="17"/>
      <c r="F741" s="18"/>
      <c r="G741" s="19"/>
      <c r="H741" s="15"/>
      <c r="I741" s="17"/>
      <c r="J741" s="24" t="str">
        <f t="shared" si="1"/>
        <v/>
      </c>
      <c r="K741" s="17"/>
    </row>
    <row r="742" ht="15.0" customHeight="1">
      <c r="A742" s="19"/>
      <c r="B742" s="15"/>
      <c r="C742" s="26" t="str">
        <f t="array" ref="C742">IFERROR(INDEX('Patrimônio'!$C$7:$C$1003,MATCH($B742,'Patrimônio'!$A$7:$A$1003,0)),"")</f>
        <v/>
      </c>
      <c r="D742" s="26" t="str">
        <f t="array" ref="D742">IFERROR(INDEX('Patrimônio'!$B$7:$B$1003,MATCH($B742,'Patrimônio'!$A$7:$A$1003,0)),"")</f>
        <v/>
      </c>
      <c r="E742" s="17"/>
      <c r="F742" s="18"/>
      <c r="G742" s="19"/>
      <c r="H742" s="15"/>
      <c r="I742" s="17"/>
      <c r="J742" s="24" t="str">
        <f t="shared" si="1"/>
        <v/>
      </c>
      <c r="K742" s="17"/>
    </row>
    <row r="743" ht="15.0" customHeight="1">
      <c r="A743" s="19"/>
      <c r="B743" s="15"/>
      <c r="C743" s="26" t="str">
        <f t="array" ref="C743">IFERROR(INDEX('Patrimônio'!$C$7:$C$1003,MATCH($B743,'Patrimônio'!$A$7:$A$1003,0)),"")</f>
        <v/>
      </c>
      <c r="D743" s="26" t="str">
        <f t="array" ref="D743">IFERROR(INDEX('Patrimônio'!$B$7:$B$1003,MATCH($B743,'Patrimônio'!$A$7:$A$1003,0)),"")</f>
        <v/>
      </c>
      <c r="E743" s="17"/>
      <c r="F743" s="18"/>
      <c r="G743" s="19"/>
      <c r="H743" s="15"/>
      <c r="I743" s="17"/>
      <c r="J743" s="24" t="str">
        <f t="shared" si="1"/>
        <v/>
      </c>
      <c r="K743" s="17"/>
    </row>
    <row r="744" ht="15.0" customHeight="1">
      <c r="A744" s="19"/>
      <c r="B744" s="15"/>
      <c r="C744" s="26" t="str">
        <f t="array" ref="C744">IFERROR(INDEX('Patrimônio'!$C$7:$C$1003,MATCH($B744,'Patrimônio'!$A$7:$A$1003,0)),"")</f>
        <v/>
      </c>
      <c r="D744" s="26" t="str">
        <f t="array" ref="D744">IFERROR(INDEX('Patrimônio'!$B$7:$B$1003,MATCH($B744,'Patrimônio'!$A$7:$A$1003,0)),"")</f>
        <v/>
      </c>
      <c r="E744" s="17"/>
      <c r="F744" s="18"/>
      <c r="G744" s="19"/>
      <c r="H744" s="15"/>
      <c r="I744" s="17"/>
      <c r="J744" s="24" t="str">
        <f t="shared" si="1"/>
        <v/>
      </c>
      <c r="K744" s="17"/>
    </row>
    <row r="745" ht="15.0" customHeight="1">
      <c r="A745" s="19"/>
      <c r="B745" s="15"/>
      <c r="C745" s="26" t="str">
        <f t="array" ref="C745">IFERROR(INDEX('Patrimônio'!$C$7:$C$1003,MATCH($B745,'Patrimônio'!$A$7:$A$1003,0)),"")</f>
        <v/>
      </c>
      <c r="D745" s="26" t="str">
        <f t="array" ref="D745">IFERROR(INDEX('Patrimônio'!$B$7:$B$1003,MATCH($B745,'Patrimônio'!$A$7:$A$1003,0)),"")</f>
        <v/>
      </c>
      <c r="E745" s="17"/>
      <c r="F745" s="18"/>
      <c r="G745" s="19"/>
      <c r="H745" s="15"/>
      <c r="I745" s="17"/>
      <c r="J745" s="24" t="str">
        <f t="shared" si="1"/>
        <v/>
      </c>
      <c r="K745" s="17"/>
    </row>
    <row r="746" ht="15.0" customHeight="1">
      <c r="A746" s="19"/>
      <c r="B746" s="15"/>
      <c r="C746" s="26" t="str">
        <f t="array" ref="C746">IFERROR(INDEX('Patrimônio'!$C$7:$C$1003,MATCH($B746,'Patrimônio'!$A$7:$A$1003,0)),"")</f>
        <v/>
      </c>
      <c r="D746" s="26" t="str">
        <f t="array" ref="D746">IFERROR(INDEX('Patrimônio'!$B$7:$B$1003,MATCH($B746,'Patrimônio'!$A$7:$A$1003,0)),"")</f>
        <v/>
      </c>
      <c r="E746" s="17"/>
      <c r="F746" s="18"/>
      <c r="G746" s="19"/>
      <c r="H746" s="15"/>
      <c r="I746" s="17"/>
      <c r="J746" s="24" t="str">
        <f t="shared" si="1"/>
        <v/>
      </c>
      <c r="K746" s="17"/>
    </row>
    <row r="747" ht="15.0" customHeight="1">
      <c r="A747" s="19"/>
      <c r="B747" s="15"/>
      <c r="C747" s="26" t="str">
        <f t="array" ref="C747">IFERROR(INDEX('Patrimônio'!$C$7:$C$1003,MATCH($B747,'Patrimônio'!$A$7:$A$1003,0)),"")</f>
        <v/>
      </c>
      <c r="D747" s="26" t="str">
        <f t="array" ref="D747">IFERROR(INDEX('Patrimônio'!$B$7:$B$1003,MATCH($B747,'Patrimônio'!$A$7:$A$1003,0)),"")</f>
        <v/>
      </c>
      <c r="E747" s="17"/>
      <c r="F747" s="18"/>
      <c r="G747" s="19"/>
      <c r="H747" s="15"/>
      <c r="I747" s="17"/>
      <c r="J747" s="24" t="str">
        <f t="shared" si="1"/>
        <v/>
      </c>
      <c r="K747" s="17"/>
    </row>
    <row r="748" ht="15.0" customHeight="1">
      <c r="A748" s="19"/>
      <c r="B748" s="15"/>
      <c r="C748" s="26" t="str">
        <f t="array" ref="C748">IFERROR(INDEX('Patrimônio'!$C$7:$C$1003,MATCH($B748,'Patrimônio'!$A$7:$A$1003,0)),"")</f>
        <v/>
      </c>
      <c r="D748" s="26" t="str">
        <f t="array" ref="D748">IFERROR(INDEX('Patrimônio'!$B$7:$B$1003,MATCH($B748,'Patrimônio'!$A$7:$A$1003,0)),"")</f>
        <v/>
      </c>
      <c r="E748" s="17"/>
      <c r="F748" s="18"/>
      <c r="G748" s="19"/>
      <c r="H748" s="15"/>
      <c r="I748" s="17"/>
      <c r="J748" s="24" t="str">
        <f t="shared" si="1"/>
        <v/>
      </c>
      <c r="K748" s="17"/>
    </row>
    <row r="749" ht="15.0" customHeight="1">
      <c r="A749" s="19"/>
      <c r="B749" s="15"/>
      <c r="C749" s="26" t="str">
        <f t="array" ref="C749">IFERROR(INDEX('Patrimônio'!$C$7:$C$1003,MATCH($B749,'Patrimônio'!$A$7:$A$1003,0)),"")</f>
        <v/>
      </c>
      <c r="D749" s="26" t="str">
        <f t="array" ref="D749">IFERROR(INDEX('Patrimônio'!$B$7:$B$1003,MATCH($B749,'Patrimônio'!$A$7:$A$1003,0)),"")</f>
        <v/>
      </c>
      <c r="E749" s="17"/>
      <c r="F749" s="18"/>
      <c r="G749" s="19"/>
      <c r="H749" s="15"/>
      <c r="I749" s="17"/>
      <c r="J749" s="24" t="str">
        <f t="shared" si="1"/>
        <v/>
      </c>
      <c r="K749" s="17"/>
    </row>
    <row r="750" ht="15.0" customHeight="1">
      <c r="A750" s="19"/>
      <c r="B750" s="15"/>
      <c r="C750" s="26" t="str">
        <f t="array" ref="C750">IFERROR(INDEX('Patrimônio'!$C$7:$C$1003,MATCH($B750,'Patrimônio'!$A$7:$A$1003,0)),"")</f>
        <v/>
      </c>
      <c r="D750" s="26" t="str">
        <f t="array" ref="D750">IFERROR(INDEX('Patrimônio'!$B$7:$B$1003,MATCH($B750,'Patrimônio'!$A$7:$A$1003,0)),"")</f>
        <v/>
      </c>
      <c r="E750" s="17"/>
      <c r="F750" s="18"/>
      <c r="G750" s="19"/>
      <c r="H750" s="15"/>
      <c r="I750" s="17"/>
      <c r="J750" s="24" t="str">
        <f t="shared" si="1"/>
        <v/>
      </c>
      <c r="K750" s="17"/>
    </row>
    <row r="751" ht="15.0" customHeight="1">
      <c r="A751" s="19"/>
      <c r="B751" s="15"/>
      <c r="C751" s="26" t="str">
        <f t="array" ref="C751">IFERROR(INDEX('Patrimônio'!$C$7:$C$1003,MATCH($B751,'Patrimônio'!$A$7:$A$1003,0)),"")</f>
        <v/>
      </c>
      <c r="D751" s="26" t="str">
        <f t="array" ref="D751">IFERROR(INDEX('Patrimônio'!$B$7:$B$1003,MATCH($B751,'Patrimônio'!$A$7:$A$1003,0)),"")</f>
        <v/>
      </c>
      <c r="E751" s="17"/>
      <c r="F751" s="18"/>
      <c r="G751" s="19"/>
      <c r="H751" s="15"/>
      <c r="I751" s="17"/>
      <c r="J751" s="24" t="str">
        <f t="shared" si="1"/>
        <v/>
      </c>
      <c r="K751" s="17"/>
    </row>
    <row r="752" ht="15.0" customHeight="1">
      <c r="A752" s="19"/>
      <c r="B752" s="15"/>
      <c r="C752" s="26" t="str">
        <f t="array" ref="C752">IFERROR(INDEX('Patrimônio'!$C$7:$C$1003,MATCH($B752,'Patrimônio'!$A$7:$A$1003,0)),"")</f>
        <v/>
      </c>
      <c r="D752" s="26" t="str">
        <f t="array" ref="D752">IFERROR(INDEX('Patrimônio'!$B$7:$B$1003,MATCH($B752,'Patrimônio'!$A$7:$A$1003,0)),"")</f>
        <v/>
      </c>
      <c r="E752" s="17"/>
      <c r="F752" s="18"/>
      <c r="G752" s="19"/>
      <c r="H752" s="15"/>
      <c r="I752" s="17"/>
      <c r="J752" s="24" t="str">
        <f t="shared" si="1"/>
        <v/>
      </c>
      <c r="K752" s="17"/>
    </row>
    <row r="753" ht="15.0" customHeight="1">
      <c r="A753" s="19"/>
      <c r="B753" s="15"/>
      <c r="C753" s="26" t="str">
        <f t="array" ref="C753">IFERROR(INDEX('Patrimônio'!$C$7:$C$1003,MATCH($B753,'Patrimônio'!$A$7:$A$1003,0)),"")</f>
        <v/>
      </c>
      <c r="D753" s="26" t="str">
        <f t="array" ref="D753">IFERROR(INDEX('Patrimônio'!$B$7:$B$1003,MATCH($B753,'Patrimônio'!$A$7:$A$1003,0)),"")</f>
        <v/>
      </c>
      <c r="E753" s="17"/>
      <c r="F753" s="18"/>
      <c r="G753" s="19"/>
      <c r="H753" s="15"/>
      <c r="I753" s="17"/>
      <c r="J753" s="24" t="str">
        <f t="shared" si="1"/>
        <v/>
      </c>
      <c r="K753" s="17"/>
    </row>
    <row r="754" ht="15.0" customHeight="1">
      <c r="A754" s="19"/>
      <c r="B754" s="15"/>
      <c r="C754" s="26" t="str">
        <f t="array" ref="C754">IFERROR(INDEX('Patrimônio'!$C$7:$C$1003,MATCH($B754,'Patrimônio'!$A$7:$A$1003,0)),"")</f>
        <v/>
      </c>
      <c r="D754" s="26" t="str">
        <f t="array" ref="D754">IFERROR(INDEX('Patrimônio'!$B$7:$B$1003,MATCH($B754,'Patrimônio'!$A$7:$A$1003,0)),"")</f>
        <v/>
      </c>
      <c r="E754" s="17"/>
      <c r="F754" s="18"/>
      <c r="G754" s="19"/>
      <c r="H754" s="15"/>
      <c r="I754" s="17"/>
      <c r="J754" s="24" t="str">
        <f t="shared" si="1"/>
        <v/>
      </c>
      <c r="K754" s="17"/>
    </row>
    <row r="755" ht="15.0" customHeight="1">
      <c r="A755" s="19"/>
      <c r="B755" s="15"/>
      <c r="C755" s="26" t="str">
        <f t="array" ref="C755">IFERROR(INDEX('Patrimônio'!$C$7:$C$1003,MATCH($B755,'Patrimônio'!$A$7:$A$1003,0)),"")</f>
        <v/>
      </c>
      <c r="D755" s="26" t="str">
        <f t="array" ref="D755">IFERROR(INDEX('Patrimônio'!$B$7:$B$1003,MATCH($B755,'Patrimônio'!$A$7:$A$1003,0)),"")</f>
        <v/>
      </c>
      <c r="E755" s="17"/>
      <c r="F755" s="18"/>
      <c r="G755" s="19"/>
      <c r="H755" s="15"/>
      <c r="I755" s="17"/>
      <c r="J755" s="24" t="str">
        <f t="shared" si="1"/>
        <v/>
      </c>
      <c r="K755" s="17"/>
    </row>
    <row r="756" ht="15.0" customHeight="1">
      <c r="A756" s="19"/>
      <c r="B756" s="15"/>
      <c r="C756" s="26" t="str">
        <f t="array" ref="C756">IFERROR(INDEX('Patrimônio'!$C$7:$C$1003,MATCH($B756,'Patrimônio'!$A$7:$A$1003,0)),"")</f>
        <v/>
      </c>
      <c r="D756" s="26" t="str">
        <f t="array" ref="D756">IFERROR(INDEX('Patrimônio'!$B$7:$B$1003,MATCH($B756,'Patrimônio'!$A$7:$A$1003,0)),"")</f>
        <v/>
      </c>
      <c r="E756" s="17"/>
      <c r="F756" s="18"/>
      <c r="G756" s="19"/>
      <c r="H756" s="15"/>
      <c r="I756" s="17"/>
      <c r="J756" s="24" t="str">
        <f t="shared" si="1"/>
        <v/>
      </c>
      <c r="K756" s="17"/>
    </row>
    <row r="757" ht="15.0" customHeight="1">
      <c r="A757" s="19"/>
      <c r="B757" s="15"/>
      <c r="C757" s="26" t="str">
        <f t="array" ref="C757">IFERROR(INDEX('Patrimônio'!$C$7:$C$1003,MATCH($B757,'Patrimônio'!$A$7:$A$1003,0)),"")</f>
        <v/>
      </c>
      <c r="D757" s="26" t="str">
        <f t="array" ref="D757">IFERROR(INDEX('Patrimônio'!$B$7:$B$1003,MATCH($B757,'Patrimônio'!$A$7:$A$1003,0)),"")</f>
        <v/>
      </c>
      <c r="E757" s="17"/>
      <c r="F757" s="18"/>
      <c r="G757" s="19"/>
      <c r="H757" s="15"/>
      <c r="I757" s="17"/>
      <c r="J757" s="24" t="str">
        <f t="shared" si="1"/>
        <v/>
      </c>
      <c r="K757" s="17"/>
    </row>
    <row r="758" ht="15.0" customHeight="1">
      <c r="A758" s="19"/>
      <c r="B758" s="15"/>
      <c r="C758" s="26" t="str">
        <f t="array" ref="C758">IFERROR(INDEX('Patrimônio'!$C$7:$C$1003,MATCH($B758,'Patrimônio'!$A$7:$A$1003,0)),"")</f>
        <v/>
      </c>
      <c r="D758" s="26" t="str">
        <f t="array" ref="D758">IFERROR(INDEX('Patrimônio'!$B$7:$B$1003,MATCH($B758,'Patrimônio'!$A$7:$A$1003,0)),"")</f>
        <v/>
      </c>
      <c r="E758" s="17"/>
      <c r="F758" s="18"/>
      <c r="G758" s="19"/>
      <c r="H758" s="15"/>
      <c r="I758" s="17"/>
      <c r="J758" s="24" t="str">
        <f t="shared" si="1"/>
        <v/>
      </c>
      <c r="K758" s="17"/>
    </row>
    <row r="759" ht="15.0" customHeight="1">
      <c r="A759" s="19"/>
      <c r="B759" s="15"/>
      <c r="C759" s="26" t="str">
        <f t="array" ref="C759">IFERROR(INDEX('Patrimônio'!$C$7:$C$1003,MATCH($B759,'Patrimônio'!$A$7:$A$1003,0)),"")</f>
        <v/>
      </c>
      <c r="D759" s="26" t="str">
        <f t="array" ref="D759">IFERROR(INDEX('Patrimônio'!$B$7:$B$1003,MATCH($B759,'Patrimônio'!$A$7:$A$1003,0)),"")</f>
        <v/>
      </c>
      <c r="E759" s="17"/>
      <c r="F759" s="18"/>
      <c r="G759" s="19"/>
      <c r="H759" s="15"/>
      <c r="I759" s="17"/>
      <c r="J759" s="24" t="str">
        <f t="shared" si="1"/>
        <v/>
      </c>
      <c r="K759" s="17"/>
    </row>
    <row r="760" ht="15.0" customHeight="1">
      <c r="A760" s="19"/>
      <c r="B760" s="15"/>
      <c r="C760" s="26" t="str">
        <f t="array" ref="C760">IFERROR(INDEX('Patrimônio'!$C$7:$C$1003,MATCH($B760,'Patrimônio'!$A$7:$A$1003,0)),"")</f>
        <v/>
      </c>
      <c r="D760" s="26" t="str">
        <f t="array" ref="D760">IFERROR(INDEX('Patrimônio'!$B$7:$B$1003,MATCH($B760,'Patrimônio'!$A$7:$A$1003,0)),"")</f>
        <v/>
      </c>
      <c r="E760" s="17"/>
      <c r="F760" s="18"/>
      <c r="G760" s="19"/>
      <c r="H760" s="15"/>
      <c r="I760" s="17"/>
      <c r="J760" s="24" t="str">
        <f t="shared" si="1"/>
        <v/>
      </c>
      <c r="K760" s="17"/>
    </row>
    <row r="761" ht="15.0" customHeight="1">
      <c r="A761" s="19"/>
      <c r="B761" s="15"/>
      <c r="C761" s="26" t="str">
        <f t="array" ref="C761">IFERROR(INDEX('Patrimônio'!$C$7:$C$1003,MATCH($B761,'Patrimônio'!$A$7:$A$1003,0)),"")</f>
        <v/>
      </c>
      <c r="D761" s="26" t="str">
        <f t="array" ref="D761">IFERROR(INDEX('Patrimônio'!$B$7:$B$1003,MATCH($B761,'Patrimônio'!$A$7:$A$1003,0)),"")</f>
        <v/>
      </c>
      <c r="E761" s="17"/>
      <c r="F761" s="18"/>
      <c r="G761" s="19"/>
      <c r="H761" s="15"/>
      <c r="I761" s="17"/>
      <c r="J761" s="24" t="str">
        <f t="shared" si="1"/>
        <v/>
      </c>
      <c r="K761" s="17"/>
    </row>
    <row r="762" ht="15.0" customHeight="1">
      <c r="A762" s="19"/>
      <c r="B762" s="15"/>
      <c r="C762" s="26" t="str">
        <f t="array" ref="C762">IFERROR(INDEX('Patrimônio'!$C$7:$C$1003,MATCH($B762,'Patrimônio'!$A$7:$A$1003,0)),"")</f>
        <v/>
      </c>
      <c r="D762" s="26" t="str">
        <f t="array" ref="D762">IFERROR(INDEX('Patrimônio'!$B$7:$B$1003,MATCH($B762,'Patrimônio'!$A$7:$A$1003,0)),"")</f>
        <v/>
      </c>
      <c r="E762" s="17"/>
      <c r="F762" s="18"/>
      <c r="G762" s="19"/>
      <c r="H762" s="15"/>
      <c r="I762" s="17"/>
      <c r="J762" s="24" t="str">
        <f t="shared" si="1"/>
        <v/>
      </c>
      <c r="K762" s="17"/>
    </row>
    <row r="763" ht="15.0" customHeight="1">
      <c r="A763" s="19"/>
      <c r="B763" s="15"/>
      <c r="C763" s="26" t="str">
        <f t="array" ref="C763">IFERROR(INDEX('Patrimônio'!$C$7:$C$1003,MATCH($B763,'Patrimônio'!$A$7:$A$1003,0)),"")</f>
        <v/>
      </c>
      <c r="D763" s="26" t="str">
        <f t="array" ref="D763">IFERROR(INDEX('Patrimônio'!$B$7:$B$1003,MATCH($B763,'Patrimônio'!$A$7:$A$1003,0)),"")</f>
        <v/>
      </c>
      <c r="E763" s="17"/>
      <c r="F763" s="18"/>
      <c r="G763" s="19"/>
      <c r="H763" s="15"/>
      <c r="I763" s="17"/>
      <c r="J763" s="24" t="str">
        <f t="shared" si="1"/>
        <v/>
      </c>
      <c r="K763" s="17"/>
    </row>
    <row r="764" ht="15.0" customHeight="1">
      <c r="A764" s="19"/>
      <c r="B764" s="15"/>
      <c r="C764" s="26" t="str">
        <f t="array" ref="C764">IFERROR(INDEX('Patrimônio'!$C$7:$C$1003,MATCH($B764,'Patrimônio'!$A$7:$A$1003,0)),"")</f>
        <v/>
      </c>
      <c r="D764" s="26" t="str">
        <f t="array" ref="D764">IFERROR(INDEX('Patrimônio'!$B$7:$B$1003,MATCH($B764,'Patrimônio'!$A$7:$A$1003,0)),"")</f>
        <v/>
      </c>
      <c r="E764" s="17"/>
      <c r="F764" s="18"/>
      <c r="G764" s="19"/>
      <c r="H764" s="15"/>
      <c r="I764" s="17"/>
      <c r="J764" s="24" t="str">
        <f t="shared" si="1"/>
        <v/>
      </c>
      <c r="K764" s="17"/>
    </row>
    <row r="765" ht="15.0" customHeight="1">
      <c r="A765" s="19"/>
      <c r="B765" s="15"/>
      <c r="C765" s="26" t="str">
        <f t="array" ref="C765">IFERROR(INDEX('Patrimônio'!$C$7:$C$1003,MATCH($B765,'Patrimônio'!$A$7:$A$1003,0)),"")</f>
        <v/>
      </c>
      <c r="D765" s="26" t="str">
        <f t="array" ref="D765">IFERROR(INDEX('Patrimônio'!$B$7:$B$1003,MATCH($B765,'Patrimônio'!$A$7:$A$1003,0)),"")</f>
        <v/>
      </c>
      <c r="E765" s="17"/>
      <c r="F765" s="18"/>
      <c r="G765" s="19"/>
      <c r="H765" s="15"/>
      <c r="I765" s="17"/>
      <c r="J765" s="24" t="str">
        <f t="shared" si="1"/>
        <v/>
      </c>
      <c r="K765" s="17"/>
    </row>
    <row r="766" ht="15.0" customHeight="1">
      <c r="A766" s="19"/>
      <c r="B766" s="15"/>
      <c r="C766" s="26" t="str">
        <f t="array" ref="C766">IFERROR(INDEX('Patrimônio'!$C$7:$C$1003,MATCH($B766,'Patrimônio'!$A$7:$A$1003,0)),"")</f>
        <v/>
      </c>
      <c r="D766" s="26" t="str">
        <f t="array" ref="D766">IFERROR(INDEX('Patrimônio'!$B$7:$B$1003,MATCH($B766,'Patrimônio'!$A$7:$A$1003,0)),"")</f>
        <v/>
      </c>
      <c r="E766" s="17"/>
      <c r="F766" s="18"/>
      <c r="G766" s="19"/>
      <c r="H766" s="15"/>
      <c r="I766" s="17"/>
      <c r="J766" s="24" t="str">
        <f t="shared" si="1"/>
        <v/>
      </c>
      <c r="K766" s="17"/>
    </row>
    <row r="767" ht="15.0" customHeight="1">
      <c r="A767" s="19"/>
      <c r="B767" s="15"/>
      <c r="C767" s="26" t="str">
        <f t="array" ref="C767">IFERROR(INDEX('Patrimônio'!$C$7:$C$1003,MATCH($B767,'Patrimônio'!$A$7:$A$1003,0)),"")</f>
        <v/>
      </c>
      <c r="D767" s="26" t="str">
        <f t="array" ref="D767">IFERROR(INDEX('Patrimônio'!$B$7:$B$1003,MATCH($B767,'Patrimônio'!$A$7:$A$1003,0)),"")</f>
        <v/>
      </c>
      <c r="E767" s="17"/>
      <c r="F767" s="18"/>
      <c r="G767" s="19"/>
      <c r="H767" s="15"/>
      <c r="I767" s="17"/>
      <c r="J767" s="24" t="str">
        <f t="shared" si="1"/>
        <v/>
      </c>
      <c r="K767" s="17"/>
    </row>
    <row r="768" ht="15.0" customHeight="1">
      <c r="A768" s="19"/>
      <c r="B768" s="15"/>
      <c r="C768" s="26" t="str">
        <f t="array" ref="C768">IFERROR(INDEX('Patrimônio'!$C$7:$C$1003,MATCH($B768,'Patrimônio'!$A$7:$A$1003,0)),"")</f>
        <v/>
      </c>
      <c r="D768" s="26" t="str">
        <f t="array" ref="D768">IFERROR(INDEX('Patrimônio'!$B$7:$B$1003,MATCH($B768,'Patrimônio'!$A$7:$A$1003,0)),"")</f>
        <v/>
      </c>
      <c r="E768" s="17"/>
      <c r="F768" s="18"/>
      <c r="G768" s="19"/>
      <c r="H768" s="15"/>
      <c r="I768" s="17"/>
      <c r="J768" s="24" t="str">
        <f t="shared" si="1"/>
        <v/>
      </c>
      <c r="K768" s="17"/>
    </row>
    <row r="769" ht="15.0" customHeight="1">
      <c r="A769" s="19"/>
      <c r="B769" s="15"/>
      <c r="C769" s="26" t="str">
        <f t="array" ref="C769">IFERROR(INDEX('Patrimônio'!$C$7:$C$1003,MATCH($B769,'Patrimônio'!$A$7:$A$1003,0)),"")</f>
        <v/>
      </c>
      <c r="D769" s="26" t="str">
        <f t="array" ref="D769">IFERROR(INDEX('Patrimônio'!$B$7:$B$1003,MATCH($B769,'Patrimônio'!$A$7:$A$1003,0)),"")</f>
        <v/>
      </c>
      <c r="E769" s="17"/>
      <c r="F769" s="18"/>
      <c r="G769" s="19"/>
      <c r="H769" s="15"/>
      <c r="I769" s="17"/>
      <c r="J769" s="24" t="str">
        <f t="shared" si="1"/>
        <v/>
      </c>
      <c r="K769" s="17"/>
    </row>
    <row r="770" ht="15.0" customHeight="1">
      <c r="A770" s="19"/>
      <c r="B770" s="15"/>
      <c r="C770" s="26" t="str">
        <f t="array" ref="C770">IFERROR(INDEX('Patrimônio'!$C$7:$C$1003,MATCH($B770,'Patrimônio'!$A$7:$A$1003,0)),"")</f>
        <v/>
      </c>
      <c r="D770" s="26" t="str">
        <f t="array" ref="D770">IFERROR(INDEX('Patrimônio'!$B$7:$B$1003,MATCH($B770,'Patrimônio'!$A$7:$A$1003,0)),"")</f>
        <v/>
      </c>
      <c r="E770" s="17"/>
      <c r="F770" s="18"/>
      <c r="G770" s="19"/>
      <c r="H770" s="15"/>
      <c r="I770" s="17"/>
      <c r="J770" s="24" t="str">
        <f t="shared" si="1"/>
        <v/>
      </c>
      <c r="K770" s="17"/>
    </row>
    <row r="771" ht="15.0" customHeight="1">
      <c r="A771" s="19"/>
      <c r="B771" s="15"/>
      <c r="C771" s="26" t="str">
        <f t="array" ref="C771">IFERROR(INDEX('Patrimônio'!$C$7:$C$1003,MATCH($B771,'Patrimônio'!$A$7:$A$1003,0)),"")</f>
        <v/>
      </c>
      <c r="D771" s="26" t="str">
        <f t="array" ref="D771">IFERROR(INDEX('Patrimônio'!$B$7:$B$1003,MATCH($B771,'Patrimônio'!$A$7:$A$1003,0)),"")</f>
        <v/>
      </c>
      <c r="E771" s="17"/>
      <c r="F771" s="18"/>
      <c r="G771" s="19"/>
      <c r="H771" s="15"/>
      <c r="I771" s="17"/>
      <c r="J771" s="24" t="str">
        <f t="shared" si="1"/>
        <v/>
      </c>
      <c r="K771" s="17"/>
    </row>
    <row r="772" ht="15.0" customHeight="1">
      <c r="A772" s="19"/>
      <c r="B772" s="15"/>
      <c r="C772" s="26" t="str">
        <f t="array" ref="C772">IFERROR(INDEX('Patrimônio'!$C$7:$C$1003,MATCH($B772,'Patrimônio'!$A$7:$A$1003,0)),"")</f>
        <v/>
      </c>
      <c r="D772" s="26" t="str">
        <f t="array" ref="D772">IFERROR(INDEX('Patrimônio'!$B$7:$B$1003,MATCH($B772,'Patrimônio'!$A$7:$A$1003,0)),"")</f>
        <v/>
      </c>
      <c r="E772" s="17"/>
      <c r="F772" s="18"/>
      <c r="G772" s="19"/>
      <c r="H772" s="15"/>
      <c r="I772" s="17"/>
      <c r="J772" s="24" t="str">
        <f t="shared" si="1"/>
        <v/>
      </c>
      <c r="K772" s="17"/>
    </row>
    <row r="773" ht="15.0" customHeight="1">
      <c r="A773" s="19"/>
      <c r="B773" s="15"/>
      <c r="C773" s="26" t="str">
        <f t="array" ref="C773">IFERROR(INDEX('Patrimônio'!$C$7:$C$1003,MATCH($B773,'Patrimônio'!$A$7:$A$1003,0)),"")</f>
        <v/>
      </c>
      <c r="D773" s="26" t="str">
        <f t="array" ref="D773">IFERROR(INDEX('Patrimônio'!$B$7:$B$1003,MATCH($B773,'Patrimônio'!$A$7:$A$1003,0)),"")</f>
        <v/>
      </c>
      <c r="E773" s="17"/>
      <c r="F773" s="18"/>
      <c r="G773" s="19"/>
      <c r="H773" s="15"/>
      <c r="I773" s="17"/>
      <c r="J773" s="24" t="str">
        <f t="shared" si="1"/>
        <v/>
      </c>
      <c r="K773" s="17"/>
    </row>
    <row r="774" ht="15.0" customHeight="1">
      <c r="A774" s="19"/>
      <c r="B774" s="15"/>
      <c r="C774" s="26" t="str">
        <f t="array" ref="C774">IFERROR(INDEX('Patrimônio'!$C$7:$C$1003,MATCH($B774,'Patrimônio'!$A$7:$A$1003,0)),"")</f>
        <v/>
      </c>
      <c r="D774" s="26" t="str">
        <f t="array" ref="D774">IFERROR(INDEX('Patrimônio'!$B$7:$B$1003,MATCH($B774,'Patrimônio'!$A$7:$A$1003,0)),"")</f>
        <v/>
      </c>
      <c r="E774" s="17"/>
      <c r="F774" s="18"/>
      <c r="G774" s="19"/>
      <c r="H774" s="15"/>
      <c r="I774" s="17"/>
      <c r="J774" s="24" t="str">
        <f t="shared" si="1"/>
        <v/>
      </c>
      <c r="K774" s="17"/>
    </row>
    <row r="775" ht="15.0" customHeight="1">
      <c r="A775" s="19"/>
      <c r="B775" s="15"/>
      <c r="C775" s="26" t="str">
        <f t="array" ref="C775">IFERROR(INDEX('Patrimônio'!$C$7:$C$1003,MATCH($B775,'Patrimônio'!$A$7:$A$1003,0)),"")</f>
        <v/>
      </c>
      <c r="D775" s="26" t="str">
        <f t="array" ref="D775">IFERROR(INDEX('Patrimônio'!$B$7:$B$1003,MATCH($B775,'Patrimônio'!$A$7:$A$1003,0)),"")</f>
        <v/>
      </c>
      <c r="E775" s="17"/>
      <c r="F775" s="18"/>
      <c r="G775" s="19"/>
      <c r="H775" s="15"/>
      <c r="I775" s="17"/>
      <c r="J775" s="24" t="str">
        <f t="shared" si="1"/>
        <v/>
      </c>
      <c r="K775" s="17"/>
    </row>
    <row r="776" ht="15.0" customHeight="1">
      <c r="A776" s="19"/>
      <c r="B776" s="15"/>
      <c r="C776" s="26" t="str">
        <f t="array" ref="C776">IFERROR(INDEX('Patrimônio'!$C$7:$C$1003,MATCH($B776,'Patrimônio'!$A$7:$A$1003,0)),"")</f>
        <v/>
      </c>
      <c r="D776" s="26" t="str">
        <f t="array" ref="D776">IFERROR(INDEX('Patrimônio'!$B$7:$B$1003,MATCH($B776,'Patrimônio'!$A$7:$A$1003,0)),"")</f>
        <v/>
      </c>
      <c r="E776" s="17"/>
      <c r="F776" s="18"/>
      <c r="G776" s="19"/>
      <c r="H776" s="15"/>
      <c r="I776" s="17"/>
      <c r="J776" s="24" t="str">
        <f t="shared" si="1"/>
        <v/>
      </c>
      <c r="K776" s="17"/>
    </row>
    <row r="777" ht="15.0" customHeight="1">
      <c r="A777" s="19"/>
      <c r="B777" s="15"/>
      <c r="C777" s="26" t="str">
        <f t="array" ref="C777">IFERROR(INDEX('Patrimônio'!$C$7:$C$1003,MATCH($B777,'Patrimônio'!$A$7:$A$1003,0)),"")</f>
        <v/>
      </c>
      <c r="D777" s="26" t="str">
        <f t="array" ref="D777">IFERROR(INDEX('Patrimônio'!$B$7:$B$1003,MATCH($B777,'Patrimônio'!$A$7:$A$1003,0)),"")</f>
        <v/>
      </c>
      <c r="E777" s="17"/>
      <c r="F777" s="18"/>
      <c r="G777" s="19"/>
      <c r="H777" s="15"/>
      <c r="I777" s="17"/>
      <c r="J777" s="24" t="str">
        <f t="shared" si="1"/>
        <v/>
      </c>
      <c r="K777" s="17"/>
    </row>
    <row r="778" ht="15.0" customHeight="1">
      <c r="A778" s="19"/>
      <c r="B778" s="15"/>
      <c r="C778" s="26" t="str">
        <f t="array" ref="C778">IFERROR(INDEX('Patrimônio'!$C$7:$C$1003,MATCH($B778,'Patrimônio'!$A$7:$A$1003,0)),"")</f>
        <v/>
      </c>
      <c r="D778" s="26" t="str">
        <f t="array" ref="D778">IFERROR(INDEX('Patrimônio'!$B$7:$B$1003,MATCH($B778,'Patrimônio'!$A$7:$A$1003,0)),"")</f>
        <v/>
      </c>
      <c r="E778" s="17"/>
      <c r="F778" s="18"/>
      <c r="G778" s="19"/>
      <c r="H778" s="15"/>
      <c r="I778" s="17"/>
      <c r="J778" s="24" t="str">
        <f t="shared" si="1"/>
        <v/>
      </c>
      <c r="K778" s="17"/>
    </row>
    <row r="779" ht="15.0" customHeight="1">
      <c r="A779" s="19"/>
      <c r="B779" s="15"/>
      <c r="C779" s="26" t="str">
        <f t="array" ref="C779">IFERROR(INDEX('Patrimônio'!$C$7:$C$1003,MATCH($B779,'Patrimônio'!$A$7:$A$1003,0)),"")</f>
        <v/>
      </c>
      <c r="D779" s="26" t="str">
        <f t="array" ref="D779">IFERROR(INDEX('Patrimônio'!$B$7:$B$1003,MATCH($B779,'Patrimônio'!$A$7:$A$1003,0)),"")</f>
        <v/>
      </c>
      <c r="E779" s="17"/>
      <c r="F779" s="18"/>
      <c r="G779" s="19"/>
      <c r="H779" s="15"/>
      <c r="I779" s="17"/>
      <c r="J779" s="24" t="str">
        <f t="shared" si="1"/>
        <v/>
      </c>
      <c r="K779" s="17"/>
    </row>
    <row r="780" ht="15.0" customHeight="1">
      <c r="A780" s="19"/>
      <c r="B780" s="15"/>
      <c r="C780" s="26" t="str">
        <f t="array" ref="C780">IFERROR(INDEX('Patrimônio'!$C$7:$C$1003,MATCH($B780,'Patrimônio'!$A$7:$A$1003,0)),"")</f>
        <v/>
      </c>
      <c r="D780" s="26" t="str">
        <f t="array" ref="D780">IFERROR(INDEX('Patrimônio'!$B$7:$B$1003,MATCH($B780,'Patrimônio'!$A$7:$A$1003,0)),"")</f>
        <v/>
      </c>
      <c r="E780" s="17"/>
      <c r="F780" s="18"/>
      <c r="G780" s="19"/>
      <c r="H780" s="15"/>
      <c r="I780" s="17"/>
      <c r="J780" s="24" t="str">
        <f t="shared" si="1"/>
        <v/>
      </c>
      <c r="K780" s="17"/>
    </row>
    <row r="781" ht="15.0" customHeight="1">
      <c r="A781" s="19"/>
      <c r="B781" s="15"/>
      <c r="C781" s="26" t="str">
        <f t="array" ref="C781">IFERROR(INDEX('Patrimônio'!$C$7:$C$1003,MATCH($B781,'Patrimônio'!$A$7:$A$1003,0)),"")</f>
        <v/>
      </c>
      <c r="D781" s="26" t="str">
        <f t="array" ref="D781">IFERROR(INDEX('Patrimônio'!$B$7:$B$1003,MATCH($B781,'Patrimônio'!$A$7:$A$1003,0)),"")</f>
        <v/>
      </c>
      <c r="E781" s="17"/>
      <c r="F781" s="18"/>
      <c r="G781" s="19"/>
      <c r="H781" s="15"/>
      <c r="I781" s="17"/>
      <c r="J781" s="24" t="str">
        <f t="shared" si="1"/>
        <v/>
      </c>
      <c r="K781" s="17"/>
    </row>
    <row r="782" ht="15.0" customHeight="1">
      <c r="A782" s="19"/>
      <c r="B782" s="15"/>
      <c r="C782" s="26" t="str">
        <f t="array" ref="C782">IFERROR(INDEX('Patrimônio'!$C$7:$C$1003,MATCH($B782,'Patrimônio'!$A$7:$A$1003,0)),"")</f>
        <v/>
      </c>
      <c r="D782" s="26" t="str">
        <f t="array" ref="D782">IFERROR(INDEX('Patrimônio'!$B$7:$B$1003,MATCH($B782,'Patrimônio'!$A$7:$A$1003,0)),"")</f>
        <v/>
      </c>
      <c r="E782" s="17"/>
      <c r="F782" s="18"/>
      <c r="G782" s="19"/>
      <c r="H782" s="15"/>
      <c r="I782" s="17"/>
      <c r="J782" s="24" t="str">
        <f t="shared" si="1"/>
        <v/>
      </c>
      <c r="K782" s="17"/>
    </row>
    <row r="783" ht="15.0" customHeight="1">
      <c r="A783" s="19"/>
      <c r="B783" s="15"/>
      <c r="C783" s="26" t="str">
        <f t="array" ref="C783">IFERROR(INDEX('Patrimônio'!$C$7:$C$1003,MATCH($B783,'Patrimônio'!$A$7:$A$1003,0)),"")</f>
        <v/>
      </c>
      <c r="D783" s="26" t="str">
        <f t="array" ref="D783">IFERROR(INDEX('Patrimônio'!$B$7:$B$1003,MATCH($B783,'Patrimônio'!$A$7:$A$1003,0)),"")</f>
        <v/>
      </c>
      <c r="E783" s="17"/>
      <c r="F783" s="18"/>
      <c r="G783" s="19"/>
      <c r="H783" s="15"/>
      <c r="I783" s="17"/>
      <c r="J783" s="24" t="str">
        <f t="shared" si="1"/>
        <v/>
      </c>
      <c r="K783" s="17"/>
    </row>
    <row r="784" ht="15.0" customHeight="1">
      <c r="A784" s="19"/>
      <c r="B784" s="15"/>
      <c r="C784" s="26" t="str">
        <f t="array" ref="C784">IFERROR(INDEX('Patrimônio'!$C$7:$C$1003,MATCH($B784,'Patrimônio'!$A$7:$A$1003,0)),"")</f>
        <v/>
      </c>
      <c r="D784" s="26" t="str">
        <f t="array" ref="D784">IFERROR(INDEX('Patrimônio'!$B$7:$B$1003,MATCH($B784,'Patrimônio'!$A$7:$A$1003,0)),"")</f>
        <v/>
      </c>
      <c r="E784" s="17"/>
      <c r="F784" s="18"/>
      <c r="G784" s="19"/>
      <c r="H784" s="15"/>
      <c r="I784" s="17"/>
      <c r="J784" s="24" t="str">
        <f t="shared" si="1"/>
        <v/>
      </c>
      <c r="K784" s="17"/>
    </row>
    <row r="785" ht="15.0" customHeight="1">
      <c r="A785" s="19"/>
      <c r="B785" s="15"/>
      <c r="C785" s="26" t="str">
        <f t="array" ref="C785">IFERROR(INDEX('Patrimônio'!$C$7:$C$1003,MATCH($B785,'Patrimônio'!$A$7:$A$1003,0)),"")</f>
        <v/>
      </c>
      <c r="D785" s="26" t="str">
        <f t="array" ref="D785">IFERROR(INDEX('Patrimônio'!$B$7:$B$1003,MATCH($B785,'Patrimônio'!$A$7:$A$1003,0)),"")</f>
        <v/>
      </c>
      <c r="E785" s="17"/>
      <c r="F785" s="18"/>
      <c r="G785" s="19"/>
      <c r="H785" s="15"/>
      <c r="I785" s="17"/>
      <c r="J785" s="24" t="str">
        <f t="shared" si="1"/>
        <v/>
      </c>
      <c r="K785" s="17"/>
    </row>
    <row r="786" ht="15.0" customHeight="1">
      <c r="A786" s="19"/>
      <c r="B786" s="15"/>
      <c r="C786" s="26" t="str">
        <f t="array" ref="C786">IFERROR(INDEX('Patrimônio'!$C$7:$C$1003,MATCH($B786,'Patrimônio'!$A$7:$A$1003,0)),"")</f>
        <v/>
      </c>
      <c r="D786" s="26" t="str">
        <f t="array" ref="D786">IFERROR(INDEX('Patrimônio'!$B$7:$B$1003,MATCH($B786,'Patrimônio'!$A$7:$A$1003,0)),"")</f>
        <v/>
      </c>
      <c r="E786" s="17"/>
      <c r="F786" s="18"/>
      <c r="G786" s="19"/>
      <c r="H786" s="15"/>
      <c r="I786" s="17"/>
      <c r="J786" s="24" t="str">
        <f t="shared" si="1"/>
        <v/>
      </c>
      <c r="K786" s="17"/>
    </row>
    <row r="787" ht="15.0" customHeight="1">
      <c r="A787" s="19"/>
      <c r="B787" s="15"/>
      <c r="C787" s="26" t="str">
        <f t="array" ref="C787">IFERROR(INDEX('Patrimônio'!$C$7:$C$1003,MATCH($B787,'Patrimônio'!$A$7:$A$1003,0)),"")</f>
        <v/>
      </c>
      <c r="D787" s="26" t="str">
        <f t="array" ref="D787">IFERROR(INDEX('Patrimônio'!$B$7:$B$1003,MATCH($B787,'Patrimônio'!$A$7:$A$1003,0)),"")</f>
        <v/>
      </c>
      <c r="E787" s="17"/>
      <c r="F787" s="18"/>
      <c r="G787" s="19"/>
      <c r="H787" s="15"/>
      <c r="I787" s="17"/>
      <c r="J787" s="24" t="str">
        <f t="shared" si="1"/>
        <v/>
      </c>
      <c r="K787" s="17"/>
    </row>
    <row r="788" ht="15.0" customHeight="1">
      <c r="A788" s="19"/>
      <c r="B788" s="15"/>
      <c r="C788" s="26" t="str">
        <f t="array" ref="C788">IFERROR(INDEX('Patrimônio'!$C$7:$C$1003,MATCH($B788,'Patrimônio'!$A$7:$A$1003,0)),"")</f>
        <v/>
      </c>
      <c r="D788" s="26" t="str">
        <f t="array" ref="D788">IFERROR(INDEX('Patrimônio'!$B$7:$B$1003,MATCH($B788,'Patrimônio'!$A$7:$A$1003,0)),"")</f>
        <v/>
      </c>
      <c r="E788" s="17"/>
      <c r="F788" s="18"/>
      <c r="G788" s="19"/>
      <c r="H788" s="15"/>
      <c r="I788" s="17"/>
      <c r="J788" s="24" t="str">
        <f t="shared" si="1"/>
        <v/>
      </c>
      <c r="K788" s="17"/>
    </row>
    <row r="789" ht="15.0" customHeight="1">
      <c r="A789" s="19"/>
      <c r="B789" s="15"/>
      <c r="C789" s="26" t="str">
        <f t="array" ref="C789">IFERROR(INDEX('Patrimônio'!$C$7:$C$1003,MATCH($B789,'Patrimônio'!$A$7:$A$1003,0)),"")</f>
        <v/>
      </c>
      <c r="D789" s="26" t="str">
        <f t="array" ref="D789">IFERROR(INDEX('Patrimônio'!$B$7:$B$1003,MATCH($B789,'Patrimônio'!$A$7:$A$1003,0)),"")</f>
        <v/>
      </c>
      <c r="E789" s="17"/>
      <c r="F789" s="18"/>
      <c r="G789" s="19"/>
      <c r="H789" s="15"/>
      <c r="I789" s="17"/>
      <c r="J789" s="24" t="str">
        <f t="shared" si="1"/>
        <v/>
      </c>
      <c r="K789" s="17"/>
    </row>
    <row r="790" ht="15.0" customHeight="1">
      <c r="A790" s="19"/>
      <c r="B790" s="15"/>
      <c r="C790" s="26" t="str">
        <f t="array" ref="C790">IFERROR(INDEX('Patrimônio'!$C$7:$C$1003,MATCH($B790,'Patrimônio'!$A$7:$A$1003,0)),"")</f>
        <v/>
      </c>
      <c r="D790" s="26" t="str">
        <f t="array" ref="D790">IFERROR(INDEX('Patrimônio'!$B$7:$B$1003,MATCH($B790,'Patrimônio'!$A$7:$A$1003,0)),"")</f>
        <v/>
      </c>
      <c r="E790" s="17"/>
      <c r="F790" s="18"/>
      <c r="G790" s="19"/>
      <c r="H790" s="15"/>
      <c r="I790" s="17"/>
      <c r="J790" s="24" t="str">
        <f t="shared" si="1"/>
        <v/>
      </c>
      <c r="K790" s="17"/>
    </row>
    <row r="791" ht="15.0" customHeight="1">
      <c r="A791" s="19"/>
      <c r="B791" s="15"/>
      <c r="C791" s="26" t="str">
        <f t="array" ref="C791">IFERROR(INDEX('Patrimônio'!$C$7:$C$1003,MATCH($B791,'Patrimônio'!$A$7:$A$1003,0)),"")</f>
        <v/>
      </c>
      <c r="D791" s="26" t="str">
        <f t="array" ref="D791">IFERROR(INDEX('Patrimônio'!$B$7:$B$1003,MATCH($B791,'Patrimônio'!$A$7:$A$1003,0)),"")</f>
        <v/>
      </c>
      <c r="E791" s="17"/>
      <c r="F791" s="18"/>
      <c r="G791" s="19"/>
      <c r="H791" s="15"/>
      <c r="I791" s="17"/>
      <c r="J791" s="24" t="str">
        <f t="shared" si="1"/>
        <v/>
      </c>
      <c r="K791" s="17"/>
    </row>
    <row r="792" ht="15.0" customHeight="1">
      <c r="A792" s="19"/>
      <c r="B792" s="15"/>
      <c r="C792" s="26" t="str">
        <f t="array" ref="C792">IFERROR(INDEX('Patrimônio'!$C$7:$C$1003,MATCH($B792,'Patrimônio'!$A$7:$A$1003,0)),"")</f>
        <v/>
      </c>
      <c r="D792" s="26" t="str">
        <f t="array" ref="D792">IFERROR(INDEX('Patrimônio'!$B$7:$B$1003,MATCH($B792,'Patrimônio'!$A$7:$A$1003,0)),"")</f>
        <v/>
      </c>
      <c r="E792" s="17"/>
      <c r="F792" s="18"/>
      <c r="G792" s="19"/>
      <c r="H792" s="15"/>
      <c r="I792" s="17"/>
      <c r="J792" s="24" t="str">
        <f t="shared" si="1"/>
        <v/>
      </c>
      <c r="K792" s="17"/>
    </row>
    <row r="793" ht="15.0" customHeight="1">
      <c r="A793" s="19"/>
      <c r="B793" s="15"/>
      <c r="C793" s="26" t="str">
        <f t="array" ref="C793">IFERROR(INDEX('Patrimônio'!$C$7:$C$1003,MATCH($B793,'Patrimônio'!$A$7:$A$1003,0)),"")</f>
        <v/>
      </c>
      <c r="D793" s="26" t="str">
        <f t="array" ref="D793">IFERROR(INDEX('Patrimônio'!$B$7:$B$1003,MATCH($B793,'Patrimônio'!$A$7:$A$1003,0)),"")</f>
        <v/>
      </c>
      <c r="E793" s="17"/>
      <c r="F793" s="18"/>
      <c r="G793" s="19"/>
      <c r="H793" s="15"/>
      <c r="I793" s="17"/>
      <c r="J793" s="24" t="str">
        <f t="shared" si="1"/>
        <v/>
      </c>
      <c r="K793" s="17"/>
    </row>
    <row r="794" ht="15.0" customHeight="1">
      <c r="A794" s="19"/>
      <c r="B794" s="15"/>
      <c r="C794" s="26" t="str">
        <f t="array" ref="C794">IFERROR(INDEX('Patrimônio'!$C$7:$C$1003,MATCH($B794,'Patrimônio'!$A$7:$A$1003,0)),"")</f>
        <v/>
      </c>
      <c r="D794" s="26" t="str">
        <f t="array" ref="D794">IFERROR(INDEX('Patrimônio'!$B$7:$B$1003,MATCH($B794,'Patrimônio'!$A$7:$A$1003,0)),"")</f>
        <v/>
      </c>
      <c r="E794" s="17"/>
      <c r="F794" s="18"/>
      <c r="G794" s="19"/>
      <c r="H794" s="15"/>
      <c r="I794" s="17"/>
      <c r="J794" s="24" t="str">
        <f t="shared" si="1"/>
        <v/>
      </c>
      <c r="K794" s="17"/>
    </row>
    <row r="795" ht="15.0" customHeight="1">
      <c r="A795" s="19"/>
      <c r="B795" s="15"/>
      <c r="C795" s="26" t="str">
        <f t="array" ref="C795">IFERROR(INDEX('Patrimônio'!$C$7:$C$1003,MATCH($B795,'Patrimônio'!$A$7:$A$1003,0)),"")</f>
        <v/>
      </c>
      <c r="D795" s="26" t="str">
        <f t="array" ref="D795">IFERROR(INDEX('Patrimônio'!$B$7:$B$1003,MATCH($B795,'Patrimônio'!$A$7:$A$1003,0)),"")</f>
        <v/>
      </c>
      <c r="E795" s="17"/>
      <c r="F795" s="18"/>
      <c r="G795" s="19"/>
      <c r="H795" s="15"/>
      <c r="I795" s="17"/>
      <c r="J795" s="24" t="str">
        <f t="shared" si="1"/>
        <v/>
      </c>
      <c r="K795" s="17"/>
    </row>
    <row r="796" ht="15.0" customHeight="1">
      <c r="A796" s="19"/>
      <c r="B796" s="15"/>
      <c r="C796" s="26" t="str">
        <f t="array" ref="C796">IFERROR(INDEX('Patrimônio'!$C$7:$C$1003,MATCH($B796,'Patrimônio'!$A$7:$A$1003,0)),"")</f>
        <v/>
      </c>
      <c r="D796" s="26" t="str">
        <f t="array" ref="D796">IFERROR(INDEX('Patrimônio'!$B$7:$B$1003,MATCH($B796,'Patrimônio'!$A$7:$A$1003,0)),"")</f>
        <v/>
      </c>
      <c r="E796" s="17"/>
      <c r="F796" s="18"/>
      <c r="G796" s="19"/>
      <c r="H796" s="15"/>
      <c r="I796" s="17"/>
      <c r="J796" s="24" t="str">
        <f t="shared" si="1"/>
        <v/>
      </c>
      <c r="K796" s="17"/>
    </row>
    <row r="797" ht="15.0" customHeight="1">
      <c r="A797" s="19"/>
      <c r="B797" s="15"/>
      <c r="C797" s="26" t="str">
        <f t="array" ref="C797">IFERROR(INDEX('Patrimônio'!$C$7:$C$1003,MATCH($B797,'Patrimônio'!$A$7:$A$1003,0)),"")</f>
        <v/>
      </c>
      <c r="D797" s="26" t="str">
        <f t="array" ref="D797">IFERROR(INDEX('Patrimônio'!$B$7:$B$1003,MATCH($B797,'Patrimônio'!$A$7:$A$1003,0)),"")</f>
        <v/>
      </c>
      <c r="E797" s="17"/>
      <c r="F797" s="18"/>
      <c r="G797" s="19"/>
      <c r="H797" s="15"/>
      <c r="I797" s="17"/>
      <c r="J797" s="24" t="str">
        <f t="shared" si="1"/>
        <v/>
      </c>
      <c r="K797" s="17"/>
    </row>
    <row r="798" ht="15.0" customHeight="1">
      <c r="A798" s="19"/>
      <c r="B798" s="15"/>
      <c r="C798" s="26" t="str">
        <f t="array" ref="C798">IFERROR(INDEX('Patrimônio'!$C$7:$C$1003,MATCH($B798,'Patrimônio'!$A$7:$A$1003,0)),"")</f>
        <v/>
      </c>
      <c r="D798" s="26" t="str">
        <f t="array" ref="D798">IFERROR(INDEX('Patrimônio'!$B$7:$B$1003,MATCH($B798,'Patrimônio'!$A$7:$A$1003,0)),"")</f>
        <v/>
      </c>
      <c r="E798" s="17"/>
      <c r="F798" s="18"/>
      <c r="G798" s="19"/>
      <c r="H798" s="15"/>
      <c r="I798" s="17"/>
      <c r="J798" s="24" t="str">
        <f t="shared" si="1"/>
        <v/>
      </c>
      <c r="K798" s="17"/>
    </row>
    <row r="799" ht="15.0" customHeight="1">
      <c r="A799" s="19"/>
      <c r="B799" s="15"/>
      <c r="C799" s="26" t="str">
        <f t="array" ref="C799">IFERROR(INDEX('Patrimônio'!$C$7:$C$1003,MATCH($B799,'Patrimônio'!$A$7:$A$1003,0)),"")</f>
        <v/>
      </c>
      <c r="D799" s="26" t="str">
        <f t="array" ref="D799">IFERROR(INDEX('Patrimônio'!$B$7:$B$1003,MATCH($B799,'Patrimônio'!$A$7:$A$1003,0)),"")</f>
        <v/>
      </c>
      <c r="E799" s="17"/>
      <c r="F799" s="18"/>
      <c r="G799" s="19"/>
      <c r="H799" s="15"/>
      <c r="I799" s="17"/>
      <c r="J799" s="24" t="str">
        <f t="shared" si="1"/>
        <v/>
      </c>
      <c r="K799" s="17"/>
    </row>
    <row r="800" ht="15.0" customHeight="1">
      <c r="A800" s="19"/>
      <c r="B800" s="15"/>
      <c r="C800" s="26" t="str">
        <f t="array" ref="C800">IFERROR(INDEX('Patrimônio'!$C$7:$C$1003,MATCH($B800,'Patrimônio'!$A$7:$A$1003,0)),"")</f>
        <v/>
      </c>
      <c r="D800" s="26" t="str">
        <f t="array" ref="D800">IFERROR(INDEX('Patrimônio'!$B$7:$B$1003,MATCH($B800,'Patrimônio'!$A$7:$A$1003,0)),"")</f>
        <v/>
      </c>
      <c r="E800" s="17"/>
      <c r="F800" s="18"/>
      <c r="G800" s="19"/>
      <c r="H800" s="15"/>
      <c r="I800" s="17"/>
      <c r="J800" s="24" t="str">
        <f t="shared" si="1"/>
        <v/>
      </c>
      <c r="K800" s="17"/>
    </row>
    <row r="801" ht="15.0" customHeight="1">
      <c r="A801" s="19"/>
      <c r="B801" s="15"/>
      <c r="C801" s="26" t="str">
        <f t="array" ref="C801">IFERROR(INDEX('Patrimônio'!$C$7:$C$1003,MATCH($B801,'Patrimônio'!$A$7:$A$1003,0)),"")</f>
        <v/>
      </c>
      <c r="D801" s="26" t="str">
        <f t="array" ref="D801">IFERROR(INDEX('Patrimônio'!$B$7:$B$1003,MATCH($B801,'Patrimônio'!$A$7:$A$1003,0)),"")</f>
        <v/>
      </c>
      <c r="E801" s="17"/>
      <c r="F801" s="18"/>
      <c r="G801" s="19"/>
      <c r="H801" s="15"/>
      <c r="I801" s="17"/>
      <c r="J801" s="24" t="str">
        <f t="shared" si="1"/>
        <v/>
      </c>
      <c r="K801" s="17"/>
    </row>
    <row r="802" ht="15.0" customHeight="1">
      <c r="A802" s="19"/>
      <c r="B802" s="15"/>
      <c r="C802" s="26" t="str">
        <f t="array" ref="C802">IFERROR(INDEX('Patrimônio'!$C$7:$C$1003,MATCH($B802,'Patrimônio'!$A$7:$A$1003,0)),"")</f>
        <v/>
      </c>
      <c r="D802" s="26" t="str">
        <f t="array" ref="D802">IFERROR(INDEX('Patrimônio'!$B$7:$B$1003,MATCH($B802,'Patrimônio'!$A$7:$A$1003,0)),"")</f>
        <v/>
      </c>
      <c r="E802" s="17"/>
      <c r="F802" s="18"/>
      <c r="G802" s="19"/>
      <c r="H802" s="15"/>
      <c r="I802" s="17"/>
      <c r="J802" s="24" t="str">
        <f t="shared" si="1"/>
        <v/>
      </c>
      <c r="K802" s="17"/>
    </row>
    <row r="803" ht="15.0" customHeight="1">
      <c r="A803" s="19"/>
      <c r="B803" s="15"/>
      <c r="C803" s="26" t="str">
        <f t="array" ref="C803">IFERROR(INDEX('Patrimônio'!$C$7:$C$1003,MATCH($B803,'Patrimônio'!$A$7:$A$1003,0)),"")</f>
        <v/>
      </c>
      <c r="D803" s="26" t="str">
        <f t="array" ref="D803">IFERROR(INDEX('Patrimônio'!$B$7:$B$1003,MATCH($B803,'Patrimônio'!$A$7:$A$1003,0)),"")</f>
        <v/>
      </c>
      <c r="E803" s="17"/>
      <c r="F803" s="18"/>
      <c r="G803" s="19"/>
      <c r="H803" s="15"/>
      <c r="I803" s="17"/>
      <c r="J803" s="24" t="str">
        <f t="shared" si="1"/>
        <v/>
      </c>
      <c r="K803" s="17"/>
    </row>
    <row r="804" ht="15.0" customHeight="1">
      <c r="A804" s="19"/>
      <c r="B804" s="15"/>
      <c r="C804" s="26" t="str">
        <f t="array" ref="C804">IFERROR(INDEX('Patrimônio'!$C$7:$C$1003,MATCH($B804,'Patrimônio'!$A$7:$A$1003,0)),"")</f>
        <v/>
      </c>
      <c r="D804" s="26" t="str">
        <f t="array" ref="D804">IFERROR(INDEX('Patrimônio'!$B$7:$B$1003,MATCH($B804,'Patrimônio'!$A$7:$A$1003,0)),"")</f>
        <v/>
      </c>
      <c r="E804" s="17"/>
      <c r="F804" s="18"/>
      <c r="G804" s="19"/>
      <c r="H804" s="15"/>
      <c r="I804" s="17"/>
      <c r="J804" s="24" t="str">
        <f t="shared" si="1"/>
        <v/>
      </c>
      <c r="K804" s="17"/>
    </row>
    <row r="805" ht="15.0" customHeight="1">
      <c r="A805" s="19"/>
      <c r="B805" s="15"/>
      <c r="C805" s="26" t="str">
        <f t="array" ref="C805">IFERROR(INDEX('Patrimônio'!$C$7:$C$1003,MATCH($B805,'Patrimônio'!$A$7:$A$1003,0)),"")</f>
        <v/>
      </c>
      <c r="D805" s="26" t="str">
        <f t="array" ref="D805">IFERROR(INDEX('Patrimônio'!$B$7:$B$1003,MATCH($B805,'Patrimônio'!$A$7:$A$1003,0)),"")</f>
        <v/>
      </c>
      <c r="E805" s="17"/>
      <c r="F805" s="18"/>
      <c r="G805" s="19"/>
      <c r="H805" s="15"/>
      <c r="I805" s="17"/>
      <c r="J805" s="24" t="str">
        <f t="shared" si="1"/>
        <v/>
      </c>
      <c r="K805" s="17"/>
    </row>
    <row r="806" ht="15.0" customHeight="1">
      <c r="A806" s="19"/>
      <c r="B806" s="15"/>
      <c r="C806" s="26" t="str">
        <f t="array" ref="C806">IFERROR(INDEX('Patrimônio'!$C$7:$C$1003,MATCH($B806,'Patrimônio'!$A$7:$A$1003,0)),"")</f>
        <v/>
      </c>
      <c r="D806" s="26" t="str">
        <f t="array" ref="D806">IFERROR(INDEX('Patrimônio'!$B$7:$B$1003,MATCH($B806,'Patrimônio'!$A$7:$A$1003,0)),"")</f>
        <v/>
      </c>
      <c r="E806" s="17"/>
      <c r="F806" s="18"/>
      <c r="G806" s="19"/>
      <c r="H806" s="15"/>
      <c r="I806" s="17"/>
      <c r="J806" s="24" t="str">
        <f t="shared" si="1"/>
        <v/>
      </c>
      <c r="K806" s="17"/>
    </row>
    <row r="807" ht="15.0" customHeight="1">
      <c r="A807" s="19"/>
      <c r="B807" s="15"/>
      <c r="C807" s="26" t="str">
        <f t="array" ref="C807">IFERROR(INDEX('Patrimônio'!$C$7:$C$1003,MATCH($B807,'Patrimônio'!$A$7:$A$1003,0)),"")</f>
        <v/>
      </c>
      <c r="D807" s="26" t="str">
        <f t="array" ref="D807">IFERROR(INDEX('Patrimônio'!$B$7:$B$1003,MATCH($B807,'Patrimônio'!$A$7:$A$1003,0)),"")</f>
        <v/>
      </c>
      <c r="E807" s="17"/>
      <c r="F807" s="18"/>
      <c r="G807" s="19"/>
      <c r="H807" s="15"/>
      <c r="I807" s="17"/>
      <c r="J807" s="24" t="str">
        <f t="shared" si="1"/>
        <v/>
      </c>
      <c r="K807" s="17"/>
    </row>
    <row r="808" ht="15.0" customHeight="1">
      <c r="A808" s="19"/>
      <c r="B808" s="15"/>
      <c r="C808" s="26" t="str">
        <f t="array" ref="C808">IFERROR(INDEX('Patrimônio'!$C$7:$C$1003,MATCH($B808,'Patrimônio'!$A$7:$A$1003,0)),"")</f>
        <v/>
      </c>
      <c r="D808" s="26" t="str">
        <f t="array" ref="D808">IFERROR(INDEX('Patrimônio'!$B$7:$B$1003,MATCH($B808,'Patrimônio'!$A$7:$A$1003,0)),"")</f>
        <v/>
      </c>
      <c r="E808" s="17"/>
      <c r="F808" s="18"/>
      <c r="G808" s="19"/>
      <c r="H808" s="15"/>
      <c r="I808" s="17"/>
      <c r="J808" s="24" t="str">
        <f t="shared" si="1"/>
        <v/>
      </c>
      <c r="K808" s="17"/>
    </row>
    <row r="809" ht="15.0" customHeight="1">
      <c r="A809" s="19"/>
      <c r="B809" s="15"/>
      <c r="C809" s="26" t="str">
        <f t="array" ref="C809">IFERROR(INDEX('Patrimônio'!$C$7:$C$1003,MATCH($B809,'Patrimônio'!$A$7:$A$1003,0)),"")</f>
        <v/>
      </c>
      <c r="D809" s="26" t="str">
        <f t="array" ref="D809">IFERROR(INDEX('Patrimônio'!$B$7:$B$1003,MATCH($B809,'Patrimônio'!$A$7:$A$1003,0)),"")</f>
        <v/>
      </c>
      <c r="E809" s="17"/>
      <c r="F809" s="18"/>
      <c r="G809" s="19"/>
      <c r="H809" s="15"/>
      <c r="I809" s="17"/>
      <c r="J809" s="24" t="str">
        <f t="shared" si="1"/>
        <v/>
      </c>
      <c r="K809" s="17"/>
    </row>
    <row r="810" ht="15.0" customHeight="1">
      <c r="A810" s="19"/>
      <c r="B810" s="15"/>
      <c r="C810" s="26" t="str">
        <f t="array" ref="C810">IFERROR(INDEX('Patrimônio'!$C$7:$C$1003,MATCH($B810,'Patrimônio'!$A$7:$A$1003,0)),"")</f>
        <v/>
      </c>
      <c r="D810" s="26" t="str">
        <f t="array" ref="D810">IFERROR(INDEX('Patrimônio'!$B$7:$B$1003,MATCH($B810,'Patrimônio'!$A$7:$A$1003,0)),"")</f>
        <v/>
      </c>
      <c r="E810" s="17"/>
      <c r="F810" s="18"/>
      <c r="G810" s="19"/>
      <c r="H810" s="15"/>
      <c r="I810" s="17"/>
      <c r="J810" s="24" t="str">
        <f t="shared" si="1"/>
        <v/>
      </c>
      <c r="K810" s="17"/>
    </row>
    <row r="811" ht="15.0" customHeight="1">
      <c r="A811" s="19"/>
      <c r="B811" s="15"/>
      <c r="C811" s="26" t="str">
        <f t="array" ref="C811">IFERROR(INDEX('Patrimônio'!$C$7:$C$1003,MATCH($B811,'Patrimônio'!$A$7:$A$1003,0)),"")</f>
        <v/>
      </c>
      <c r="D811" s="26" t="str">
        <f t="array" ref="D811">IFERROR(INDEX('Patrimônio'!$B$7:$B$1003,MATCH($B811,'Patrimônio'!$A$7:$A$1003,0)),"")</f>
        <v/>
      </c>
      <c r="E811" s="17"/>
      <c r="F811" s="18"/>
      <c r="G811" s="19"/>
      <c r="H811" s="15"/>
      <c r="I811" s="17"/>
      <c r="J811" s="24" t="str">
        <f t="shared" si="1"/>
        <v/>
      </c>
      <c r="K811" s="17"/>
    </row>
    <row r="812" ht="15.0" customHeight="1">
      <c r="A812" s="19"/>
      <c r="B812" s="15"/>
      <c r="C812" s="26" t="str">
        <f t="array" ref="C812">IFERROR(INDEX('Patrimônio'!$C$7:$C$1003,MATCH($B812,'Patrimônio'!$A$7:$A$1003,0)),"")</f>
        <v/>
      </c>
      <c r="D812" s="26" t="str">
        <f t="array" ref="D812">IFERROR(INDEX('Patrimônio'!$B$7:$B$1003,MATCH($B812,'Patrimônio'!$A$7:$A$1003,0)),"")</f>
        <v/>
      </c>
      <c r="E812" s="17"/>
      <c r="F812" s="18"/>
      <c r="G812" s="19"/>
      <c r="H812" s="15"/>
      <c r="I812" s="17"/>
      <c r="J812" s="24" t="str">
        <f t="shared" si="1"/>
        <v/>
      </c>
      <c r="K812" s="17"/>
    </row>
    <row r="813" ht="15.0" customHeight="1">
      <c r="A813" s="19"/>
      <c r="B813" s="15"/>
      <c r="C813" s="26" t="str">
        <f t="array" ref="C813">IFERROR(INDEX('Patrimônio'!$C$7:$C$1003,MATCH($B813,'Patrimônio'!$A$7:$A$1003,0)),"")</f>
        <v/>
      </c>
      <c r="D813" s="26" t="str">
        <f t="array" ref="D813">IFERROR(INDEX('Patrimônio'!$B$7:$B$1003,MATCH($B813,'Patrimônio'!$A$7:$A$1003,0)),"")</f>
        <v/>
      </c>
      <c r="E813" s="17"/>
      <c r="F813" s="18"/>
      <c r="G813" s="19"/>
      <c r="H813" s="15"/>
      <c r="I813" s="17"/>
      <c r="J813" s="24" t="str">
        <f t="shared" si="1"/>
        <v/>
      </c>
      <c r="K813" s="17"/>
    </row>
    <row r="814" ht="15.0" customHeight="1">
      <c r="A814" s="19"/>
      <c r="B814" s="15"/>
      <c r="C814" s="26" t="str">
        <f t="array" ref="C814">IFERROR(INDEX('Patrimônio'!$C$7:$C$1003,MATCH($B814,'Patrimônio'!$A$7:$A$1003,0)),"")</f>
        <v/>
      </c>
      <c r="D814" s="26" t="str">
        <f t="array" ref="D814">IFERROR(INDEX('Patrimônio'!$B$7:$B$1003,MATCH($B814,'Patrimônio'!$A$7:$A$1003,0)),"")</f>
        <v/>
      </c>
      <c r="E814" s="17"/>
      <c r="F814" s="18"/>
      <c r="G814" s="19"/>
      <c r="H814" s="15"/>
      <c r="I814" s="17"/>
      <c r="J814" s="24" t="str">
        <f t="shared" si="1"/>
        <v/>
      </c>
      <c r="K814" s="17"/>
    </row>
    <row r="815" ht="15.0" customHeight="1">
      <c r="A815" s="19"/>
      <c r="B815" s="15"/>
      <c r="C815" s="26" t="str">
        <f t="array" ref="C815">IFERROR(INDEX('Patrimônio'!$C$7:$C$1003,MATCH($B815,'Patrimônio'!$A$7:$A$1003,0)),"")</f>
        <v/>
      </c>
      <c r="D815" s="26" t="str">
        <f t="array" ref="D815">IFERROR(INDEX('Patrimônio'!$B$7:$B$1003,MATCH($B815,'Patrimônio'!$A$7:$A$1003,0)),"")</f>
        <v/>
      </c>
      <c r="E815" s="17"/>
      <c r="F815" s="18"/>
      <c r="G815" s="19"/>
      <c r="H815" s="15"/>
      <c r="I815" s="17"/>
      <c r="J815" s="24" t="str">
        <f t="shared" si="1"/>
        <v/>
      </c>
      <c r="K815" s="17"/>
    </row>
    <row r="816" ht="15.0" customHeight="1">
      <c r="A816" s="19"/>
      <c r="B816" s="15"/>
      <c r="C816" s="26" t="str">
        <f t="array" ref="C816">IFERROR(INDEX('Patrimônio'!$C$7:$C$1003,MATCH($B816,'Patrimônio'!$A$7:$A$1003,0)),"")</f>
        <v/>
      </c>
      <c r="D816" s="26" t="str">
        <f t="array" ref="D816">IFERROR(INDEX('Patrimônio'!$B$7:$B$1003,MATCH($B816,'Patrimônio'!$A$7:$A$1003,0)),"")</f>
        <v/>
      </c>
      <c r="E816" s="17"/>
      <c r="F816" s="18"/>
      <c r="G816" s="19"/>
      <c r="H816" s="15"/>
      <c r="I816" s="17"/>
      <c r="J816" s="24" t="str">
        <f t="shared" si="1"/>
        <v/>
      </c>
      <c r="K816" s="17"/>
    </row>
    <row r="817" ht="15.0" customHeight="1">
      <c r="A817" s="19"/>
      <c r="B817" s="15"/>
      <c r="C817" s="26" t="str">
        <f t="array" ref="C817">IFERROR(INDEX('Patrimônio'!$C$7:$C$1003,MATCH($B817,'Patrimônio'!$A$7:$A$1003,0)),"")</f>
        <v/>
      </c>
      <c r="D817" s="26" t="str">
        <f t="array" ref="D817">IFERROR(INDEX('Patrimônio'!$B$7:$B$1003,MATCH($B817,'Patrimônio'!$A$7:$A$1003,0)),"")</f>
        <v/>
      </c>
      <c r="E817" s="17"/>
      <c r="F817" s="18"/>
      <c r="G817" s="19"/>
      <c r="H817" s="15"/>
      <c r="I817" s="17"/>
      <c r="J817" s="24" t="str">
        <f t="shared" si="1"/>
        <v/>
      </c>
      <c r="K817" s="17"/>
    </row>
    <row r="818" ht="15.0" customHeight="1">
      <c r="A818" s="19"/>
      <c r="B818" s="15"/>
      <c r="C818" s="26" t="str">
        <f t="array" ref="C818">IFERROR(INDEX('Patrimônio'!$C$7:$C$1003,MATCH($B818,'Patrimônio'!$A$7:$A$1003,0)),"")</f>
        <v/>
      </c>
      <c r="D818" s="26" t="str">
        <f t="array" ref="D818">IFERROR(INDEX('Patrimônio'!$B$7:$B$1003,MATCH($B818,'Patrimônio'!$A$7:$A$1003,0)),"")</f>
        <v/>
      </c>
      <c r="E818" s="17"/>
      <c r="F818" s="18"/>
      <c r="G818" s="19"/>
      <c r="H818" s="15"/>
      <c r="I818" s="17"/>
      <c r="J818" s="24" t="str">
        <f t="shared" si="1"/>
        <v/>
      </c>
      <c r="K818" s="17"/>
    </row>
    <row r="819" ht="15.0" customHeight="1">
      <c r="A819" s="19"/>
      <c r="B819" s="15"/>
      <c r="C819" s="26" t="str">
        <f t="array" ref="C819">IFERROR(INDEX('Patrimônio'!$C$7:$C$1003,MATCH($B819,'Patrimônio'!$A$7:$A$1003,0)),"")</f>
        <v/>
      </c>
      <c r="D819" s="26" t="str">
        <f t="array" ref="D819">IFERROR(INDEX('Patrimônio'!$B$7:$B$1003,MATCH($B819,'Patrimônio'!$A$7:$A$1003,0)),"")</f>
        <v/>
      </c>
      <c r="E819" s="17"/>
      <c r="F819" s="18"/>
      <c r="G819" s="19"/>
      <c r="H819" s="15"/>
      <c r="I819" s="17"/>
      <c r="J819" s="24" t="str">
        <f t="shared" si="1"/>
        <v/>
      </c>
      <c r="K819" s="17"/>
    </row>
    <row r="820" ht="15.0" customHeight="1">
      <c r="A820" s="19"/>
      <c r="B820" s="15"/>
      <c r="C820" s="26" t="str">
        <f t="array" ref="C820">IFERROR(INDEX('Patrimônio'!$C$7:$C$1003,MATCH($B820,'Patrimônio'!$A$7:$A$1003,0)),"")</f>
        <v/>
      </c>
      <c r="D820" s="26" t="str">
        <f t="array" ref="D820">IFERROR(INDEX('Patrimônio'!$B$7:$B$1003,MATCH($B820,'Patrimônio'!$A$7:$A$1003,0)),"")</f>
        <v/>
      </c>
      <c r="E820" s="17"/>
      <c r="F820" s="18"/>
      <c r="G820" s="19"/>
      <c r="H820" s="15"/>
      <c r="I820" s="17"/>
      <c r="J820" s="24" t="str">
        <f t="shared" si="1"/>
        <v/>
      </c>
      <c r="K820" s="17"/>
    </row>
    <row r="821" ht="15.0" customHeight="1">
      <c r="A821" s="19"/>
      <c r="B821" s="15"/>
      <c r="C821" s="26" t="str">
        <f t="array" ref="C821">IFERROR(INDEX('Patrimônio'!$C$7:$C$1003,MATCH($B821,'Patrimônio'!$A$7:$A$1003,0)),"")</f>
        <v/>
      </c>
      <c r="D821" s="26" t="str">
        <f t="array" ref="D821">IFERROR(INDEX('Patrimônio'!$B$7:$B$1003,MATCH($B821,'Patrimônio'!$A$7:$A$1003,0)),"")</f>
        <v/>
      </c>
      <c r="E821" s="17"/>
      <c r="F821" s="18"/>
      <c r="G821" s="19"/>
      <c r="H821" s="15"/>
      <c r="I821" s="17"/>
      <c r="J821" s="24" t="str">
        <f t="shared" si="1"/>
        <v/>
      </c>
      <c r="K821" s="17"/>
    </row>
    <row r="822" ht="15.0" customHeight="1">
      <c r="A822" s="19"/>
      <c r="B822" s="15"/>
      <c r="C822" s="26" t="str">
        <f t="array" ref="C822">IFERROR(INDEX('Patrimônio'!$C$7:$C$1003,MATCH($B822,'Patrimônio'!$A$7:$A$1003,0)),"")</f>
        <v/>
      </c>
      <c r="D822" s="26" t="str">
        <f t="array" ref="D822">IFERROR(INDEX('Patrimônio'!$B$7:$B$1003,MATCH($B822,'Patrimônio'!$A$7:$A$1003,0)),"")</f>
        <v/>
      </c>
      <c r="E822" s="17"/>
      <c r="F822" s="18"/>
      <c r="G822" s="19"/>
      <c r="H822" s="15"/>
      <c r="I822" s="17"/>
      <c r="J822" s="24" t="str">
        <f t="shared" si="1"/>
        <v/>
      </c>
      <c r="K822" s="17"/>
    </row>
    <row r="823" ht="15.0" customHeight="1">
      <c r="A823" s="19"/>
      <c r="B823" s="15"/>
      <c r="C823" s="26" t="str">
        <f t="array" ref="C823">IFERROR(INDEX('Patrimônio'!$C$7:$C$1003,MATCH($B823,'Patrimônio'!$A$7:$A$1003,0)),"")</f>
        <v/>
      </c>
      <c r="D823" s="26" t="str">
        <f t="array" ref="D823">IFERROR(INDEX('Patrimônio'!$B$7:$B$1003,MATCH($B823,'Patrimônio'!$A$7:$A$1003,0)),"")</f>
        <v/>
      </c>
      <c r="E823" s="17"/>
      <c r="F823" s="18"/>
      <c r="G823" s="19"/>
      <c r="H823" s="15"/>
      <c r="I823" s="17"/>
      <c r="J823" s="24" t="str">
        <f t="shared" si="1"/>
        <v/>
      </c>
      <c r="K823" s="17"/>
    </row>
    <row r="824" ht="15.0" customHeight="1">
      <c r="A824" s="19"/>
      <c r="B824" s="15"/>
      <c r="C824" s="26" t="str">
        <f t="array" ref="C824">IFERROR(INDEX('Patrimônio'!$C$7:$C$1003,MATCH($B824,'Patrimônio'!$A$7:$A$1003,0)),"")</f>
        <v/>
      </c>
      <c r="D824" s="26" t="str">
        <f t="array" ref="D824">IFERROR(INDEX('Patrimônio'!$B$7:$B$1003,MATCH($B824,'Patrimônio'!$A$7:$A$1003,0)),"")</f>
        <v/>
      </c>
      <c r="E824" s="17"/>
      <c r="F824" s="18"/>
      <c r="G824" s="19"/>
      <c r="H824" s="15"/>
      <c r="I824" s="17"/>
      <c r="J824" s="24" t="str">
        <f t="shared" si="1"/>
        <v/>
      </c>
      <c r="K824" s="17"/>
    </row>
    <row r="825" ht="15.0" customHeight="1">
      <c r="A825" s="19"/>
      <c r="B825" s="15"/>
      <c r="C825" s="26" t="str">
        <f t="array" ref="C825">IFERROR(INDEX('Patrimônio'!$C$7:$C$1003,MATCH($B825,'Patrimônio'!$A$7:$A$1003,0)),"")</f>
        <v/>
      </c>
      <c r="D825" s="26" t="str">
        <f t="array" ref="D825">IFERROR(INDEX('Patrimônio'!$B$7:$B$1003,MATCH($B825,'Patrimônio'!$A$7:$A$1003,0)),"")</f>
        <v/>
      </c>
      <c r="E825" s="17"/>
      <c r="F825" s="18"/>
      <c r="G825" s="19"/>
      <c r="H825" s="15"/>
      <c r="I825" s="17"/>
      <c r="J825" s="24" t="str">
        <f t="shared" si="1"/>
        <v/>
      </c>
      <c r="K825" s="17"/>
    </row>
    <row r="826" ht="15.0" customHeight="1">
      <c r="A826" s="19"/>
      <c r="B826" s="15"/>
      <c r="C826" s="26" t="str">
        <f t="array" ref="C826">IFERROR(INDEX('Patrimônio'!$C$7:$C$1003,MATCH($B826,'Patrimônio'!$A$7:$A$1003,0)),"")</f>
        <v/>
      </c>
      <c r="D826" s="26" t="str">
        <f t="array" ref="D826">IFERROR(INDEX('Patrimônio'!$B$7:$B$1003,MATCH($B826,'Patrimônio'!$A$7:$A$1003,0)),"")</f>
        <v/>
      </c>
      <c r="E826" s="17"/>
      <c r="F826" s="18"/>
      <c r="G826" s="19"/>
      <c r="H826" s="15"/>
      <c r="I826" s="17"/>
      <c r="J826" s="24" t="str">
        <f t="shared" si="1"/>
        <v/>
      </c>
      <c r="K826" s="17"/>
    </row>
    <row r="827" ht="15.0" customHeight="1">
      <c r="A827" s="19"/>
      <c r="B827" s="15"/>
      <c r="C827" s="26" t="str">
        <f t="array" ref="C827">IFERROR(INDEX('Patrimônio'!$C$7:$C$1003,MATCH($B827,'Patrimônio'!$A$7:$A$1003,0)),"")</f>
        <v/>
      </c>
      <c r="D827" s="26" t="str">
        <f t="array" ref="D827">IFERROR(INDEX('Patrimônio'!$B$7:$B$1003,MATCH($B827,'Patrimônio'!$A$7:$A$1003,0)),"")</f>
        <v/>
      </c>
      <c r="E827" s="17"/>
      <c r="F827" s="18"/>
      <c r="G827" s="19"/>
      <c r="H827" s="15"/>
      <c r="I827" s="17"/>
      <c r="J827" s="24" t="str">
        <f t="shared" si="1"/>
        <v/>
      </c>
      <c r="K827" s="17"/>
    </row>
    <row r="828" ht="15.0" customHeight="1">
      <c r="A828" s="19"/>
      <c r="B828" s="15"/>
      <c r="C828" s="26" t="str">
        <f t="array" ref="C828">IFERROR(INDEX('Patrimônio'!$C$7:$C$1003,MATCH($B828,'Patrimônio'!$A$7:$A$1003,0)),"")</f>
        <v/>
      </c>
      <c r="D828" s="26" t="str">
        <f t="array" ref="D828">IFERROR(INDEX('Patrimônio'!$B$7:$B$1003,MATCH($B828,'Patrimônio'!$A$7:$A$1003,0)),"")</f>
        <v/>
      </c>
      <c r="E828" s="17"/>
      <c r="F828" s="18"/>
      <c r="G828" s="19"/>
      <c r="H828" s="15"/>
      <c r="I828" s="17"/>
      <c r="J828" s="24" t="str">
        <f t="shared" si="1"/>
        <v/>
      </c>
      <c r="K828" s="17"/>
    </row>
    <row r="829" ht="15.0" customHeight="1">
      <c r="A829" s="19"/>
      <c r="B829" s="15"/>
      <c r="C829" s="26" t="str">
        <f t="array" ref="C829">IFERROR(INDEX('Patrimônio'!$C$7:$C$1003,MATCH($B829,'Patrimônio'!$A$7:$A$1003,0)),"")</f>
        <v/>
      </c>
      <c r="D829" s="26" t="str">
        <f t="array" ref="D829">IFERROR(INDEX('Patrimônio'!$B$7:$B$1003,MATCH($B829,'Patrimônio'!$A$7:$A$1003,0)),"")</f>
        <v/>
      </c>
      <c r="E829" s="17"/>
      <c r="F829" s="18"/>
      <c r="G829" s="19"/>
      <c r="H829" s="15"/>
      <c r="I829" s="17"/>
      <c r="J829" s="24" t="str">
        <f t="shared" si="1"/>
        <v/>
      </c>
      <c r="K829" s="17"/>
    </row>
    <row r="830" ht="15.0" customHeight="1">
      <c r="A830" s="19"/>
      <c r="B830" s="15"/>
      <c r="C830" s="26" t="str">
        <f t="array" ref="C830">IFERROR(INDEX('Patrimônio'!$C$7:$C$1003,MATCH($B830,'Patrimônio'!$A$7:$A$1003,0)),"")</f>
        <v/>
      </c>
      <c r="D830" s="26" t="str">
        <f t="array" ref="D830">IFERROR(INDEX('Patrimônio'!$B$7:$B$1003,MATCH($B830,'Patrimônio'!$A$7:$A$1003,0)),"")</f>
        <v/>
      </c>
      <c r="E830" s="17"/>
      <c r="F830" s="18"/>
      <c r="G830" s="19"/>
      <c r="H830" s="15"/>
      <c r="I830" s="17"/>
      <c r="J830" s="24" t="str">
        <f t="shared" si="1"/>
        <v/>
      </c>
      <c r="K830" s="17"/>
    </row>
    <row r="831" ht="15.0" customHeight="1">
      <c r="A831" s="19"/>
      <c r="B831" s="15"/>
      <c r="C831" s="26" t="str">
        <f t="array" ref="C831">IFERROR(INDEX('Patrimônio'!$C$7:$C$1003,MATCH($B831,'Patrimônio'!$A$7:$A$1003,0)),"")</f>
        <v/>
      </c>
      <c r="D831" s="26" t="str">
        <f t="array" ref="D831">IFERROR(INDEX('Patrimônio'!$B$7:$B$1003,MATCH($B831,'Patrimônio'!$A$7:$A$1003,0)),"")</f>
        <v/>
      </c>
      <c r="E831" s="17"/>
      <c r="F831" s="18"/>
      <c r="G831" s="19"/>
      <c r="H831" s="15"/>
      <c r="I831" s="17"/>
      <c r="J831" s="24" t="str">
        <f t="shared" si="1"/>
        <v/>
      </c>
      <c r="K831" s="17"/>
    </row>
    <row r="832" ht="15.0" customHeight="1">
      <c r="A832" s="19"/>
      <c r="B832" s="15"/>
      <c r="C832" s="26" t="str">
        <f t="array" ref="C832">IFERROR(INDEX('Patrimônio'!$C$7:$C$1003,MATCH($B832,'Patrimônio'!$A$7:$A$1003,0)),"")</f>
        <v/>
      </c>
      <c r="D832" s="26" t="str">
        <f t="array" ref="D832">IFERROR(INDEX('Patrimônio'!$B$7:$B$1003,MATCH($B832,'Patrimônio'!$A$7:$A$1003,0)),"")</f>
        <v/>
      </c>
      <c r="E832" s="17"/>
      <c r="F832" s="18"/>
      <c r="G832" s="19"/>
      <c r="H832" s="15"/>
      <c r="I832" s="17"/>
      <c r="J832" s="24" t="str">
        <f t="shared" si="1"/>
        <v/>
      </c>
      <c r="K832" s="17"/>
    </row>
    <row r="833" ht="15.0" customHeight="1">
      <c r="A833" s="19"/>
      <c r="B833" s="15"/>
      <c r="C833" s="26" t="str">
        <f t="array" ref="C833">IFERROR(INDEX('Patrimônio'!$C$7:$C$1003,MATCH($B833,'Patrimônio'!$A$7:$A$1003,0)),"")</f>
        <v/>
      </c>
      <c r="D833" s="26" t="str">
        <f t="array" ref="D833">IFERROR(INDEX('Patrimônio'!$B$7:$B$1003,MATCH($B833,'Patrimônio'!$A$7:$A$1003,0)),"")</f>
        <v/>
      </c>
      <c r="E833" s="17"/>
      <c r="F833" s="18"/>
      <c r="G833" s="19"/>
      <c r="H833" s="15"/>
      <c r="I833" s="17"/>
      <c r="J833" s="24" t="str">
        <f t="shared" si="1"/>
        <v/>
      </c>
      <c r="K833" s="17"/>
    </row>
    <row r="834" ht="15.0" customHeight="1">
      <c r="A834" s="19"/>
      <c r="B834" s="15"/>
      <c r="C834" s="26" t="str">
        <f t="array" ref="C834">IFERROR(INDEX('Patrimônio'!$C$7:$C$1003,MATCH($B834,'Patrimônio'!$A$7:$A$1003,0)),"")</f>
        <v/>
      </c>
      <c r="D834" s="26" t="str">
        <f t="array" ref="D834">IFERROR(INDEX('Patrimônio'!$B$7:$B$1003,MATCH($B834,'Patrimônio'!$A$7:$A$1003,0)),"")</f>
        <v/>
      </c>
      <c r="E834" s="17"/>
      <c r="F834" s="18"/>
      <c r="G834" s="19"/>
      <c r="H834" s="15"/>
      <c r="I834" s="17"/>
      <c r="J834" s="24" t="str">
        <f t="shared" si="1"/>
        <v/>
      </c>
      <c r="K834" s="17"/>
    </row>
    <row r="835" ht="15.0" customHeight="1">
      <c r="A835" s="19"/>
      <c r="B835" s="15"/>
      <c r="C835" s="26" t="str">
        <f t="array" ref="C835">IFERROR(INDEX('Patrimônio'!$C$7:$C$1003,MATCH($B835,'Patrimônio'!$A$7:$A$1003,0)),"")</f>
        <v/>
      </c>
      <c r="D835" s="26" t="str">
        <f t="array" ref="D835">IFERROR(INDEX('Patrimônio'!$B$7:$B$1003,MATCH($B835,'Patrimônio'!$A$7:$A$1003,0)),"")</f>
        <v/>
      </c>
      <c r="E835" s="17"/>
      <c r="F835" s="18"/>
      <c r="G835" s="19"/>
      <c r="H835" s="15"/>
      <c r="I835" s="17"/>
      <c r="J835" s="24" t="str">
        <f t="shared" si="1"/>
        <v/>
      </c>
      <c r="K835" s="17"/>
    </row>
    <row r="836" ht="15.0" customHeight="1">
      <c r="A836" s="19"/>
      <c r="B836" s="15"/>
      <c r="C836" s="26" t="str">
        <f t="array" ref="C836">IFERROR(INDEX('Patrimônio'!$C$7:$C$1003,MATCH($B836,'Patrimônio'!$A$7:$A$1003,0)),"")</f>
        <v/>
      </c>
      <c r="D836" s="26" t="str">
        <f t="array" ref="D836">IFERROR(INDEX('Patrimônio'!$B$7:$B$1003,MATCH($B836,'Patrimônio'!$A$7:$A$1003,0)),"")</f>
        <v/>
      </c>
      <c r="E836" s="17"/>
      <c r="F836" s="18"/>
      <c r="G836" s="19"/>
      <c r="H836" s="15"/>
      <c r="I836" s="17"/>
      <c r="J836" s="24" t="str">
        <f t="shared" si="1"/>
        <v/>
      </c>
      <c r="K836" s="17"/>
    </row>
    <row r="837" ht="15.0" customHeight="1">
      <c r="A837" s="19"/>
      <c r="B837" s="15"/>
      <c r="C837" s="26" t="str">
        <f t="array" ref="C837">IFERROR(INDEX('Patrimônio'!$C$7:$C$1003,MATCH($B837,'Patrimônio'!$A$7:$A$1003,0)),"")</f>
        <v/>
      </c>
      <c r="D837" s="26" t="str">
        <f t="array" ref="D837">IFERROR(INDEX('Patrimônio'!$B$7:$B$1003,MATCH($B837,'Patrimônio'!$A$7:$A$1003,0)),"")</f>
        <v/>
      </c>
      <c r="E837" s="17"/>
      <c r="F837" s="18"/>
      <c r="G837" s="19"/>
      <c r="H837" s="15"/>
      <c r="I837" s="17"/>
      <c r="J837" s="24" t="str">
        <f t="shared" si="1"/>
        <v/>
      </c>
      <c r="K837" s="17"/>
    </row>
    <row r="838" ht="15.0" customHeight="1">
      <c r="A838" s="19"/>
      <c r="B838" s="15"/>
      <c r="C838" s="26" t="str">
        <f t="array" ref="C838">IFERROR(INDEX('Patrimônio'!$C$7:$C$1003,MATCH($B838,'Patrimônio'!$A$7:$A$1003,0)),"")</f>
        <v/>
      </c>
      <c r="D838" s="26" t="str">
        <f t="array" ref="D838">IFERROR(INDEX('Patrimônio'!$B$7:$B$1003,MATCH($B838,'Patrimônio'!$A$7:$A$1003,0)),"")</f>
        <v/>
      </c>
      <c r="E838" s="17"/>
      <c r="F838" s="18"/>
      <c r="G838" s="19"/>
      <c r="H838" s="15"/>
      <c r="I838" s="17"/>
      <c r="J838" s="24" t="str">
        <f t="shared" si="1"/>
        <v/>
      </c>
      <c r="K838" s="17"/>
    </row>
    <row r="839" ht="15.0" customHeight="1">
      <c r="A839" s="19"/>
      <c r="B839" s="15"/>
      <c r="C839" s="26" t="str">
        <f t="array" ref="C839">IFERROR(INDEX('Patrimônio'!$C$7:$C$1003,MATCH($B839,'Patrimônio'!$A$7:$A$1003,0)),"")</f>
        <v/>
      </c>
      <c r="D839" s="26" t="str">
        <f t="array" ref="D839">IFERROR(INDEX('Patrimônio'!$B$7:$B$1003,MATCH($B839,'Patrimônio'!$A$7:$A$1003,0)),"")</f>
        <v/>
      </c>
      <c r="E839" s="17"/>
      <c r="F839" s="18"/>
      <c r="G839" s="19"/>
      <c r="H839" s="15"/>
      <c r="I839" s="17"/>
      <c r="J839" s="24" t="str">
        <f t="shared" si="1"/>
        <v/>
      </c>
      <c r="K839" s="17"/>
    </row>
    <row r="840" ht="15.0" customHeight="1">
      <c r="A840" s="19"/>
      <c r="B840" s="15"/>
      <c r="C840" s="26" t="str">
        <f t="array" ref="C840">IFERROR(INDEX('Patrimônio'!$C$7:$C$1003,MATCH($B840,'Patrimônio'!$A$7:$A$1003,0)),"")</f>
        <v/>
      </c>
      <c r="D840" s="26" t="str">
        <f t="array" ref="D840">IFERROR(INDEX('Patrimônio'!$B$7:$B$1003,MATCH($B840,'Patrimônio'!$A$7:$A$1003,0)),"")</f>
        <v/>
      </c>
      <c r="E840" s="17"/>
      <c r="F840" s="18"/>
      <c r="G840" s="19"/>
      <c r="H840" s="15"/>
      <c r="I840" s="17"/>
      <c r="J840" s="24" t="str">
        <f t="shared" si="1"/>
        <v/>
      </c>
      <c r="K840" s="17"/>
    </row>
    <row r="841" ht="15.0" customHeight="1">
      <c r="A841" s="19"/>
      <c r="B841" s="15"/>
      <c r="C841" s="26" t="str">
        <f t="array" ref="C841">IFERROR(INDEX('Patrimônio'!$C$7:$C$1003,MATCH($B841,'Patrimônio'!$A$7:$A$1003,0)),"")</f>
        <v/>
      </c>
      <c r="D841" s="26" t="str">
        <f t="array" ref="D841">IFERROR(INDEX('Patrimônio'!$B$7:$B$1003,MATCH($B841,'Patrimônio'!$A$7:$A$1003,0)),"")</f>
        <v/>
      </c>
      <c r="E841" s="17"/>
      <c r="F841" s="18"/>
      <c r="G841" s="19"/>
      <c r="H841" s="15"/>
      <c r="I841" s="17"/>
      <c r="J841" s="24" t="str">
        <f t="shared" si="1"/>
        <v/>
      </c>
      <c r="K841" s="17"/>
    </row>
    <row r="842" ht="15.0" customHeight="1">
      <c r="A842" s="19"/>
      <c r="B842" s="15"/>
      <c r="C842" s="26" t="str">
        <f t="array" ref="C842">IFERROR(INDEX('Patrimônio'!$C$7:$C$1003,MATCH($B842,'Patrimônio'!$A$7:$A$1003,0)),"")</f>
        <v/>
      </c>
      <c r="D842" s="26" t="str">
        <f t="array" ref="D842">IFERROR(INDEX('Patrimônio'!$B$7:$B$1003,MATCH($B842,'Patrimônio'!$A$7:$A$1003,0)),"")</f>
        <v/>
      </c>
      <c r="E842" s="17"/>
      <c r="F842" s="18"/>
      <c r="G842" s="19"/>
      <c r="H842" s="15"/>
      <c r="I842" s="17"/>
      <c r="J842" s="24" t="str">
        <f t="shared" si="1"/>
        <v/>
      </c>
      <c r="K842" s="17"/>
    </row>
    <row r="843" ht="15.0" customHeight="1">
      <c r="A843" s="19"/>
      <c r="B843" s="15"/>
      <c r="C843" s="26" t="str">
        <f t="array" ref="C843">IFERROR(INDEX('Patrimônio'!$C$7:$C$1003,MATCH($B843,'Patrimônio'!$A$7:$A$1003,0)),"")</f>
        <v/>
      </c>
      <c r="D843" s="26" t="str">
        <f t="array" ref="D843">IFERROR(INDEX('Patrimônio'!$B$7:$B$1003,MATCH($B843,'Patrimônio'!$A$7:$A$1003,0)),"")</f>
        <v/>
      </c>
      <c r="E843" s="17"/>
      <c r="F843" s="18"/>
      <c r="G843" s="19"/>
      <c r="H843" s="15"/>
      <c r="I843" s="17"/>
      <c r="J843" s="24" t="str">
        <f t="shared" si="1"/>
        <v/>
      </c>
      <c r="K843" s="17"/>
    </row>
    <row r="844" ht="15.0" customHeight="1">
      <c r="A844" s="19"/>
      <c r="B844" s="15"/>
      <c r="C844" s="26" t="str">
        <f t="array" ref="C844">IFERROR(INDEX('Patrimônio'!$C$7:$C$1003,MATCH($B844,'Patrimônio'!$A$7:$A$1003,0)),"")</f>
        <v/>
      </c>
      <c r="D844" s="26" t="str">
        <f t="array" ref="D844">IFERROR(INDEX('Patrimônio'!$B$7:$B$1003,MATCH($B844,'Patrimônio'!$A$7:$A$1003,0)),"")</f>
        <v/>
      </c>
      <c r="E844" s="17"/>
      <c r="F844" s="18"/>
      <c r="G844" s="19"/>
      <c r="H844" s="15"/>
      <c r="I844" s="17"/>
      <c r="J844" s="24" t="str">
        <f t="shared" si="1"/>
        <v/>
      </c>
      <c r="K844" s="17"/>
    </row>
    <row r="845" ht="15.0" customHeight="1">
      <c r="A845" s="19"/>
      <c r="B845" s="15"/>
      <c r="C845" s="26" t="str">
        <f t="array" ref="C845">IFERROR(INDEX('Patrimônio'!$C$7:$C$1003,MATCH($B845,'Patrimônio'!$A$7:$A$1003,0)),"")</f>
        <v/>
      </c>
      <c r="D845" s="26" t="str">
        <f t="array" ref="D845">IFERROR(INDEX('Patrimônio'!$B$7:$B$1003,MATCH($B845,'Patrimônio'!$A$7:$A$1003,0)),"")</f>
        <v/>
      </c>
      <c r="E845" s="17"/>
      <c r="F845" s="18"/>
      <c r="G845" s="19"/>
      <c r="H845" s="15"/>
      <c r="I845" s="17"/>
      <c r="J845" s="24" t="str">
        <f t="shared" si="1"/>
        <v/>
      </c>
      <c r="K845" s="17"/>
    </row>
    <row r="846" ht="15.0" customHeight="1">
      <c r="A846" s="19"/>
      <c r="B846" s="15"/>
      <c r="C846" s="26" t="str">
        <f t="array" ref="C846">IFERROR(INDEX('Patrimônio'!$C$7:$C$1003,MATCH($B846,'Patrimônio'!$A$7:$A$1003,0)),"")</f>
        <v/>
      </c>
      <c r="D846" s="26" t="str">
        <f t="array" ref="D846">IFERROR(INDEX('Patrimônio'!$B$7:$B$1003,MATCH($B846,'Patrimônio'!$A$7:$A$1003,0)),"")</f>
        <v/>
      </c>
      <c r="E846" s="17"/>
      <c r="F846" s="18"/>
      <c r="G846" s="19"/>
      <c r="H846" s="15"/>
      <c r="I846" s="17"/>
      <c r="J846" s="24" t="str">
        <f t="shared" si="1"/>
        <v/>
      </c>
      <c r="K846" s="17"/>
    </row>
    <row r="847" ht="15.0" customHeight="1">
      <c r="A847" s="19"/>
      <c r="B847" s="15"/>
      <c r="C847" s="26" t="str">
        <f t="array" ref="C847">IFERROR(INDEX('Patrimônio'!$C$7:$C$1003,MATCH($B847,'Patrimônio'!$A$7:$A$1003,0)),"")</f>
        <v/>
      </c>
      <c r="D847" s="26" t="str">
        <f t="array" ref="D847">IFERROR(INDEX('Patrimônio'!$B$7:$B$1003,MATCH($B847,'Patrimônio'!$A$7:$A$1003,0)),"")</f>
        <v/>
      </c>
      <c r="E847" s="17"/>
      <c r="F847" s="18"/>
      <c r="G847" s="19"/>
      <c r="H847" s="15"/>
      <c r="I847" s="17"/>
      <c r="J847" s="24" t="str">
        <f t="shared" si="1"/>
        <v/>
      </c>
      <c r="K847" s="17"/>
    </row>
    <row r="848" ht="15.0" customHeight="1">
      <c r="A848" s="19"/>
      <c r="B848" s="15"/>
      <c r="C848" s="26" t="str">
        <f t="array" ref="C848">IFERROR(INDEX('Patrimônio'!$C$7:$C$1003,MATCH($B848,'Patrimônio'!$A$7:$A$1003,0)),"")</f>
        <v/>
      </c>
      <c r="D848" s="26" t="str">
        <f t="array" ref="D848">IFERROR(INDEX('Patrimônio'!$B$7:$B$1003,MATCH($B848,'Patrimônio'!$A$7:$A$1003,0)),"")</f>
        <v/>
      </c>
      <c r="E848" s="17"/>
      <c r="F848" s="18"/>
      <c r="G848" s="19"/>
      <c r="H848" s="15"/>
      <c r="I848" s="17"/>
      <c r="J848" s="24" t="str">
        <f t="shared" si="1"/>
        <v/>
      </c>
      <c r="K848" s="17"/>
    </row>
    <row r="849" ht="15.0" customHeight="1">
      <c r="A849" s="19"/>
      <c r="B849" s="15"/>
      <c r="C849" s="26" t="str">
        <f t="array" ref="C849">IFERROR(INDEX('Patrimônio'!$C$7:$C$1003,MATCH($B849,'Patrimônio'!$A$7:$A$1003,0)),"")</f>
        <v/>
      </c>
      <c r="D849" s="26" t="str">
        <f t="array" ref="D849">IFERROR(INDEX('Patrimônio'!$B$7:$B$1003,MATCH($B849,'Patrimônio'!$A$7:$A$1003,0)),"")</f>
        <v/>
      </c>
      <c r="E849" s="17"/>
      <c r="F849" s="18"/>
      <c r="G849" s="19"/>
      <c r="H849" s="15"/>
      <c r="I849" s="17"/>
      <c r="J849" s="24" t="str">
        <f t="shared" si="1"/>
        <v/>
      </c>
      <c r="K849" s="17"/>
    </row>
    <row r="850" ht="15.0" customHeight="1">
      <c r="A850" s="19"/>
      <c r="B850" s="15"/>
      <c r="C850" s="26" t="str">
        <f t="array" ref="C850">IFERROR(INDEX('Patrimônio'!$C$7:$C$1003,MATCH($B850,'Patrimônio'!$A$7:$A$1003,0)),"")</f>
        <v/>
      </c>
      <c r="D850" s="26" t="str">
        <f t="array" ref="D850">IFERROR(INDEX('Patrimônio'!$B$7:$B$1003,MATCH($B850,'Patrimônio'!$A$7:$A$1003,0)),"")</f>
        <v/>
      </c>
      <c r="E850" s="17"/>
      <c r="F850" s="18"/>
      <c r="G850" s="19"/>
      <c r="H850" s="15"/>
      <c r="I850" s="17"/>
      <c r="J850" s="24" t="str">
        <f t="shared" si="1"/>
        <v/>
      </c>
      <c r="K850" s="17"/>
    </row>
    <row r="851" ht="15.0" customHeight="1">
      <c r="A851" s="19"/>
      <c r="B851" s="15"/>
      <c r="C851" s="26" t="str">
        <f t="array" ref="C851">IFERROR(INDEX('Patrimônio'!$C$7:$C$1003,MATCH($B851,'Patrimônio'!$A$7:$A$1003,0)),"")</f>
        <v/>
      </c>
      <c r="D851" s="26" t="str">
        <f t="array" ref="D851">IFERROR(INDEX('Patrimônio'!$B$7:$B$1003,MATCH($B851,'Patrimônio'!$A$7:$A$1003,0)),"")</f>
        <v/>
      </c>
      <c r="E851" s="17"/>
      <c r="F851" s="18"/>
      <c r="G851" s="19"/>
      <c r="H851" s="15"/>
      <c r="I851" s="17"/>
      <c r="J851" s="24" t="str">
        <f t="shared" si="1"/>
        <v/>
      </c>
      <c r="K851" s="17"/>
    </row>
    <row r="852" ht="15.0" customHeight="1">
      <c r="A852" s="19"/>
      <c r="B852" s="15"/>
      <c r="C852" s="26" t="str">
        <f t="array" ref="C852">IFERROR(INDEX('Patrimônio'!$C$7:$C$1003,MATCH($B852,'Patrimônio'!$A$7:$A$1003,0)),"")</f>
        <v/>
      </c>
      <c r="D852" s="26" t="str">
        <f t="array" ref="D852">IFERROR(INDEX('Patrimônio'!$B$7:$B$1003,MATCH($B852,'Patrimônio'!$A$7:$A$1003,0)),"")</f>
        <v/>
      </c>
      <c r="E852" s="17"/>
      <c r="F852" s="18"/>
      <c r="G852" s="19"/>
      <c r="H852" s="15"/>
      <c r="I852" s="17"/>
      <c r="J852" s="24" t="str">
        <f t="shared" si="1"/>
        <v/>
      </c>
      <c r="K852" s="17"/>
    </row>
    <row r="853" ht="15.0" customHeight="1">
      <c r="A853" s="19"/>
      <c r="B853" s="15"/>
      <c r="C853" s="26" t="str">
        <f t="array" ref="C853">IFERROR(INDEX('Patrimônio'!$C$7:$C$1003,MATCH($B853,'Patrimônio'!$A$7:$A$1003,0)),"")</f>
        <v/>
      </c>
      <c r="D853" s="26" t="str">
        <f t="array" ref="D853">IFERROR(INDEX('Patrimônio'!$B$7:$B$1003,MATCH($B853,'Patrimônio'!$A$7:$A$1003,0)),"")</f>
        <v/>
      </c>
      <c r="E853" s="17"/>
      <c r="F853" s="18"/>
      <c r="G853" s="19"/>
      <c r="H853" s="15"/>
      <c r="I853" s="17"/>
      <c r="J853" s="24" t="str">
        <f t="shared" si="1"/>
        <v/>
      </c>
      <c r="K853" s="17"/>
    </row>
    <row r="854" ht="15.0" customHeight="1">
      <c r="A854" s="19"/>
      <c r="B854" s="15"/>
      <c r="C854" s="26" t="str">
        <f t="array" ref="C854">IFERROR(INDEX('Patrimônio'!$C$7:$C$1003,MATCH($B854,'Patrimônio'!$A$7:$A$1003,0)),"")</f>
        <v/>
      </c>
      <c r="D854" s="26" t="str">
        <f t="array" ref="D854">IFERROR(INDEX('Patrimônio'!$B$7:$B$1003,MATCH($B854,'Patrimônio'!$A$7:$A$1003,0)),"")</f>
        <v/>
      </c>
      <c r="E854" s="17"/>
      <c r="F854" s="18"/>
      <c r="G854" s="19"/>
      <c r="H854" s="15"/>
      <c r="I854" s="17"/>
      <c r="J854" s="24" t="str">
        <f t="shared" si="1"/>
        <v/>
      </c>
      <c r="K854" s="17"/>
    </row>
    <row r="855" ht="15.0" customHeight="1">
      <c r="A855" s="19"/>
      <c r="B855" s="15"/>
      <c r="C855" s="26" t="str">
        <f t="array" ref="C855">IFERROR(INDEX('Patrimônio'!$C$7:$C$1003,MATCH($B855,'Patrimônio'!$A$7:$A$1003,0)),"")</f>
        <v/>
      </c>
      <c r="D855" s="26" t="str">
        <f t="array" ref="D855">IFERROR(INDEX('Patrimônio'!$B$7:$B$1003,MATCH($B855,'Patrimônio'!$A$7:$A$1003,0)),"")</f>
        <v/>
      </c>
      <c r="E855" s="17"/>
      <c r="F855" s="18"/>
      <c r="G855" s="19"/>
      <c r="H855" s="15"/>
      <c r="I855" s="17"/>
      <c r="J855" s="24" t="str">
        <f t="shared" si="1"/>
        <v/>
      </c>
      <c r="K855" s="17"/>
    </row>
    <row r="856" ht="15.0" customHeight="1">
      <c r="A856" s="19"/>
      <c r="B856" s="15"/>
      <c r="C856" s="26" t="str">
        <f t="array" ref="C856">IFERROR(INDEX('Patrimônio'!$C$7:$C$1003,MATCH($B856,'Patrimônio'!$A$7:$A$1003,0)),"")</f>
        <v/>
      </c>
      <c r="D856" s="26" t="str">
        <f t="array" ref="D856">IFERROR(INDEX('Patrimônio'!$B$7:$B$1003,MATCH($B856,'Patrimônio'!$A$7:$A$1003,0)),"")</f>
        <v/>
      </c>
      <c r="E856" s="17"/>
      <c r="F856" s="18"/>
      <c r="G856" s="19"/>
      <c r="H856" s="15"/>
      <c r="I856" s="17"/>
      <c r="J856" s="24" t="str">
        <f t="shared" si="1"/>
        <v/>
      </c>
      <c r="K856" s="17"/>
    </row>
    <row r="857" ht="15.0" customHeight="1">
      <c r="A857" s="19"/>
      <c r="B857" s="15"/>
      <c r="C857" s="26" t="str">
        <f t="array" ref="C857">IFERROR(INDEX('Patrimônio'!$C$7:$C$1003,MATCH($B857,'Patrimônio'!$A$7:$A$1003,0)),"")</f>
        <v/>
      </c>
      <c r="D857" s="26" t="str">
        <f t="array" ref="D857">IFERROR(INDEX('Patrimônio'!$B$7:$B$1003,MATCH($B857,'Patrimônio'!$A$7:$A$1003,0)),"")</f>
        <v/>
      </c>
      <c r="E857" s="17"/>
      <c r="F857" s="18"/>
      <c r="G857" s="19"/>
      <c r="H857" s="15"/>
      <c r="I857" s="17"/>
      <c r="J857" s="24" t="str">
        <f t="shared" si="1"/>
        <v/>
      </c>
      <c r="K857" s="17"/>
    </row>
    <row r="858" ht="15.0" customHeight="1">
      <c r="A858" s="19"/>
      <c r="B858" s="15"/>
      <c r="C858" s="26" t="str">
        <f t="array" ref="C858">IFERROR(INDEX('Patrimônio'!$C$7:$C$1003,MATCH($B858,'Patrimônio'!$A$7:$A$1003,0)),"")</f>
        <v/>
      </c>
      <c r="D858" s="26" t="str">
        <f t="array" ref="D858">IFERROR(INDEX('Patrimônio'!$B$7:$B$1003,MATCH($B858,'Patrimônio'!$A$7:$A$1003,0)),"")</f>
        <v/>
      </c>
      <c r="E858" s="17"/>
      <c r="F858" s="18"/>
      <c r="G858" s="19"/>
      <c r="H858" s="15"/>
      <c r="I858" s="17"/>
      <c r="J858" s="24" t="str">
        <f t="shared" si="1"/>
        <v/>
      </c>
      <c r="K858" s="17"/>
    </row>
    <row r="859" ht="15.0" customHeight="1">
      <c r="A859" s="19"/>
      <c r="B859" s="15"/>
      <c r="C859" s="26" t="str">
        <f t="array" ref="C859">IFERROR(INDEX('Patrimônio'!$C$7:$C$1003,MATCH($B859,'Patrimônio'!$A$7:$A$1003,0)),"")</f>
        <v/>
      </c>
      <c r="D859" s="26" t="str">
        <f t="array" ref="D859">IFERROR(INDEX('Patrimônio'!$B$7:$B$1003,MATCH($B859,'Patrimônio'!$A$7:$A$1003,0)),"")</f>
        <v/>
      </c>
      <c r="E859" s="17"/>
      <c r="F859" s="18"/>
      <c r="G859" s="19"/>
      <c r="H859" s="15"/>
      <c r="I859" s="17"/>
      <c r="J859" s="24" t="str">
        <f t="shared" si="1"/>
        <v/>
      </c>
      <c r="K859" s="17"/>
    </row>
    <row r="860" ht="15.0" customHeight="1">
      <c r="A860" s="19"/>
      <c r="B860" s="15"/>
      <c r="C860" s="26" t="str">
        <f t="array" ref="C860">IFERROR(INDEX('Patrimônio'!$C$7:$C$1003,MATCH($B860,'Patrimônio'!$A$7:$A$1003,0)),"")</f>
        <v/>
      </c>
      <c r="D860" s="26" t="str">
        <f t="array" ref="D860">IFERROR(INDEX('Patrimônio'!$B$7:$B$1003,MATCH($B860,'Patrimônio'!$A$7:$A$1003,0)),"")</f>
        <v/>
      </c>
      <c r="E860" s="17"/>
      <c r="F860" s="18"/>
      <c r="G860" s="19"/>
      <c r="H860" s="15"/>
      <c r="I860" s="17"/>
      <c r="J860" s="24" t="str">
        <f t="shared" si="1"/>
        <v/>
      </c>
      <c r="K860" s="17"/>
    </row>
    <row r="861" ht="15.0" customHeight="1">
      <c r="A861" s="19"/>
      <c r="B861" s="15"/>
      <c r="C861" s="26" t="str">
        <f t="array" ref="C861">IFERROR(INDEX('Patrimônio'!$C$7:$C$1003,MATCH($B861,'Patrimônio'!$A$7:$A$1003,0)),"")</f>
        <v/>
      </c>
      <c r="D861" s="26" t="str">
        <f t="array" ref="D861">IFERROR(INDEX('Patrimônio'!$B$7:$B$1003,MATCH($B861,'Patrimônio'!$A$7:$A$1003,0)),"")</f>
        <v/>
      </c>
      <c r="E861" s="17"/>
      <c r="F861" s="18"/>
      <c r="G861" s="19"/>
      <c r="H861" s="15"/>
      <c r="I861" s="17"/>
      <c r="J861" s="24" t="str">
        <f t="shared" si="1"/>
        <v/>
      </c>
      <c r="K861" s="17"/>
    </row>
    <row r="862" ht="15.0" customHeight="1">
      <c r="A862" s="19"/>
      <c r="B862" s="15"/>
      <c r="C862" s="26" t="str">
        <f t="array" ref="C862">IFERROR(INDEX('Patrimônio'!$C$7:$C$1003,MATCH($B862,'Patrimônio'!$A$7:$A$1003,0)),"")</f>
        <v/>
      </c>
      <c r="D862" s="26" t="str">
        <f t="array" ref="D862">IFERROR(INDEX('Patrimônio'!$B$7:$B$1003,MATCH($B862,'Patrimônio'!$A$7:$A$1003,0)),"")</f>
        <v/>
      </c>
      <c r="E862" s="17"/>
      <c r="F862" s="18"/>
      <c r="G862" s="19"/>
      <c r="H862" s="15"/>
      <c r="I862" s="17"/>
      <c r="J862" s="24" t="str">
        <f t="shared" si="1"/>
        <v/>
      </c>
      <c r="K862" s="17"/>
    </row>
    <row r="863" ht="15.0" customHeight="1">
      <c r="A863" s="19"/>
      <c r="B863" s="15"/>
      <c r="C863" s="26" t="str">
        <f t="array" ref="C863">IFERROR(INDEX('Patrimônio'!$C$7:$C$1003,MATCH($B863,'Patrimônio'!$A$7:$A$1003,0)),"")</f>
        <v/>
      </c>
      <c r="D863" s="26" t="str">
        <f t="array" ref="D863">IFERROR(INDEX('Patrimônio'!$B$7:$B$1003,MATCH($B863,'Patrimônio'!$A$7:$A$1003,0)),"")</f>
        <v/>
      </c>
      <c r="E863" s="17"/>
      <c r="F863" s="18"/>
      <c r="G863" s="19"/>
      <c r="H863" s="15"/>
      <c r="I863" s="17"/>
      <c r="J863" s="24" t="str">
        <f t="shared" si="1"/>
        <v/>
      </c>
      <c r="K863" s="17"/>
    </row>
    <row r="864" ht="15.0" customHeight="1">
      <c r="A864" s="19"/>
      <c r="B864" s="15"/>
      <c r="C864" s="26" t="str">
        <f t="array" ref="C864">IFERROR(INDEX('Patrimônio'!$C$7:$C$1003,MATCH($B864,'Patrimônio'!$A$7:$A$1003,0)),"")</f>
        <v/>
      </c>
      <c r="D864" s="26" t="str">
        <f t="array" ref="D864">IFERROR(INDEX('Patrimônio'!$B$7:$B$1003,MATCH($B864,'Patrimônio'!$A$7:$A$1003,0)),"")</f>
        <v/>
      </c>
      <c r="E864" s="17"/>
      <c r="F864" s="18"/>
      <c r="G864" s="19"/>
      <c r="H864" s="15"/>
      <c r="I864" s="17"/>
      <c r="J864" s="24" t="str">
        <f t="shared" si="1"/>
        <v/>
      </c>
      <c r="K864" s="17"/>
    </row>
    <row r="865" ht="15.0" customHeight="1">
      <c r="A865" s="19"/>
      <c r="B865" s="15"/>
      <c r="C865" s="26" t="str">
        <f t="array" ref="C865">IFERROR(INDEX('Patrimônio'!$C$7:$C$1003,MATCH($B865,'Patrimônio'!$A$7:$A$1003,0)),"")</f>
        <v/>
      </c>
      <c r="D865" s="26" t="str">
        <f t="array" ref="D865">IFERROR(INDEX('Patrimônio'!$B$7:$B$1003,MATCH($B865,'Patrimônio'!$A$7:$A$1003,0)),"")</f>
        <v/>
      </c>
      <c r="E865" s="17"/>
      <c r="F865" s="18"/>
      <c r="G865" s="19"/>
      <c r="H865" s="15"/>
      <c r="I865" s="17"/>
      <c r="J865" s="24" t="str">
        <f t="shared" si="1"/>
        <v/>
      </c>
      <c r="K865" s="17"/>
    </row>
    <row r="866" ht="15.0" customHeight="1">
      <c r="A866" s="19"/>
      <c r="B866" s="15"/>
      <c r="C866" s="26" t="str">
        <f t="array" ref="C866">IFERROR(INDEX('Patrimônio'!$C$7:$C$1003,MATCH($B866,'Patrimônio'!$A$7:$A$1003,0)),"")</f>
        <v/>
      </c>
      <c r="D866" s="26" t="str">
        <f t="array" ref="D866">IFERROR(INDEX('Patrimônio'!$B$7:$B$1003,MATCH($B866,'Patrimônio'!$A$7:$A$1003,0)),"")</f>
        <v/>
      </c>
      <c r="E866" s="17"/>
      <c r="F866" s="18"/>
      <c r="G866" s="19"/>
      <c r="H866" s="15"/>
      <c r="I866" s="17"/>
      <c r="J866" s="24" t="str">
        <f t="shared" si="1"/>
        <v/>
      </c>
      <c r="K866" s="17"/>
    </row>
    <row r="867" ht="15.0" customHeight="1">
      <c r="A867" s="19"/>
      <c r="B867" s="15"/>
      <c r="C867" s="26" t="str">
        <f t="array" ref="C867">IFERROR(INDEX('Patrimônio'!$C$7:$C$1003,MATCH($B867,'Patrimônio'!$A$7:$A$1003,0)),"")</f>
        <v/>
      </c>
      <c r="D867" s="26" t="str">
        <f t="array" ref="D867">IFERROR(INDEX('Patrimônio'!$B$7:$B$1003,MATCH($B867,'Patrimônio'!$A$7:$A$1003,0)),"")</f>
        <v/>
      </c>
      <c r="E867" s="17"/>
      <c r="F867" s="18"/>
      <c r="G867" s="19"/>
      <c r="H867" s="15"/>
      <c r="I867" s="17"/>
      <c r="J867" s="24" t="str">
        <f t="shared" si="1"/>
        <v/>
      </c>
      <c r="K867" s="17"/>
    </row>
    <row r="868" ht="15.0" customHeight="1">
      <c r="A868" s="19"/>
      <c r="B868" s="15"/>
      <c r="C868" s="26" t="str">
        <f t="array" ref="C868">IFERROR(INDEX('Patrimônio'!$C$7:$C$1003,MATCH($B868,'Patrimônio'!$A$7:$A$1003,0)),"")</f>
        <v/>
      </c>
      <c r="D868" s="26" t="str">
        <f t="array" ref="D868">IFERROR(INDEX('Patrimônio'!$B$7:$B$1003,MATCH($B868,'Patrimônio'!$A$7:$A$1003,0)),"")</f>
        <v/>
      </c>
      <c r="E868" s="17"/>
      <c r="F868" s="18"/>
      <c r="G868" s="19"/>
      <c r="H868" s="15"/>
      <c r="I868" s="17"/>
      <c r="J868" s="24" t="str">
        <f t="shared" si="1"/>
        <v/>
      </c>
      <c r="K868" s="17"/>
    </row>
    <row r="869" ht="15.0" customHeight="1">
      <c r="A869" s="19"/>
      <c r="B869" s="15"/>
      <c r="C869" s="26" t="str">
        <f t="array" ref="C869">IFERROR(INDEX('Patrimônio'!$C$7:$C$1003,MATCH($B869,'Patrimônio'!$A$7:$A$1003,0)),"")</f>
        <v/>
      </c>
      <c r="D869" s="26" t="str">
        <f t="array" ref="D869">IFERROR(INDEX('Patrimônio'!$B$7:$B$1003,MATCH($B869,'Patrimônio'!$A$7:$A$1003,0)),"")</f>
        <v/>
      </c>
      <c r="E869" s="17"/>
      <c r="F869" s="18"/>
      <c r="G869" s="19"/>
      <c r="H869" s="15"/>
      <c r="I869" s="17"/>
      <c r="J869" s="24" t="str">
        <f t="shared" si="1"/>
        <v/>
      </c>
      <c r="K869" s="17"/>
    </row>
    <row r="870" ht="15.0" customHeight="1">
      <c r="A870" s="19"/>
      <c r="B870" s="15"/>
      <c r="C870" s="26" t="str">
        <f t="array" ref="C870">IFERROR(INDEX('Patrimônio'!$C$7:$C$1003,MATCH($B870,'Patrimônio'!$A$7:$A$1003,0)),"")</f>
        <v/>
      </c>
      <c r="D870" s="26" t="str">
        <f t="array" ref="D870">IFERROR(INDEX('Patrimônio'!$B$7:$B$1003,MATCH($B870,'Patrimônio'!$A$7:$A$1003,0)),"")</f>
        <v/>
      </c>
      <c r="E870" s="17"/>
      <c r="F870" s="18"/>
      <c r="G870" s="19"/>
      <c r="H870" s="15"/>
      <c r="I870" s="17"/>
      <c r="J870" s="24" t="str">
        <f t="shared" si="1"/>
        <v/>
      </c>
      <c r="K870" s="17"/>
    </row>
    <row r="871" ht="15.0" customHeight="1">
      <c r="A871" s="19"/>
      <c r="B871" s="15"/>
      <c r="C871" s="26" t="str">
        <f t="array" ref="C871">IFERROR(INDEX('Patrimônio'!$C$7:$C$1003,MATCH($B871,'Patrimônio'!$A$7:$A$1003,0)),"")</f>
        <v/>
      </c>
      <c r="D871" s="26" t="str">
        <f t="array" ref="D871">IFERROR(INDEX('Patrimônio'!$B$7:$B$1003,MATCH($B871,'Patrimônio'!$A$7:$A$1003,0)),"")</f>
        <v/>
      </c>
      <c r="E871" s="17"/>
      <c r="F871" s="18"/>
      <c r="G871" s="19"/>
      <c r="H871" s="15"/>
      <c r="I871" s="17"/>
      <c r="J871" s="24" t="str">
        <f t="shared" si="1"/>
        <v/>
      </c>
      <c r="K871" s="17"/>
    </row>
    <row r="872" ht="15.0" customHeight="1">
      <c r="A872" s="19"/>
      <c r="B872" s="15"/>
      <c r="C872" s="26" t="str">
        <f t="array" ref="C872">IFERROR(INDEX('Patrimônio'!$C$7:$C$1003,MATCH($B872,'Patrimônio'!$A$7:$A$1003,0)),"")</f>
        <v/>
      </c>
      <c r="D872" s="26" t="str">
        <f t="array" ref="D872">IFERROR(INDEX('Patrimônio'!$B$7:$B$1003,MATCH($B872,'Patrimônio'!$A$7:$A$1003,0)),"")</f>
        <v/>
      </c>
      <c r="E872" s="17"/>
      <c r="F872" s="18"/>
      <c r="G872" s="19"/>
      <c r="H872" s="15"/>
      <c r="I872" s="17"/>
      <c r="J872" s="24" t="str">
        <f t="shared" si="1"/>
        <v/>
      </c>
      <c r="K872" s="17"/>
    </row>
    <row r="873" ht="15.0" customHeight="1">
      <c r="A873" s="19"/>
      <c r="B873" s="15"/>
      <c r="C873" s="26" t="str">
        <f t="array" ref="C873">IFERROR(INDEX('Patrimônio'!$C$7:$C$1003,MATCH($B873,'Patrimônio'!$A$7:$A$1003,0)),"")</f>
        <v/>
      </c>
      <c r="D873" s="26" t="str">
        <f t="array" ref="D873">IFERROR(INDEX('Patrimônio'!$B$7:$B$1003,MATCH($B873,'Patrimônio'!$A$7:$A$1003,0)),"")</f>
        <v/>
      </c>
      <c r="E873" s="17"/>
      <c r="F873" s="18"/>
      <c r="G873" s="19"/>
      <c r="H873" s="15"/>
      <c r="I873" s="17"/>
      <c r="J873" s="24" t="str">
        <f t="shared" si="1"/>
        <v/>
      </c>
      <c r="K873" s="17"/>
    </row>
    <row r="874" ht="15.0" customHeight="1">
      <c r="A874" s="19"/>
      <c r="B874" s="15"/>
      <c r="C874" s="26" t="str">
        <f t="array" ref="C874">IFERROR(INDEX('Patrimônio'!$C$7:$C$1003,MATCH($B874,'Patrimônio'!$A$7:$A$1003,0)),"")</f>
        <v/>
      </c>
      <c r="D874" s="26" t="str">
        <f t="array" ref="D874">IFERROR(INDEX('Patrimônio'!$B$7:$B$1003,MATCH($B874,'Patrimônio'!$A$7:$A$1003,0)),"")</f>
        <v/>
      </c>
      <c r="E874" s="17"/>
      <c r="F874" s="18"/>
      <c r="G874" s="19"/>
      <c r="H874" s="15"/>
      <c r="I874" s="17"/>
      <c r="J874" s="24" t="str">
        <f t="shared" si="1"/>
        <v/>
      </c>
      <c r="K874" s="17"/>
    </row>
    <row r="875" ht="15.0" customHeight="1">
      <c r="A875" s="19"/>
      <c r="B875" s="15"/>
      <c r="C875" s="26" t="str">
        <f t="array" ref="C875">IFERROR(INDEX('Patrimônio'!$C$7:$C$1003,MATCH($B875,'Patrimônio'!$A$7:$A$1003,0)),"")</f>
        <v/>
      </c>
      <c r="D875" s="26" t="str">
        <f t="array" ref="D875">IFERROR(INDEX('Patrimônio'!$B$7:$B$1003,MATCH($B875,'Patrimônio'!$A$7:$A$1003,0)),"")</f>
        <v/>
      </c>
      <c r="E875" s="17"/>
      <c r="F875" s="18"/>
      <c r="G875" s="19"/>
      <c r="H875" s="15"/>
      <c r="I875" s="17"/>
      <c r="J875" s="24" t="str">
        <f t="shared" si="1"/>
        <v/>
      </c>
      <c r="K875" s="17"/>
    </row>
    <row r="876" ht="15.0" customHeight="1">
      <c r="A876" s="19"/>
      <c r="B876" s="15"/>
      <c r="C876" s="26" t="str">
        <f t="array" ref="C876">IFERROR(INDEX('Patrimônio'!$C$7:$C$1003,MATCH($B876,'Patrimônio'!$A$7:$A$1003,0)),"")</f>
        <v/>
      </c>
      <c r="D876" s="26" t="str">
        <f t="array" ref="D876">IFERROR(INDEX('Patrimônio'!$B$7:$B$1003,MATCH($B876,'Patrimônio'!$A$7:$A$1003,0)),"")</f>
        <v/>
      </c>
      <c r="E876" s="17"/>
      <c r="F876" s="18"/>
      <c r="G876" s="19"/>
      <c r="H876" s="15"/>
      <c r="I876" s="17"/>
      <c r="J876" s="24" t="str">
        <f t="shared" si="1"/>
        <v/>
      </c>
      <c r="K876" s="17"/>
    </row>
    <row r="877" ht="15.0" customHeight="1">
      <c r="A877" s="19"/>
      <c r="B877" s="15"/>
      <c r="C877" s="26" t="str">
        <f t="array" ref="C877">IFERROR(INDEX('Patrimônio'!$C$7:$C$1003,MATCH($B877,'Patrimônio'!$A$7:$A$1003,0)),"")</f>
        <v/>
      </c>
      <c r="D877" s="26" t="str">
        <f t="array" ref="D877">IFERROR(INDEX('Patrimônio'!$B$7:$B$1003,MATCH($B877,'Patrimônio'!$A$7:$A$1003,0)),"")</f>
        <v/>
      </c>
      <c r="E877" s="17"/>
      <c r="F877" s="18"/>
      <c r="G877" s="19"/>
      <c r="H877" s="15"/>
      <c r="I877" s="17"/>
      <c r="J877" s="24" t="str">
        <f t="shared" si="1"/>
        <v/>
      </c>
      <c r="K877" s="17"/>
    </row>
    <row r="878" ht="15.0" customHeight="1">
      <c r="A878" s="19"/>
      <c r="B878" s="15"/>
      <c r="C878" s="26" t="str">
        <f t="array" ref="C878">IFERROR(INDEX('Patrimônio'!$C$7:$C$1003,MATCH($B878,'Patrimônio'!$A$7:$A$1003,0)),"")</f>
        <v/>
      </c>
      <c r="D878" s="26" t="str">
        <f t="array" ref="D878">IFERROR(INDEX('Patrimônio'!$B$7:$B$1003,MATCH($B878,'Patrimônio'!$A$7:$A$1003,0)),"")</f>
        <v/>
      </c>
      <c r="E878" s="17"/>
      <c r="F878" s="18"/>
      <c r="G878" s="19"/>
      <c r="H878" s="15"/>
      <c r="I878" s="17"/>
      <c r="J878" s="24" t="str">
        <f t="shared" si="1"/>
        <v/>
      </c>
      <c r="K878" s="17"/>
    </row>
    <row r="879" ht="15.0" customHeight="1">
      <c r="A879" s="19"/>
      <c r="B879" s="15"/>
      <c r="C879" s="26" t="str">
        <f t="array" ref="C879">IFERROR(INDEX('Patrimônio'!$C$7:$C$1003,MATCH($B879,'Patrimônio'!$A$7:$A$1003,0)),"")</f>
        <v/>
      </c>
      <c r="D879" s="26" t="str">
        <f t="array" ref="D879">IFERROR(INDEX('Patrimônio'!$B$7:$B$1003,MATCH($B879,'Patrimônio'!$A$7:$A$1003,0)),"")</f>
        <v/>
      </c>
      <c r="E879" s="17"/>
      <c r="F879" s="18"/>
      <c r="G879" s="19"/>
      <c r="H879" s="15"/>
      <c r="I879" s="17"/>
      <c r="J879" s="24" t="str">
        <f t="shared" si="1"/>
        <v/>
      </c>
      <c r="K879" s="17"/>
    </row>
    <row r="880" ht="15.0" customHeight="1">
      <c r="A880" s="19"/>
      <c r="B880" s="15"/>
      <c r="C880" s="26" t="str">
        <f t="array" ref="C880">IFERROR(INDEX('Patrimônio'!$C$7:$C$1003,MATCH($B880,'Patrimônio'!$A$7:$A$1003,0)),"")</f>
        <v/>
      </c>
      <c r="D880" s="26" t="str">
        <f t="array" ref="D880">IFERROR(INDEX('Patrimônio'!$B$7:$B$1003,MATCH($B880,'Patrimônio'!$A$7:$A$1003,0)),"")</f>
        <v/>
      </c>
      <c r="E880" s="17"/>
      <c r="F880" s="18"/>
      <c r="G880" s="19"/>
      <c r="H880" s="15"/>
      <c r="I880" s="17"/>
      <c r="J880" s="24" t="str">
        <f t="shared" si="1"/>
        <v/>
      </c>
      <c r="K880" s="17"/>
    </row>
    <row r="881" ht="15.0" customHeight="1">
      <c r="A881" s="19"/>
      <c r="B881" s="15"/>
      <c r="C881" s="26" t="str">
        <f t="array" ref="C881">IFERROR(INDEX('Patrimônio'!$C$7:$C$1003,MATCH($B881,'Patrimônio'!$A$7:$A$1003,0)),"")</f>
        <v/>
      </c>
      <c r="D881" s="26" t="str">
        <f t="array" ref="D881">IFERROR(INDEX('Patrimônio'!$B$7:$B$1003,MATCH($B881,'Patrimônio'!$A$7:$A$1003,0)),"")</f>
        <v/>
      </c>
      <c r="E881" s="17"/>
      <c r="F881" s="18"/>
      <c r="G881" s="19"/>
      <c r="H881" s="15"/>
      <c r="I881" s="17"/>
      <c r="J881" s="24" t="str">
        <f t="shared" si="1"/>
        <v/>
      </c>
      <c r="K881" s="17"/>
    </row>
    <row r="882" ht="15.0" customHeight="1">
      <c r="A882" s="19"/>
      <c r="B882" s="15"/>
      <c r="C882" s="26" t="str">
        <f t="array" ref="C882">IFERROR(INDEX('Patrimônio'!$C$7:$C$1003,MATCH($B882,'Patrimônio'!$A$7:$A$1003,0)),"")</f>
        <v/>
      </c>
      <c r="D882" s="26" t="str">
        <f t="array" ref="D882">IFERROR(INDEX('Patrimônio'!$B$7:$B$1003,MATCH($B882,'Patrimônio'!$A$7:$A$1003,0)),"")</f>
        <v/>
      </c>
      <c r="E882" s="17"/>
      <c r="F882" s="18"/>
      <c r="G882" s="19"/>
      <c r="H882" s="15"/>
      <c r="I882" s="17"/>
      <c r="J882" s="24" t="str">
        <f t="shared" si="1"/>
        <v/>
      </c>
      <c r="K882" s="17"/>
    </row>
    <row r="883" ht="15.0" customHeight="1">
      <c r="A883" s="19"/>
      <c r="B883" s="15"/>
      <c r="C883" s="26" t="str">
        <f t="array" ref="C883">IFERROR(INDEX('Patrimônio'!$C$7:$C$1003,MATCH($B883,'Patrimônio'!$A$7:$A$1003,0)),"")</f>
        <v/>
      </c>
      <c r="D883" s="26" t="str">
        <f t="array" ref="D883">IFERROR(INDEX('Patrimônio'!$B$7:$B$1003,MATCH($B883,'Patrimônio'!$A$7:$A$1003,0)),"")</f>
        <v/>
      </c>
      <c r="E883" s="17"/>
      <c r="F883" s="18"/>
      <c r="G883" s="19"/>
      <c r="H883" s="15"/>
      <c r="I883" s="17"/>
      <c r="J883" s="24" t="str">
        <f t="shared" si="1"/>
        <v/>
      </c>
      <c r="K883" s="17"/>
    </row>
    <row r="884" ht="15.0" customHeight="1">
      <c r="A884" s="19"/>
      <c r="B884" s="15"/>
      <c r="C884" s="26" t="str">
        <f t="array" ref="C884">IFERROR(INDEX('Patrimônio'!$C$7:$C$1003,MATCH($B884,'Patrimônio'!$A$7:$A$1003,0)),"")</f>
        <v/>
      </c>
      <c r="D884" s="26" t="str">
        <f t="array" ref="D884">IFERROR(INDEX('Patrimônio'!$B$7:$B$1003,MATCH($B884,'Patrimônio'!$A$7:$A$1003,0)),"")</f>
        <v/>
      </c>
      <c r="E884" s="17"/>
      <c r="F884" s="18"/>
      <c r="G884" s="19"/>
      <c r="H884" s="15"/>
      <c r="I884" s="17"/>
      <c r="J884" s="24" t="str">
        <f t="shared" si="1"/>
        <v/>
      </c>
      <c r="K884" s="17"/>
    </row>
    <row r="885" ht="15.0" customHeight="1">
      <c r="A885" s="19"/>
      <c r="B885" s="15"/>
      <c r="C885" s="26" t="str">
        <f t="array" ref="C885">IFERROR(INDEX('Patrimônio'!$C$7:$C$1003,MATCH($B885,'Patrimônio'!$A$7:$A$1003,0)),"")</f>
        <v/>
      </c>
      <c r="D885" s="26" t="str">
        <f t="array" ref="D885">IFERROR(INDEX('Patrimônio'!$B$7:$B$1003,MATCH($B885,'Patrimônio'!$A$7:$A$1003,0)),"")</f>
        <v/>
      </c>
      <c r="E885" s="17"/>
      <c r="F885" s="18"/>
      <c r="G885" s="19"/>
      <c r="H885" s="15"/>
      <c r="I885" s="17"/>
      <c r="J885" s="24" t="str">
        <f t="shared" si="1"/>
        <v/>
      </c>
      <c r="K885" s="17"/>
    </row>
    <row r="886" ht="15.0" customHeight="1">
      <c r="A886" s="19"/>
      <c r="B886" s="15"/>
      <c r="C886" s="26" t="str">
        <f t="array" ref="C886">IFERROR(INDEX('Patrimônio'!$C$7:$C$1003,MATCH($B886,'Patrimônio'!$A$7:$A$1003,0)),"")</f>
        <v/>
      </c>
      <c r="D886" s="26" t="str">
        <f t="array" ref="D886">IFERROR(INDEX('Patrimônio'!$B$7:$B$1003,MATCH($B886,'Patrimônio'!$A$7:$A$1003,0)),"")</f>
        <v/>
      </c>
      <c r="E886" s="17"/>
      <c r="F886" s="18"/>
      <c r="G886" s="19"/>
      <c r="H886" s="15"/>
      <c r="I886" s="17"/>
      <c r="J886" s="24" t="str">
        <f t="shared" si="1"/>
        <v/>
      </c>
      <c r="K886" s="17"/>
    </row>
    <row r="887" ht="15.0" customHeight="1">
      <c r="A887" s="19"/>
      <c r="B887" s="15"/>
      <c r="C887" s="26" t="str">
        <f t="array" ref="C887">IFERROR(INDEX('Patrimônio'!$C$7:$C$1003,MATCH($B887,'Patrimônio'!$A$7:$A$1003,0)),"")</f>
        <v/>
      </c>
      <c r="D887" s="26" t="str">
        <f t="array" ref="D887">IFERROR(INDEX('Patrimônio'!$B$7:$B$1003,MATCH($B887,'Patrimônio'!$A$7:$A$1003,0)),"")</f>
        <v/>
      </c>
      <c r="E887" s="17"/>
      <c r="F887" s="18"/>
      <c r="G887" s="19"/>
      <c r="H887" s="15"/>
      <c r="I887" s="17"/>
      <c r="J887" s="24" t="str">
        <f t="shared" si="1"/>
        <v/>
      </c>
      <c r="K887" s="17"/>
    </row>
    <row r="888" ht="15.0" customHeight="1">
      <c r="A888" s="19"/>
      <c r="B888" s="15"/>
      <c r="C888" s="26" t="str">
        <f t="array" ref="C888">IFERROR(INDEX('Patrimônio'!$C$7:$C$1003,MATCH($B888,'Patrimônio'!$A$7:$A$1003,0)),"")</f>
        <v/>
      </c>
      <c r="D888" s="26" t="str">
        <f t="array" ref="D888">IFERROR(INDEX('Patrimônio'!$B$7:$B$1003,MATCH($B888,'Patrimônio'!$A$7:$A$1003,0)),"")</f>
        <v/>
      </c>
      <c r="E888" s="17"/>
      <c r="F888" s="18"/>
      <c r="G888" s="19"/>
      <c r="H888" s="15"/>
      <c r="I888" s="17"/>
      <c r="J888" s="24" t="str">
        <f t="shared" si="1"/>
        <v/>
      </c>
      <c r="K888" s="17"/>
    </row>
    <row r="889" ht="15.0" customHeight="1">
      <c r="A889" s="19"/>
      <c r="B889" s="15"/>
      <c r="C889" s="26" t="str">
        <f t="array" ref="C889">IFERROR(INDEX('Patrimônio'!$C$7:$C$1003,MATCH($B889,'Patrimônio'!$A$7:$A$1003,0)),"")</f>
        <v/>
      </c>
      <c r="D889" s="26" t="str">
        <f t="array" ref="D889">IFERROR(INDEX('Patrimônio'!$B$7:$B$1003,MATCH($B889,'Patrimônio'!$A$7:$A$1003,0)),"")</f>
        <v/>
      </c>
      <c r="E889" s="17"/>
      <c r="F889" s="18"/>
      <c r="G889" s="19"/>
      <c r="H889" s="15"/>
      <c r="I889" s="17"/>
      <c r="J889" s="24" t="str">
        <f t="shared" si="1"/>
        <v/>
      </c>
      <c r="K889" s="17"/>
    </row>
    <row r="890" ht="15.0" customHeight="1">
      <c r="A890" s="19"/>
      <c r="B890" s="15"/>
      <c r="C890" s="26" t="str">
        <f t="array" ref="C890">IFERROR(INDEX('Patrimônio'!$C$7:$C$1003,MATCH($B890,'Patrimônio'!$A$7:$A$1003,0)),"")</f>
        <v/>
      </c>
      <c r="D890" s="26" t="str">
        <f t="array" ref="D890">IFERROR(INDEX('Patrimônio'!$B$7:$B$1003,MATCH($B890,'Patrimônio'!$A$7:$A$1003,0)),"")</f>
        <v/>
      </c>
      <c r="E890" s="17"/>
      <c r="F890" s="18"/>
      <c r="G890" s="19"/>
      <c r="H890" s="15"/>
      <c r="I890" s="17"/>
      <c r="J890" s="24" t="str">
        <f t="shared" si="1"/>
        <v/>
      </c>
      <c r="K890" s="17"/>
    </row>
    <row r="891" ht="15.0" customHeight="1">
      <c r="A891" s="19"/>
      <c r="B891" s="15"/>
      <c r="C891" s="26" t="str">
        <f t="array" ref="C891">IFERROR(INDEX('Patrimônio'!$C$7:$C$1003,MATCH($B891,'Patrimônio'!$A$7:$A$1003,0)),"")</f>
        <v/>
      </c>
      <c r="D891" s="26" t="str">
        <f t="array" ref="D891">IFERROR(INDEX('Patrimônio'!$B$7:$B$1003,MATCH($B891,'Patrimônio'!$A$7:$A$1003,0)),"")</f>
        <v/>
      </c>
      <c r="E891" s="17"/>
      <c r="F891" s="18"/>
      <c r="G891" s="19"/>
      <c r="H891" s="15"/>
      <c r="I891" s="17"/>
      <c r="J891" s="24" t="str">
        <f t="shared" si="1"/>
        <v/>
      </c>
      <c r="K891" s="17"/>
    </row>
    <row r="892" ht="15.0" customHeight="1">
      <c r="A892" s="19"/>
      <c r="B892" s="15"/>
      <c r="C892" s="26" t="str">
        <f t="array" ref="C892">IFERROR(INDEX('Patrimônio'!$C$7:$C$1003,MATCH($B892,'Patrimônio'!$A$7:$A$1003,0)),"")</f>
        <v/>
      </c>
      <c r="D892" s="26" t="str">
        <f t="array" ref="D892">IFERROR(INDEX('Patrimônio'!$B$7:$B$1003,MATCH($B892,'Patrimônio'!$A$7:$A$1003,0)),"")</f>
        <v/>
      </c>
      <c r="E892" s="17"/>
      <c r="F892" s="18"/>
      <c r="G892" s="19"/>
      <c r="H892" s="15"/>
      <c r="I892" s="17"/>
      <c r="J892" s="24" t="str">
        <f t="shared" si="1"/>
        <v/>
      </c>
      <c r="K892" s="17"/>
    </row>
    <row r="893" ht="15.0" customHeight="1">
      <c r="A893" s="19"/>
      <c r="B893" s="15"/>
      <c r="C893" s="26" t="str">
        <f t="array" ref="C893">IFERROR(INDEX('Patrimônio'!$C$7:$C$1003,MATCH($B893,'Patrimônio'!$A$7:$A$1003,0)),"")</f>
        <v/>
      </c>
      <c r="D893" s="26" t="str">
        <f t="array" ref="D893">IFERROR(INDEX('Patrimônio'!$B$7:$B$1003,MATCH($B893,'Patrimônio'!$A$7:$A$1003,0)),"")</f>
        <v/>
      </c>
      <c r="E893" s="17"/>
      <c r="F893" s="18"/>
      <c r="G893" s="19"/>
      <c r="H893" s="15"/>
      <c r="I893" s="17"/>
      <c r="J893" s="24" t="str">
        <f t="shared" si="1"/>
        <v/>
      </c>
      <c r="K893" s="17"/>
    </row>
    <row r="894" ht="15.0" customHeight="1">
      <c r="A894" s="19"/>
      <c r="B894" s="15"/>
      <c r="C894" s="26" t="str">
        <f t="array" ref="C894">IFERROR(INDEX('Patrimônio'!$C$7:$C$1003,MATCH($B894,'Patrimônio'!$A$7:$A$1003,0)),"")</f>
        <v/>
      </c>
      <c r="D894" s="26" t="str">
        <f t="array" ref="D894">IFERROR(INDEX('Patrimônio'!$B$7:$B$1003,MATCH($B894,'Patrimônio'!$A$7:$A$1003,0)),"")</f>
        <v/>
      </c>
      <c r="E894" s="17"/>
      <c r="F894" s="18"/>
      <c r="G894" s="19"/>
      <c r="H894" s="15"/>
      <c r="I894" s="17"/>
      <c r="J894" s="24" t="str">
        <f t="shared" si="1"/>
        <v/>
      </c>
      <c r="K894" s="17"/>
    </row>
    <row r="895" ht="15.0" customHeight="1">
      <c r="A895" s="19"/>
      <c r="B895" s="15"/>
      <c r="C895" s="26" t="str">
        <f t="array" ref="C895">IFERROR(INDEX('Patrimônio'!$C$7:$C$1003,MATCH($B895,'Patrimônio'!$A$7:$A$1003,0)),"")</f>
        <v/>
      </c>
      <c r="D895" s="26" t="str">
        <f t="array" ref="D895">IFERROR(INDEX('Patrimônio'!$B$7:$B$1003,MATCH($B895,'Patrimônio'!$A$7:$A$1003,0)),"")</f>
        <v/>
      </c>
      <c r="E895" s="17"/>
      <c r="F895" s="18"/>
      <c r="G895" s="19"/>
      <c r="H895" s="15"/>
      <c r="I895" s="17"/>
      <c r="J895" s="24" t="str">
        <f t="shared" si="1"/>
        <v/>
      </c>
      <c r="K895" s="17"/>
    </row>
    <row r="896" ht="15.0" customHeight="1">
      <c r="A896" s="19"/>
      <c r="B896" s="15"/>
      <c r="C896" s="26" t="str">
        <f t="array" ref="C896">IFERROR(INDEX('Patrimônio'!$C$7:$C$1003,MATCH($B896,'Patrimônio'!$A$7:$A$1003,0)),"")</f>
        <v/>
      </c>
      <c r="D896" s="26" t="str">
        <f t="array" ref="D896">IFERROR(INDEX('Patrimônio'!$B$7:$B$1003,MATCH($B896,'Patrimônio'!$A$7:$A$1003,0)),"")</f>
        <v/>
      </c>
      <c r="E896" s="17"/>
      <c r="F896" s="18"/>
      <c r="G896" s="19"/>
      <c r="H896" s="15"/>
      <c r="I896" s="17"/>
      <c r="J896" s="24" t="str">
        <f t="shared" si="1"/>
        <v/>
      </c>
      <c r="K896" s="17"/>
    </row>
    <row r="897" ht="15.0" customHeight="1">
      <c r="A897" s="19"/>
      <c r="B897" s="15"/>
      <c r="C897" s="26" t="str">
        <f t="array" ref="C897">IFERROR(INDEX('Patrimônio'!$C$7:$C$1003,MATCH($B897,'Patrimônio'!$A$7:$A$1003,0)),"")</f>
        <v/>
      </c>
      <c r="D897" s="26" t="str">
        <f t="array" ref="D897">IFERROR(INDEX('Patrimônio'!$B$7:$B$1003,MATCH($B897,'Patrimônio'!$A$7:$A$1003,0)),"")</f>
        <v/>
      </c>
      <c r="E897" s="17"/>
      <c r="F897" s="18"/>
      <c r="G897" s="19"/>
      <c r="H897" s="15"/>
      <c r="I897" s="17"/>
      <c r="J897" s="24" t="str">
        <f t="shared" si="1"/>
        <v/>
      </c>
      <c r="K897" s="17"/>
    </row>
    <row r="898" ht="15.0" customHeight="1">
      <c r="A898" s="19"/>
      <c r="B898" s="15"/>
      <c r="C898" s="26" t="str">
        <f t="array" ref="C898">IFERROR(INDEX('Patrimônio'!$C$7:$C$1003,MATCH($B898,'Patrimônio'!$A$7:$A$1003,0)),"")</f>
        <v/>
      </c>
      <c r="D898" s="26" t="str">
        <f t="array" ref="D898">IFERROR(INDEX('Patrimônio'!$B$7:$B$1003,MATCH($B898,'Patrimônio'!$A$7:$A$1003,0)),"")</f>
        <v/>
      </c>
      <c r="E898" s="17"/>
      <c r="F898" s="18"/>
      <c r="G898" s="19"/>
      <c r="H898" s="15"/>
      <c r="I898" s="17"/>
      <c r="J898" s="24" t="str">
        <f t="shared" si="1"/>
        <v/>
      </c>
      <c r="K898" s="17"/>
    </row>
    <row r="899" ht="15.0" customHeight="1">
      <c r="A899" s="19"/>
      <c r="B899" s="15"/>
      <c r="C899" s="26" t="str">
        <f t="array" ref="C899">IFERROR(INDEX('Patrimônio'!$C$7:$C$1003,MATCH($B899,'Patrimônio'!$A$7:$A$1003,0)),"")</f>
        <v/>
      </c>
      <c r="D899" s="26" t="str">
        <f t="array" ref="D899">IFERROR(INDEX('Patrimônio'!$B$7:$B$1003,MATCH($B899,'Patrimônio'!$A$7:$A$1003,0)),"")</f>
        <v/>
      </c>
      <c r="E899" s="17"/>
      <c r="F899" s="18"/>
      <c r="G899" s="19"/>
      <c r="H899" s="15"/>
      <c r="I899" s="17"/>
      <c r="J899" s="24" t="str">
        <f t="shared" si="1"/>
        <v/>
      </c>
      <c r="K899" s="17"/>
    </row>
    <row r="900" ht="15.0" customHeight="1">
      <c r="A900" s="19"/>
      <c r="B900" s="15"/>
      <c r="C900" s="26" t="str">
        <f t="array" ref="C900">IFERROR(INDEX('Patrimônio'!$C$7:$C$1003,MATCH($B900,'Patrimônio'!$A$7:$A$1003,0)),"")</f>
        <v/>
      </c>
      <c r="D900" s="26" t="str">
        <f t="array" ref="D900">IFERROR(INDEX('Patrimônio'!$B$7:$B$1003,MATCH($B900,'Patrimônio'!$A$7:$A$1003,0)),"")</f>
        <v/>
      </c>
      <c r="E900" s="17"/>
      <c r="F900" s="18"/>
      <c r="G900" s="19"/>
      <c r="H900" s="15"/>
      <c r="I900" s="17"/>
      <c r="J900" s="24" t="str">
        <f t="shared" si="1"/>
        <v/>
      </c>
      <c r="K900" s="17"/>
    </row>
    <row r="901" ht="15.0" customHeight="1">
      <c r="A901" s="19"/>
      <c r="B901" s="15"/>
      <c r="C901" s="26" t="str">
        <f t="array" ref="C901">IFERROR(INDEX('Patrimônio'!$C$7:$C$1003,MATCH($B901,'Patrimônio'!$A$7:$A$1003,0)),"")</f>
        <v/>
      </c>
      <c r="D901" s="26" t="str">
        <f t="array" ref="D901">IFERROR(INDEX('Patrimônio'!$B$7:$B$1003,MATCH($B901,'Patrimônio'!$A$7:$A$1003,0)),"")</f>
        <v/>
      </c>
      <c r="E901" s="17"/>
      <c r="F901" s="18"/>
      <c r="G901" s="19"/>
      <c r="H901" s="15"/>
      <c r="I901" s="17"/>
      <c r="J901" s="24" t="str">
        <f t="shared" si="1"/>
        <v/>
      </c>
      <c r="K901" s="17"/>
    </row>
    <row r="902" ht="15.0" customHeight="1">
      <c r="A902" s="19"/>
      <c r="B902" s="15"/>
      <c r="C902" s="26" t="str">
        <f t="array" ref="C902">IFERROR(INDEX('Patrimônio'!$C$7:$C$1003,MATCH($B902,'Patrimônio'!$A$7:$A$1003,0)),"")</f>
        <v/>
      </c>
      <c r="D902" s="26" t="str">
        <f t="array" ref="D902">IFERROR(INDEX('Patrimônio'!$B$7:$B$1003,MATCH($B902,'Patrimônio'!$A$7:$A$1003,0)),"")</f>
        <v/>
      </c>
      <c r="E902" s="17"/>
      <c r="F902" s="18"/>
      <c r="G902" s="19"/>
      <c r="H902" s="15"/>
      <c r="I902" s="17"/>
      <c r="J902" s="24" t="str">
        <f t="shared" si="1"/>
        <v/>
      </c>
      <c r="K902" s="17"/>
    </row>
    <row r="903" ht="15.0" customHeight="1">
      <c r="A903" s="19"/>
      <c r="B903" s="15"/>
      <c r="C903" s="26" t="str">
        <f t="array" ref="C903">IFERROR(INDEX('Patrimônio'!$C$7:$C$1003,MATCH($B903,'Patrimônio'!$A$7:$A$1003,0)),"")</f>
        <v/>
      </c>
      <c r="D903" s="26" t="str">
        <f t="array" ref="D903">IFERROR(INDEX('Patrimônio'!$B$7:$B$1003,MATCH($B903,'Patrimônio'!$A$7:$A$1003,0)),"")</f>
        <v/>
      </c>
      <c r="E903" s="17"/>
      <c r="F903" s="18"/>
      <c r="G903" s="19"/>
      <c r="H903" s="15"/>
      <c r="I903" s="17"/>
      <c r="J903" s="24" t="str">
        <f t="shared" si="1"/>
        <v/>
      </c>
      <c r="K903" s="17"/>
    </row>
    <row r="904" ht="15.0" customHeight="1">
      <c r="A904" s="19"/>
      <c r="B904" s="15"/>
      <c r="C904" s="26" t="str">
        <f t="array" ref="C904">IFERROR(INDEX('Patrimônio'!$C$7:$C$1003,MATCH($B904,'Patrimônio'!$A$7:$A$1003,0)),"")</f>
        <v/>
      </c>
      <c r="D904" s="26" t="str">
        <f t="array" ref="D904">IFERROR(INDEX('Patrimônio'!$B$7:$B$1003,MATCH($B904,'Patrimônio'!$A$7:$A$1003,0)),"")</f>
        <v/>
      </c>
      <c r="E904" s="17"/>
      <c r="F904" s="18"/>
      <c r="G904" s="19"/>
      <c r="H904" s="15"/>
      <c r="I904" s="17"/>
      <c r="J904" s="24" t="str">
        <f t="shared" si="1"/>
        <v/>
      </c>
      <c r="K904" s="17"/>
    </row>
    <row r="905" ht="15.0" customHeight="1">
      <c r="A905" s="19"/>
      <c r="B905" s="15"/>
      <c r="C905" s="26" t="str">
        <f t="array" ref="C905">IFERROR(INDEX('Patrimônio'!$C$7:$C$1003,MATCH($B905,'Patrimônio'!$A$7:$A$1003,0)),"")</f>
        <v/>
      </c>
      <c r="D905" s="26" t="str">
        <f t="array" ref="D905">IFERROR(INDEX('Patrimônio'!$B$7:$B$1003,MATCH($B905,'Patrimônio'!$A$7:$A$1003,0)),"")</f>
        <v/>
      </c>
      <c r="E905" s="17"/>
      <c r="F905" s="18"/>
      <c r="G905" s="19"/>
      <c r="H905" s="15"/>
      <c r="I905" s="17"/>
      <c r="J905" s="24" t="str">
        <f t="shared" si="1"/>
        <v/>
      </c>
      <c r="K905" s="17"/>
    </row>
    <row r="906" ht="15.0" customHeight="1">
      <c r="A906" s="19"/>
      <c r="B906" s="15"/>
      <c r="C906" s="26" t="str">
        <f t="array" ref="C906">IFERROR(INDEX('Patrimônio'!$C$7:$C$1003,MATCH($B906,'Patrimônio'!$A$7:$A$1003,0)),"")</f>
        <v/>
      </c>
      <c r="D906" s="26" t="str">
        <f t="array" ref="D906">IFERROR(INDEX('Patrimônio'!$B$7:$B$1003,MATCH($B906,'Patrimônio'!$A$7:$A$1003,0)),"")</f>
        <v/>
      </c>
      <c r="E906" s="17"/>
      <c r="F906" s="18"/>
      <c r="G906" s="19"/>
      <c r="H906" s="15"/>
      <c r="I906" s="17"/>
      <c r="J906" s="24" t="str">
        <f t="shared" si="1"/>
        <v/>
      </c>
      <c r="K906" s="17"/>
    </row>
    <row r="907" ht="15.0" customHeight="1">
      <c r="A907" s="19"/>
      <c r="B907" s="15"/>
      <c r="C907" s="26" t="str">
        <f t="array" ref="C907">IFERROR(INDEX('Patrimônio'!$C$7:$C$1003,MATCH($B907,'Patrimônio'!$A$7:$A$1003,0)),"")</f>
        <v/>
      </c>
      <c r="D907" s="26" t="str">
        <f t="array" ref="D907">IFERROR(INDEX('Patrimônio'!$B$7:$B$1003,MATCH($B907,'Patrimônio'!$A$7:$A$1003,0)),"")</f>
        <v/>
      </c>
      <c r="E907" s="17"/>
      <c r="F907" s="18"/>
      <c r="G907" s="19"/>
      <c r="H907" s="15"/>
      <c r="I907" s="17"/>
      <c r="J907" s="24" t="str">
        <f t="shared" si="1"/>
        <v/>
      </c>
      <c r="K907" s="17"/>
    </row>
    <row r="908" ht="15.0" customHeight="1">
      <c r="A908" s="19"/>
      <c r="B908" s="15"/>
      <c r="C908" s="26" t="str">
        <f t="array" ref="C908">IFERROR(INDEX('Patrimônio'!$C$7:$C$1003,MATCH($B908,'Patrimônio'!$A$7:$A$1003,0)),"")</f>
        <v/>
      </c>
      <c r="D908" s="26" t="str">
        <f t="array" ref="D908">IFERROR(INDEX('Patrimônio'!$B$7:$B$1003,MATCH($B908,'Patrimônio'!$A$7:$A$1003,0)),"")</f>
        <v/>
      </c>
      <c r="E908" s="17"/>
      <c r="F908" s="18"/>
      <c r="G908" s="19"/>
      <c r="H908" s="15"/>
      <c r="I908" s="17"/>
      <c r="J908" s="24" t="str">
        <f t="shared" si="1"/>
        <v/>
      </c>
      <c r="K908" s="17"/>
    </row>
    <row r="909" ht="15.0" customHeight="1">
      <c r="A909" s="19"/>
      <c r="B909" s="15"/>
      <c r="C909" s="26" t="str">
        <f t="array" ref="C909">IFERROR(INDEX('Patrimônio'!$C$7:$C$1003,MATCH($B909,'Patrimônio'!$A$7:$A$1003,0)),"")</f>
        <v/>
      </c>
      <c r="D909" s="26" t="str">
        <f t="array" ref="D909">IFERROR(INDEX('Patrimônio'!$B$7:$B$1003,MATCH($B909,'Patrimônio'!$A$7:$A$1003,0)),"")</f>
        <v/>
      </c>
      <c r="E909" s="17"/>
      <c r="F909" s="18"/>
      <c r="G909" s="19"/>
      <c r="H909" s="15"/>
      <c r="I909" s="17"/>
      <c r="J909" s="24" t="str">
        <f t="shared" si="1"/>
        <v/>
      </c>
      <c r="K909" s="17"/>
    </row>
    <row r="910" ht="15.0" customHeight="1">
      <c r="A910" s="19"/>
      <c r="B910" s="15"/>
      <c r="C910" s="26" t="str">
        <f t="array" ref="C910">IFERROR(INDEX('Patrimônio'!$C$7:$C$1003,MATCH($B910,'Patrimônio'!$A$7:$A$1003,0)),"")</f>
        <v/>
      </c>
      <c r="D910" s="26" t="str">
        <f t="array" ref="D910">IFERROR(INDEX('Patrimônio'!$B$7:$B$1003,MATCH($B910,'Patrimônio'!$A$7:$A$1003,0)),"")</f>
        <v/>
      </c>
      <c r="E910" s="17"/>
      <c r="F910" s="18"/>
      <c r="G910" s="19"/>
      <c r="H910" s="15"/>
      <c r="I910" s="17"/>
      <c r="J910" s="24" t="str">
        <f t="shared" si="1"/>
        <v/>
      </c>
      <c r="K910" s="17"/>
    </row>
    <row r="911" ht="15.0" customHeight="1">
      <c r="A911" s="19"/>
      <c r="B911" s="15"/>
      <c r="C911" s="26" t="str">
        <f t="array" ref="C911">IFERROR(INDEX('Patrimônio'!$C$7:$C$1003,MATCH($B911,'Patrimônio'!$A$7:$A$1003,0)),"")</f>
        <v/>
      </c>
      <c r="D911" s="26" t="str">
        <f t="array" ref="D911">IFERROR(INDEX('Patrimônio'!$B$7:$B$1003,MATCH($B911,'Patrimônio'!$A$7:$A$1003,0)),"")</f>
        <v/>
      </c>
      <c r="E911" s="17"/>
      <c r="F911" s="18"/>
      <c r="G911" s="19"/>
      <c r="H911" s="15"/>
      <c r="I911" s="17"/>
      <c r="J911" s="24" t="str">
        <f t="shared" si="1"/>
        <v/>
      </c>
      <c r="K911" s="17"/>
    </row>
    <row r="912" ht="15.0" customHeight="1">
      <c r="A912" s="19"/>
      <c r="B912" s="15"/>
      <c r="C912" s="26" t="str">
        <f t="array" ref="C912">IFERROR(INDEX('Patrimônio'!$C$7:$C$1003,MATCH($B912,'Patrimônio'!$A$7:$A$1003,0)),"")</f>
        <v/>
      </c>
      <c r="D912" s="26" t="str">
        <f t="array" ref="D912">IFERROR(INDEX('Patrimônio'!$B$7:$B$1003,MATCH($B912,'Patrimônio'!$A$7:$A$1003,0)),"")</f>
        <v/>
      </c>
      <c r="E912" s="17"/>
      <c r="F912" s="18"/>
      <c r="G912" s="19"/>
      <c r="H912" s="15"/>
      <c r="I912" s="17"/>
      <c r="J912" s="24" t="str">
        <f t="shared" si="1"/>
        <v/>
      </c>
      <c r="K912" s="17"/>
    </row>
    <row r="913" ht="15.0" customHeight="1">
      <c r="A913" s="19"/>
      <c r="B913" s="15"/>
      <c r="C913" s="26" t="str">
        <f t="array" ref="C913">IFERROR(INDEX('Patrimônio'!$C$7:$C$1003,MATCH($B913,'Patrimônio'!$A$7:$A$1003,0)),"")</f>
        <v/>
      </c>
      <c r="D913" s="26" t="str">
        <f t="array" ref="D913">IFERROR(INDEX('Patrimônio'!$B$7:$B$1003,MATCH($B913,'Patrimônio'!$A$7:$A$1003,0)),"")</f>
        <v/>
      </c>
      <c r="E913" s="17"/>
      <c r="F913" s="18"/>
      <c r="G913" s="19"/>
      <c r="H913" s="15"/>
      <c r="I913" s="17"/>
      <c r="J913" s="24" t="str">
        <f t="shared" si="1"/>
        <v/>
      </c>
      <c r="K913" s="17"/>
    </row>
    <row r="914" ht="15.0" customHeight="1">
      <c r="A914" s="19"/>
      <c r="B914" s="15"/>
      <c r="C914" s="26" t="str">
        <f t="array" ref="C914">IFERROR(INDEX('Patrimônio'!$C$7:$C$1003,MATCH($B914,'Patrimônio'!$A$7:$A$1003,0)),"")</f>
        <v/>
      </c>
      <c r="D914" s="26" t="str">
        <f t="array" ref="D914">IFERROR(INDEX('Patrimônio'!$B$7:$B$1003,MATCH($B914,'Patrimônio'!$A$7:$A$1003,0)),"")</f>
        <v/>
      </c>
      <c r="E914" s="17"/>
      <c r="F914" s="18"/>
      <c r="G914" s="19"/>
      <c r="H914" s="15"/>
      <c r="I914" s="17"/>
      <c r="J914" s="24" t="str">
        <f t="shared" si="1"/>
        <v/>
      </c>
      <c r="K914" s="17"/>
    </row>
    <row r="915" ht="15.0" customHeight="1">
      <c r="A915" s="19"/>
      <c r="B915" s="15"/>
      <c r="C915" s="26" t="str">
        <f t="array" ref="C915">IFERROR(INDEX('Patrimônio'!$C$7:$C$1003,MATCH($B915,'Patrimônio'!$A$7:$A$1003,0)),"")</f>
        <v/>
      </c>
      <c r="D915" s="26" t="str">
        <f t="array" ref="D915">IFERROR(INDEX('Patrimônio'!$B$7:$B$1003,MATCH($B915,'Patrimônio'!$A$7:$A$1003,0)),"")</f>
        <v/>
      </c>
      <c r="E915" s="17"/>
      <c r="F915" s="18"/>
      <c r="G915" s="19"/>
      <c r="H915" s="15"/>
      <c r="I915" s="17"/>
      <c r="J915" s="24" t="str">
        <f t="shared" si="1"/>
        <v/>
      </c>
      <c r="K915" s="17"/>
    </row>
    <row r="916" ht="15.0" customHeight="1">
      <c r="A916" s="19"/>
      <c r="B916" s="15"/>
      <c r="C916" s="26" t="str">
        <f t="array" ref="C916">IFERROR(INDEX('Patrimônio'!$C$7:$C$1003,MATCH($B916,'Patrimônio'!$A$7:$A$1003,0)),"")</f>
        <v/>
      </c>
      <c r="D916" s="26" t="str">
        <f t="array" ref="D916">IFERROR(INDEX('Patrimônio'!$B$7:$B$1003,MATCH($B916,'Patrimônio'!$A$7:$A$1003,0)),"")</f>
        <v/>
      </c>
      <c r="E916" s="17"/>
      <c r="F916" s="18"/>
      <c r="G916" s="19"/>
      <c r="H916" s="15"/>
      <c r="I916" s="17"/>
      <c r="J916" s="24" t="str">
        <f t="shared" si="1"/>
        <v/>
      </c>
      <c r="K916" s="17"/>
    </row>
    <row r="917" ht="15.0" customHeight="1">
      <c r="A917" s="19"/>
      <c r="B917" s="15"/>
      <c r="C917" s="26" t="str">
        <f t="array" ref="C917">IFERROR(INDEX('Patrimônio'!$C$7:$C$1003,MATCH($B917,'Patrimônio'!$A$7:$A$1003,0)),"")</f>
        <v/>
      </c>
      <c r="D917" s="26" t="str">
        <f t="array" ref="D917">IFERROR(INDEX('Patrimônio'!$B$7:$B$1003,MATCH($B917,'Patrimônio'!$A$7:$A$1003,0)),"")</f>
        <v/>
      </c>
      <c r="E917" s="17"/>
      <c r="F917" s="18"/>
      <c r="G917" s="19"/>
      <c r="H917" s="15"/>
      <c r="I917" s="17"/>
      <c r="J917" s="24" t="str">
        <f t="shared" si="1"/>
        <v/>
      </c>
      <c r="K917" s="17"/>
    </row>
    <row r="918" ht="15.0" customHeight="1">
      <c r="A918" s="19"/>
      <c r="B918" s="15"/>
      <c r="C918" s="26" t="str">
        <f t="array" ref="C918">IFERROR(INDEX('Patrimônio'!$C$7:$C$1003,MATCH($B918,'Patrimônio'!$A$7:$A$1003,0)),"")</f>
        <v/>
      </c>
      <c r="D918" s="26" t="str">
        <f t="array" ref="D918">IFERROR(INDEX('Patrimônio'!$B$7:$B$1003,MATCH($B918,'Patrimônio'!$A$7:$A$1003,0)),"")</f>
        <v/>
      </c>
      <c r="E918" s="17"/>
      <c r="F918" s="18"/>
      <c r="G918" s="19"/>
      <c r="H918" s="15"/>
      <c r="I918" s="17"/>
      <c r="J918" s="24" t="str">
        <f t="shared" si="1"/>
        <v/>
      </c>
      <c r="K918" s="17"/>
    </row>
    <row r="919" ht="15.0" customHeight="1">
      <c r="A919" s="19"/>
      <c r="B919" s="15"/>
      <c r="C919" s="26" t="str">
        <f t="array" ref="C919">IFERROR(INDEX('Patrimônio'!$C$7:$C$1003,MATCH($B919,'Patrimônio'!$A$7:$A$1003,0)),"")</f>
        <v/>
      </c>
      <c r="D919" s="26" t="str">
        <f t="array" ref="D919">IFERROR(INDEX('Patrimônio'!$B$7:$B$1003,MATCH($B919,'Patrimônio'!$A$7:$A$1003,0)),"")</f>
        <v/>
      </c>
      <c r="E919" s="17"/>
      <c r="F919" s="18"/>
      <c r="G919" s="19"/>
      <c r="H919" s="15"/>
      <c r="I919" s="17"/>
      <c r="J919" s="24" t="str">
        <f t="shared" si="1"/>
        <v/>
      </c>
      <c r="K919" s="17"/>
    </row>
    <row r="920" ht="15.0" customHeight="1">
      <c r="A920" s="19"/>
      <c r="B920" s="15"/>
      <c r="C920" s="26" t="str">
        <f t="array" ref="C920">IFERROR(INDEX('Patrimônio'!$C$7:$C$1003,MATCH($B920,'Patrimônio'!$A$7:$A$1003,0)),"")</f>
        <v/>
      </c>
      <c r="D920" s="26" t="str">
        <f t="array" ref="D920">IFERROR(INDEX('Patrimônio'!$B$7:$B$1003,MATCH($B920,'Patrimônio'!$A$7:$A$1003,0)),"")</f>
        <v/>
      </c>
      <c r="E920" s="17"/>
      <c r="F920" s="18"/>
      <c r="G920" s="19"/>
      <c r="H920" s="15"/>
      <c r="I920" s="17"/>
      <c r="J920" s="24" t="str">
        <f t="shared" si="1"/>
        <v/>
      </c>
      <c r="K920" s="17"/>
    </row>
    <row r="921" ht="15.0" customHeight="1">
      <c r="A921" s="19"/>
      <c r="B921" s="15"/>
      <c r="C921" s="26" t="str">
        <f t="array" ref="C921">IFERROR(INDEX('Patrimônio'!$C$7:$C$1003,MATCH($B921,'Patrimônio'!$A$7:$A$1003,0)),"")</f>
        <v/>
      </c>
      <c r="D921" s="26" t="str">
        <f t="array" ref="D921">IFERROR(INDEX('Patrimônio'!$B$7:$B$1003,MATCH($B921,'Patrimônio'!$A$7:$A$1003,0)),"")</f>
        <v/>
      </c>
      <c r="E921" s="17"/>
      <c r="F921" s="18"/>
      <c r="G921" s="19"/>
      <c r="H921" s="15"/>
      <c r="I921" s="17"/>
      <c r="J921" s="24" t="str">
        <f t="shared" si="1"/>
        <v/>
      </c>
      <c r="K921" s="17"/>
    </row>
    <row r="922" ht="15.0" customHeight="1">
      <c r="A922" s="19"/>
      <c r="B922" s="15"/>
      <c r="C922" s="26" t="str">
        <f t="array" ref="C922">IFERROR(INDEX('Patrimônio'!$C$7:$C$1003,MATCH($B922,'Patrimônio'!$A$7:$A$1003,0)),"")</f>
        <v/>
      </c>
      <c r="D922" s="26" t="str">
        <f t="array" ref="D922">IFERROR(INDEX('Patrimônio'!$B$7:$B$1003,MATCH($B922,'Patrimônio'!$A$7:$A$1003,0)),"")</f>
        <v/>
      </c>
      <c r="E922" s="17"/>
      <c r="F922" s="18"/>
      <c r="G922" s="19"/>
      <c r="H922" s="15"/>
      <c r="I922" s="17"/>
      <c r="J922" s="24" t="str">
        <f t="shared" si="1"/>
        <v/>
      </c>
      <c r="K922" s="17"/>
    </row>
    <row r="923" ht="15.0" customHeight="1">
      <c r="A923" s="19"/>
      <c r="B923" s="15"/>
      <c r="C923" s="26" t="str">
        <f t="array" ref="C923">IFERROR(INDEX('Patrimônio'!$C$7:$C$1003,MATCH($B923,'Patrimônio'!$A$7:$A$1003,0)),"")</f>
        <v/>
      </c>
      <c r="D923" s="26" t="str">
        <f t="array" ref="D923">IFERROR(INDEX('Patrimônio'!$B$7:$B$1003,MATCH($B923,'Patrimônio'!$A$7:$A$1003,0)),"")</f>
        <v/>
      </c>
      <c r="E923" s="17"/>
      <c r="F923" s="18"/>
      <c r="G923" s="19"/>
      <c r="H923" s="15"/>
      <c r="I923" s="17"/>
      <c r="J923" s="24" t="str">
        <f t="shared" si="1"/>
        <v/>
      </c>
      <c r="K923" s="17"/>
    </row>
    <row r="924" ht="15.0" customHeight="1">
      <c r="A924" s="19"/>
      <c r="B924" s="15"/>
      <c r="C924" s="26" t="str">
        <f t="array" ref="C924">IFERROR(INDEX('Patrimônio'!$C$7:$C$1003,MATCH($B924,'Patrimônio'!$A$7:$A$1003,0)),"")</f>
        <v/>
      </c>
      <c r="D924" s="26" t="str">
        <f t="array" ref="D924">IFERROR(INDEX('Patrimônio'!$B$7:$B$1003,MATCH($B924,'Patrimônio'!$A$7:$A$1003,0)),"")</f>
        <v/>
      </c>
      <c r="E924" s="17"/>
      <c r="F924" s="18"/>
      <c r="G924" s="19"/>
      <c r="H924" s="15"/>
      <c r="I924" s="17"/>
      <c r="J924" s="24" t="str">
        <f t="shared" si="1"/>
        <v/>
      </c>
      <c r="K924" s="17"/>
    </row>
    <row r="925" ht="15.0" customHeight="1">
      <c r="A925" s="19"/>
      <c r="B925" s="15"/>
      <c r="C925" s="26" t="str">
        <f t="array" ref="C925">IFERROR(INDEX('Patrimônio'!$C$7:$C$1003,MATCH($B925,'Patrimônio'!$A$7:$A$1003,0)),"")</f>
        <v/>
      </c>
      <c r="D925" s="26" t="str">
        <f t="array" ref="D925">IFERROR(INDEX('Patrimônio'!$B$7:$B$1003,MATCH($B925,'Patrimônio'!$A$7:$A$1003,0)),"")</f>
        <v/>
      </c>
      <c r="E925" s="17"/>
      <c r="F925" s="18"/>
      <c r="G925" s="19"/>
      <c r="H925" s="15"/>
      <c r="I925" s="17"/>
      <c r="J925" s="24" t="str">
        <f t="shared" si="1"/>
        <v/>
      </c>
      <c r="K925" s="17"/>
    </row>
    <row r="926" ht="15.0" customHeight="1">
      <c r="A926" s="19"/>
      <c r="B926" s="15"/>
      <c r="C926" s="26" t="str">
        <f t="array" ref="C926">IFERROR(INDEX('Patrimônio'!$C$7:$C$1003,MATCH($B926,'Patrimônio'!$A$7:$A$1003,0)),"")</f>
        <v/>
      </c>
      <c r="D926" s="26" t="str">
        <f t="array" ref="D926">IFERROR(INDEX('Patrimônio'!$B$7:$B$1003,MATCH($B926,'Patrimônio'!$A$7:$A$1003,0)),"")</f>
        <v/>
      </c>
      <c r="E926" s="17"/>
      <c r="F926" s="18"/>
      <c r="G926" s="19"/>
      <c r="H926" s="15"/>
      <c r="I926" s="17"/>
      <c r="J926" s="24" t="str">
        <f t="shared" si="1"/>
        <v/>
      </c>
      <c r="K926" s="17"/>
    </row>
    <row r="927" ht="15.0" customHeight="1">
      <c r="A927" s="19"/>
      <c r="B927" s="15"/>
      <c r="C927" s="26" t="str">
        <f t="array" ref="C927">IFERROR(INDEX('Patrimônio'!$C$7:$C$1003,MATCH($B927,'Patrimônio'!$A$7:$A$1003,0)),"")</f>
        <v/>
      </c>
      <c r="D927" s="26" t="str">
        <f t="array" ref="D927">IFERROR(INDEX('Patrimônio'!$B$7:$B$1003,MATCH($B927,'Patrimônio'!$A$7:$A$1003,0)),"")</f>
        <v/>
      </c>
      <c r="E927" s="17"/>
      <c r="F927" s="18"/>
      <c r="G927" s="19"/>
      <c r="H927" s="15"/>
      <c r="I927" s="17"/>
      <c r="J927" s="24" t="str">
        <f t="shared" si="1"/>
        <v/>
      </c>
      <c r="K927" s="17"/>
    </row>
    <row r="928" ht="15.0" customHeight="1">
      <c r="A928" s="19"/>
      <c r="B928" s="15"/>
      <c r="C928" s="26" t="str">
        <f t="array" ref="C928">IFERROR(INDEX('Patrimônio'!$C$7:$C$1003,MATCH($B928,'Patrimônio'!$A$7:$A$1003,0)),"")</f>
        <v/>
      </c>
      <c r="D928" s="26" t="str">
        <f t="array" ref="D928">IFERROR(INDEX('Patrimônio'!$B$7:$B$1003,MATCH($B928,'Patrimônio'!$A$7:$A$1003,0)),"")</f>
        <v/>
      </c>
      <c r="E928" s="17"/>
      <c r="F928" s="18"/>
      <c r="G928" s="19"/>
      <c r="H928" s="15"/>
      <c r="I928" s="17"/>
      <c r="J928" s="24" t="str">
        <f t="shared" si="1"/>
        <v/>
      </c>
      <c r="K928" s="17"/>
    </row>
    <row r="929" ht="15.0" customHeight="1">
      <c r="A929" s="19"/>
      <c r="B929" s="15"/>
      <c r="C929" s="26" t="str">
        <f t="array" ref="C929">IFERROR(INDEX('Patrimônio'!$C$7:$C$1003,MATCH($B929,'Patrimônio'!$A$7:$A$1003,0)),"")</f>
        <v/>
      </c>
      <c r="D929" s="26" t="str">
        <f t="array" ref="D929">IFERROR(INDEX('Patrimônio'!$B$7:$B$1003,MATCH($B929,'Patrimônio'!$A$7:$A$1003,0)),"")</f>
        <v/>
      </c>
      <c r="E929" s="17"/>
      <c r="F929" s="18"/>
      <c r="G929" s="19"/>
      <c r="H929" s="15"/>
      <c r="I929" s="17"/>
      <c r="J929" s="24" t="str">
        <f t="shared" si="1"/>
        <v/>
      </c>
      <c r="K929" s="17"/>
    </row>
    <row r="930" ht="15.0" customHeight="1">
      <c r="A930" s="19"/>
      <c r="B930" s="15"/>
      <c r="C930" s="26" t="str">
        <f t="array" ref="C930">IFERROR(INDEX('Patrimônio'!$C$7:$C$1003,MATCH($B930,'Patrimônio'!$A$7:$A$1003,0)),"")</f>
        <v/>
      </c>
      <c r="D930" s="26" t="str">
        <f t="array" ref="D930">IFERROR(INDEX('Patrimônio'!$B$7:$B$1003,MATCH($B930,'Patrimônio'!$A$7:$A$1003,0)),"")</f>
        <v/>
      </c>
      <c r="E930" s="17"/>
      <c r="F930" s="18"/>
      <c r="G930" s="19"/>
      <c r="H930" s="15"/>
      <c r="I930" s="17"/>
      <c r="J930" s="24" t="str">
        <f t="shared" si="1"/>
        <v/>
      </c>
      <c r="K930" s="17"/>
    </row>
    <row r="931" ht="15.0" customHeight="1">
      <c r="A931" s="19"/>
      <c r="B931" s="15"/>
      <c r="C931" s="26" t="str">
        <f t="array" ref="C931">IFERROR(INDEX('Patrimônio'!$C$7:$C$1003,MATCH($B931,'Patrimônio'!$A$7:$A$1003,0)),"")</f>
        <v/>
      </c>
      <c r="D931" s="26" t="str">
        <f t="array" ref="D931">IFERROR(INDEX('Patrimônio'!$B$7:$B$1003,MATCH($B931,'Patrimônio'!$A$7:$A$1003,0)),"")</f>
        <v/>
      </c>
      <c r="E931" s="17"/>
      <c r="F931" s="18"/>
      <c r="G931" s="19"/>
      <c r="H931" s="15"/>
      <c r="I931" s="17"/>
      <c r="J931" s="24" t="str">
        <f t="shared" si="1"/>
        <v/>
      </c>
      <c r="K931" s="17"/>
    </row>
    <row r="932" ht="15.0" customHeight="1">
      <c r="A932" s="19"/>
      <c r="B932" s="15"/>
      <c r="C932" s="26" t="str">
        <f t="array" ref="C932">IFERROR(INDEX('Patrimônio'!$C$7:$C$1003,MATCH($B932,'Patrimônio'!$A$7:$A$1003,0)),"")</f>
        <v/>
      </c>
      <c r="D932" s="26" t="str">
        <f t="array" ref="D932">IFERROR(INDEX('Patrimônio'!$B$7:$B$1003,MATCH($B932,'Patrimônio'!$A$7:$A$1003,0)),"")</f>
        <v/>
      </c>
      <c r="E932" s="17"/>
      <c r="F932" s="18"/>
      <c r="G932" s="19"/>
      <c r="H932" s="15"/>
      <c r="I932" s="17"/>
      <c r="J932" s="24" t="str">
        <f t="shared" si="1"/>
        <v/>
      </c>
      <c r="K932" s="17"/>
    </row>
    <row r="933" ht="15.0" customHeight="1">
      <c r="A933" s="19"/>
      <c r="B933" s="15"/>
      <c r="C933" s="26" t="str">
        <f t="array" ref="C933">IFERROR(INDEX('Patrimônio'!$C$7:$C$1003,MATCH($B933,'Patrimônio'!$A$7:$A$1003,0)),"")</f>
        <v/>
      </c>
      <c r="D933" s="26" t="str">
        <f t="array" ref="D933">IFERROR(INDEX('Patrimônio'!$B$7:$B$1003,MATCH($B933,'Patrimônio'!$A$7:$A$1003,0)),"")</f>
        <v/>
      </c>
      <c r="E933" s="17"/>
      <c r="F933" s="18"/>
      <c r="G933" s="19"/>
      <c r="H933" s="15"/>
      <c r="I933" s="17"/>
      <c r="J933" s="24" t="str">
        <f t="shared" si="1"/>
        <v/>
      </c>
      <c r="K933" s="17"/>
    </row>
    <row r="934" ht="15.0" customHeight="1">
      <c r="A934" s="19"/>
      <c r="B934" s="15"/>
      <c r="C934" s="26" t="str">
        <f t="array" ref="C934">IFERROR(INDEX('Patrimônio'!$C$7:$C$1003,MATCH($B934,'Patrimônio'!$A$7:$A$1003,0)),"")</f>
        <v/>
      </c>
      <c r="D934" s="26" t="str">
        <f t="array" ref="D934">IFERROR(INDEX('Patrimônio'!$B$7:$B$1003,MATCH($B934,'Patrimônio'!$A$7:$A$1003,0)),"")</f>
        <v/>
      </c>
      <c r="E934" s="17"/>
      <c r="F934" s="18"/>
      <c r="G934" s="19"/>
      <c r="H934" s="15"/>
      <c r="I934" s="17"/>
      <c r="J934" s="24" t="str">
        <f t="shared" si="1"/>
        <v/>
      </c>
      <c r="K934" s="17"/>
    </row>
    <row r="935" ht="15.0" customHeight="1">
      <c r="A935" s="19"/>
      <c r="B935" s="15"/>
      <c r="C935" s="26" t="str">
        <f t="array" ref="C935">IFERROR(INDEX('Patrimônio'!$C$7:$C$1003,MATCH($B935,'Patrimônio'!$A$7:$A$1003,0)),"")</f>
        <v/>
      </c>
      <c r="D935" s="26" t="str">
        <f t="array" ref="D935">IFERROR(INDEX('Patrimônio'!$B$7:$B$1003,MATCH($B935,'Patrimônio'!$A$7:$A$1003,0)),"")</f>
        <v/>
      </c>
      <c r="E935" s="17"/>
      <c r="F935" s="18"/>
      <c r="G935" s="19"/>
      <c r="H935" s="15"/>
      <c r="I935" s="17"/>
      <c r="J935" s="24" t="str">
        <f t="shared" si="1"/>
        <v/>
      </c>
      <c r="K935" s="17"/>
    </row>
    <row r="936" ht="15.0" customHeight="1">
      <c r="A936" s="19"/>
      <c r="B936" s="15"/>
      <c r="C936" s="26" t="str">
        <f t="array" ref="C936">IFERROR(INDEX('Patrimônio'!$C$7:$C$1003,MATCH($B936,'Patrimônio'!$A$7:$A$1003,0)),"")</f>
        <v/>
      </c>
      <c r="D936" s="26" t="str">
        <f t="array" ref="D936">IFERROR(INDEX('Patrimônio'!$B$7:$B$1003,MATCH($B936,'Patrimônio'!$A$7:$A$1003,0)),"")</f>
        <v/>
      </c>
      <c r="E936" s="17"/>
      <c r="F936" s="18"/>
      <c r="G936" s="19"/>
      <c r="H936" s="15"/>
      <c r="I936" s="17"/>
      <c r="J936" s="24" t="str">
        <f t="shared" si="1"/>
        <v/>
      </c>
      <c r="K936" s="17"/>
    </row>
    <row r="937" ht="15.0" customHeight="1">
      <c r="A937" s="19"/>
      <c r="B937" s="15"/>
      <c r="C937" s="26" t="str">
        <f t="array" ref="C937">IFERROR(INDEX('Patrimônio'!$C$7:$C$1003,MATCH($B937,'Patrimônio'!$A$7:$A$1003,0)),"")</f>
        <v/>
      </c>
      <c r="D937" s="26" t="str">
        <f t="array" ref="D937">IFERROR(INDEX('Patrimônio'!$B$7:$B$1003,MATCH($B937,'Patrimônio'!$A$7:$A$1003,0)),"")</f>
        <v/>
      </c>
      <c r="E937" s="17"/>
      <c r="F937" s="18"/>
      <c r="G937" s="19"/>
      <c r="H937" s="15"/>
      <c r="I937" s="17"/>
      <c r="J937" s="24" t="str">
        <f t="shared" si="1"/>
        <v/>
      </c>
      <c r="K937" s="17"/>
    </row>
    <row r="938" ht="15.0" customHeight="1">
      <c r="A938" s="19"/>
      <c r="B938" s="15"/>
      <c r="C938" s="26" t="str">
        <f t="array" ref="C938">IFERROR(INDEX('Patrimônio'!$C$7:$C$1003,MATCH($B938,'Patrimônio'!$A$7:$A$1003,0)),"")</f>
        <v/>
      </c>
      <c r="D938" s="26" t="str">
        <f t="array" ref="D938">IFERROR(INDEX('Patrimônio'!$B$7:$B$1003,MATCH($B938,'Patrimônio'!$A$7:$A$1003,0)),"")</f>
        <v/>
      </c>
      <c r="E938" s="17"/>
      <c r="F938" s="18"/>
      <c r="G938" s="19"/>
      <c r="H938" s="15"/>
      <c r="I938" s="17"/>
      <c r="J938" s="24" t="str">
        <f t="shared" si="1"/>
        <v/>
      </c>
      <c r="K938" s="17"/>
    </row>
    <row r="939" ht="15.0" customHeight="1">
      <c r="A939" s="19"/>
      <c r="B939" s="15"/>
      <c r="C939" s="26" t="str">
        <f t="array" ref="C939">IFERROR(INDEX('Patrimônio'!$C$7:$C$1003,MATCH($B939,'Patrimônio'!$A$7:$A$1003,0)),"")</f>
        <v/>
      </c>
      <c r="D939" s="26" t="str">
        <f t="array" ref="D939">IFERROR(INDEX('Patrimônio'!$B$7:$B$1003,MATCH($B939,'Patrimônio'!$A$7:$A$1003,0)),"")</f>
        <v/>
      </c>
      <c r="E939" s="17"/>
      <c r="F939" s="18"/>
      <c r="G939" s="19"/>
      <c r="H939" s="15"/>
      <c r="I939" s="17"/>
      <c r="J939" s="24" t="str">
        <f t="shared" si="1"/>
        <v/>
      </c>
      <c r="K939" s="17"/>
    </row>
    <row r="940" ht="15.0" customHeight="1">
      <c r="A940" s="19"/>
      <c r="B940" s="15"/>
      <c r="C940" s="26" t="str">
        <f t="array" ref="C940">IFERROR(INDEX('Patrimônio'!$C$7:$C$1003,MATCH($B940,'Patrimônio'!$A$7:$A$1003,0)),"")</f>
        <v/>
      </c>
      <c r="D940" s="26" t="str">
        <f t="array" ref="D940">IFERROR(INDEX('Patrimônio'!$B$7:$B$1003,MATCH($B940,'Patrimônio'!$A$7:$A$1003,0)),"")</f>
        <v/>
      </c>
      <c r="E940" s="17"/>
      <c r="F940" s="18"/>
      <c r="G940" s="19"/>
      <c r="H940" s="15"/>
      <c r="I940" s="17"/>
      <c r="J940" s="24" t="str">
        <f t="shared" si="1"/>
        <v/>
      </c>
      <c r="K940" s="17"/>
    </row>
    <row r="941" ht="15.0" customHeight="1">
      <c r="A941" s="19"/>
      <c r="B941" s="15"/>
      <c r="C941" s="26" t="str">
        <f t="array" ref="C941">IFERROR(INDEX('Patrimônio'!$C$7:$C$1003,MATCH($B941,'Patrimônio'!$A$7:$A$1003,0)),"")</f>
        <v/>
      </c>
      <c r="D941" s="26" t="str">
        <f t="array" ref="D941">IFERROR(INDEX('Patrimônio'!$B$7:$B$1003,MATCH($B941,'Patrimônio'!$A$7:$A$1003,0)),"")</f>
        <v/>
      </c>
      <c r="E941" s="17"/>
      <c r="F941" s="18"/>
      <c r="G941" s="19"/>
      <c r="H941" s="15"/>
      <c r="I941" s="17"/>
      <c r="J941" s="24" t="str">
        <f t="shared" si="1"/>
        <v/>
      </c>
      <c r="K941" s="17"/>
    </row>
    <row r="942" ht="15.0" customHeight="1">
      <c r="A942" s="19"/>
      <c r="B942" s="15"/>
      <c r="C942" s="26" t="str">
        <f t="array" ref="C942">IFERROR(INDEX('Patrimônio'!$C$7:$C$1003,MATCH($B942,'Patrimônio'!$A$7:$A$1003,0)),"")</f>
        <v/>
      </c>
      <c r="D942" s="26" t="str">
        <f t="array" ref="D942">IFERROR(INDEX('Patrimônio'!$B$7:$B$1003,MATCH($B942,'Patrimônio'!$A$7:$A$1003,0)),"")</f>
        <v/>
      </c>
      <c r="E942" s="17"/>
      <c r="F942" s="18"/>
      <c r="G942" s="19"/>
      <c r="H942" s="15"/>
      <c r="I942" s="17"/>
      <c r="J942" s="24" t="str">
        <f t="shared" si="1"/>
        <v/>
      </c>
      <c r="K942" s="17"/>
    </row>
    <row r="943" ht="15.0" customHeight="1">
      <c r="A943" s="19"/>
      <c r="B943" s="15"/>
      <c r="C943" s="26" t="str">
        <f t="array" ref="C943">IFERROR(INDEX('Patrimônio'!$C$7:$C$1003,MATCH($B943,'Patrimônio'!$A$7:$A$1003,0)),"")</f>
        <v/>
      </c>
      <c r="D943" s="26" t="str">
        <f t="array" ref="D943">IFERROR(INDEX('Patrimônio'!$B$7:$B$1003,MATCH($B943,'Patrimônio'!$A$7:$A$1003,0)),"")</f>
        <v/>
      </c>
      <c r="E943" s="17"/>
      <c r="F943" s="18"/>
      <c r="G943" s="19"/>
      <c r="H943" s="15"/>
      <c r="I943" s="17"/>
      <c r="J943" s="24" t="str">
        <f t="shared" si="1"/>
        <v/>
      </c>
      <c r="K943" s="17"/>
    </row>
    <row r="944" ht="15.0" customHeight="1">
      <c r="A944" s="19"/>
      <c r="B944" s="15"/>
      <c r="C944" s="26" t="str">
        <f t="array" ref="C944">IFERROR(INDEX('Patrimônio'!$C$7:$C$1003,MATCH($B944,'Patrimônio'!$A$7:$A$1003,0)),"")</f>
        <v/>
      </c>
      <c r="D944" s="26" t="str">
        <f t="array" ref="D944">IFERROR(INDEX('Patrimônio'!$B$7:$B$1003,MATCH($B944,'Patrimônio'!$A$7:$A$1003,0)),"")</f>
        <v/>
      </c>
      <c r="E944" s="17"/>
      <c r="F944" s="18"/>
      <c r="G944" s="19"/>
      <c r="H944" s="15"/>
      <c r="I944" s="17"/>
      <c r="J944" s="24" t="str">
        <f t="shared" si="1"/>
        <v/>
      </c>
      <c r="K944" s="17"/>
    </row>
    <row r="945" ht="15.0" customHeight="1">
      <c r="A945" s="19"/>
      <c r="B945" s="15"/>
      <c r="C945" s="26" t="str">
        <f t="array" ref="C945">IFERROR(INDEX('Patrimônio'!$C$7:$C$1003,MATCH($B945,'Patrimônio'!$A$7:$A$1003,0)),"")</f>
        <v/>
      </c>
      <c r="D945" s="26" t="str">
        <f t="array" ref="D945">IFERROR(INDEX('Patrimônio'!$B$7:$B$1003,MATCH($B945,'Patrimônio'!$A$7:$A$1003,0)),"")</f>
        <v/>
      </c>
      <c r="E945" s="17"/>
      <c r="F945" s="18"/>
      <c r="G945" s="19"/>
      <c r="H945" s="15"/>
      <c r="I945" s="17"/>
      <c r="J945" s="24" t="str">
        <f t="shared" si="1"/>
        <v/>
      </c>
      <c r="K945" s="17"/>
    </row>
    <row r="946" ht="15.0" customHeight="1">
      <c r="A946" s="19"/>
      <c r="B946" s="15"/>
      <c r="C946" s="26" t="str">
        <f t="array" ref="C946">IFERROR(INDEX('Patrimônio'!$C$7:$C$1003,MATCH($B946,'Patrimônio'!$A$7:$A$1003,0)),"")</f>
        <v/>
      </c>
      <c r="D946" s="26" t="str">
        <f t="array" ref="D946">IFERROR(INDEX('Patrimônio'!$B$7:$B$1003,MATCH($B946,'Patrimônio'!$A$7:$A$1003,0)),"")</f>
        <v/>
      </c>
      <c r="E946" s="17"/>
      <c r="F946" s="18"/>
      <c r="G946" s="19"/>
      <c r="H946" s="15"/>
      <c r="I946" s="17"/>
      <c r="J946" s="24" t="str">
        <f t="shared" si="1"/>
        <v/>
      </c>
      <c r="K946" s="17"/>
    </row>
    <row r="947" ht="15.0" customHeight="1">
      <c r="A947" s="19"/>
      <c r="B947" s="15"/>
      <c r="C947" s="26" t="str">
        <f t="array" ref="C947">IFERROR(INDEX('Patrimônio'!$C$7:$C$1003,MATCH($B947,'Patrimônio'!$A$7:$A$1003,0)),"")</f>
        <v/>
      </c>
      <c r="D947" s="26" t="str">
        <f t="array" ref="D947">IFERROR(INDEX('Patrimônio'!$B$7:$B$1003,MATCH($B947,'Patrimônio'!$A$7:$A$1003,0)),"")</f>
        <v/>
      </c>
      <c r="E947" s="17"/>
      <c r="F947" s="18"/>
      <c r="G947" s="19"/>
      <c r="H947" s="15"/>
      <c r="I947" s="17"/>
      <c r="J947" s="24" t="str">
        <f t="shared" si="1"/>
        <v/>
      </c>
      <c r="K947" s="17"/>
    </row>
    <row r="948" ht="15.0" customHeight="1">
      <c r="A948" s="19"/>
      <c r="B948" s="15"/>
      <c r="C948" s="26" t="str">
        <f t="array" ref="C948">IFERROR(INDEX('Patrimônio'!$C$7:$C$1003,MATCH($B948,'Patrimônio'!$A$7:$A$1003,0)),"")</f>
        <v/>
      </c>
      <c r="D948" s="26" t="str">
        <f t="array" ref="D948">IFERROR(INDEX('Patrimônio'!$B$7:$B$1003,MATCH($B948,'Patrimônio'!$A$7:$A$1003,0)),"")</f>
        <v/>
      </c>
      <c r="E948" s="17"/>
      <c r="F948" s="18"/>
      <c r="G948" s="19"/>
      <c r="H948" s="15"/>
      <c r="I948" s="17"/>
      <c r="J948" s="24" t="str">
        <f t="shared" si="1"/>
        <v/>
      </c>
      <c r="K948" s="17"/>
    </row>
    <row r="949" ht="15.0" customHeight="1">
      <c r="A949" s="19"/>
      <c r="B949" s="15"/>
      <c r="C949" s="26" t="str">
        <f t="array" ref="C949">IFERROR(INDEX('Patrimônio'!$C$7:$C$1003,MATCH($B949,'Patrimônio'!$A$7:$A$1003,0)),"")</f>
        <v/>
      </c>
      <c r="D949" s="26" t="str">
        <f t="array" ref="D949">IFERROR(INDEX('Patrimônio'!$B$7:$B$1003,MATCH($B949,'Patrimônio'!$A$7:$A$1003,0)),"")</f>
        <v/>
      </c>
      <c r="E949" s="17"/>
      <c r="F949" s="18"/>
      <c r="G949" s="19"/>
      <c r="H949" s="15"/>
      <c r="I949" s="17"/>
      <c r="J949" s="24" t="str">
        <f t="shared" si="1"/>
        <v/>
      </c>
      <c r="K949" s="17"/>
    </row>
    <row r="950" ht="15.0" customHeight="1">
      <c r="A950" s="19"/>
      <c r="B950" s="15"/>
      <c r="C950" s="26" t="str">
        <f t="array" ref="C950">IFERROR(INDEX('Patrimônio'!$C$7:$C$1003,MATCH($B950,'Patrimônio'!$A$7:$A$1003,0)),"")</f>
        <v/>
      </c>
      <c r="D950" s="26" t="str">
        <f t="array" ref="D950">IFERROR(INDEX('Patrimônio'!$B$7:$B$1003,MATCH($B950,'Patrimônio'!$A$7:$A$1003,0)),"")</f>
        <v/>
      </c>
      <c r="E950" s="17"/>
      <c r="F950" s="18"/>
      <c r="G950" s="19"/>
      <c r="H950" s="15"/>
      <c r="I950" s="17"/>
      <c r="J950" s="24" t="str">
        <f t="shared" si="1"/>
        <v/>
      </c>
      <c r="K950" s="17"/>
    </row>
    <row r="951" ht="15.0" customHeight="1">
      <c r="A951" s="19"/>
      <c r="B951" s="15"/>
      <c r="C951" s="26" t="str">
        <f t="array" ref="C951">IFERROR(INDEX('Patrimônio'!$C$7:$C$1003,MATCH($B951,'Patrimônio'!$A$7:$A$1003,0)),"")</f>
        <v/>
      </c>
      <c r="D951" s="26" t="str">
        <f t="array" ref="D951">IFERROR(INDEX('Patrimônio'!$B$7:$B$1003,MATCH($B951,'Patrimônio'!$A$7:$A$1003,0)),"")</f>
        <v/>
      </c>
      <c r="E951" s="17"/>
      <c r="F951" s="18"/>
      <c r="G951" s="19"/>
      <c r="H951" s="15"/>
      <c r="I951" s="17"/>
      <c r="J951" s="24" t="str">
        <f t="shared" si="1"/>
        <v/>
      </c>
      <c r="K951" s="17"/>
    </row>
    <row r="952" ht="15.0" customHeight="1">
      <c r="A952" s="19"/>
      <c r="B952" s="15"/>
      <c r="C952" s="26" t="str">
        <f t="array" ref="C952">IFERROR(INDEX('Patrimônio'!$C$7:$C$1003,MATCH($B952,'Patrimônio'!$A$7:$A$1003,0)),"")</f>
        <v/>
      </c>
      <c r="D952" s="26" t="str">
        <f t="array" ref="D952">IFERROR(INDEX('Patrimônio'!$B$7:$B$1003,MATCH($B952,'Patrimônio'!$A$7:$A$1003,0)),"")</f>
        <v/>
      </c>
      <c r="E952" s="17"/>
      <c r="F952" s="18"/>
      <c r="G952" s="19"/>
      <c r="H952" s="15"/>
      <c r="I952" s="17"/>
      <c r="J952" s="24" t="str">
        <f t="shared" si="1"/>
        <v/>
      </c>
      <c r="K952" s="17"/>
    </row>
    <row r="953" ht="15.0" customHeight="1">
      <c r="A953" s="19"/>
      <c r="B953" s="15"/>
      <c r="C953" s="26" t="str">
        <f t="array" ref="C953">IFERROR(INDEX('Patrimônio'!$C$7:$C$1003,MATCH($B953,'Patrimônio'!$A$7:$A$1003,0)),"")</f>
        <v/>
      </c>
      <c r="D953" s="26" t="str">
        <f t="array" ref="D953">IFERROR(INDEX('Patrimônio'!$B$7:$B$1003,MATCH($B953,'Patrimônio'!$A$7:$A$1003,0)),"")</f>
        <v/>
      </c>
      <c r="E953" s="17"/>
      <c r="F953" s="18"/>
      <c r="G953" s="19"/>
      <c r="H953" s="15"/>
      <c r="I953" s="17"/>
      <c r="J953" s="24" t="str">
        <f t="shared" si="1"/>
        <v/>
      </c>
      <c r="K953" s="17"/>
    </row>
    <row r="954" ht="15.0" customHeight="1">
      <c r="A954" s="19"/>
      <c r="B954" s="15"/>
      <c r="C954" s="26" t="str">
        <f t="array" ref="C954">IFERROR(INDEX('Patrimônio'!$C$7:$C$1003,MATCH($B954,'Patrimônio'!$A$7:$A$1003,0)),"")</f>
        <v/>
      </c>
      <c r="D954" s="26" t="str">
        <f t="array" ref="D954">IFERROR(INDEX('Patrimônio'!$B$7:$B$1003,MATCH($B954,'Patrimônio'!$A$7:$A$1003,0)),"")</f>
        <v/>
      </c>
      <c r="E954" s="17"/>
      <c r="F954" s="18"/>
      <c r="G954" s="19"/>
      <c r="H954" s="15"/>
      <c r="I954" s="17"/>
      <c r="J954" s="24" t="str">
        <f t="shared" si="1"/>
        <v/>
      </c>
      <c r="K954" s="17"/>
    </row>
    <row r="955" ht="15.0" customHeight="1">
      <c r="A955" s="19"/>
      <c r="B955" s="15"/>
      <c r="C955" s="26" t="str">
        <f t="array" ref="C955">IFERROR(INDEX('Patrimônio'!$C$7:$C$1003,MATCH($B955,'Patrimônio'!$A$7:$A$1003,0)),"")</f>
        <v/>
      </c>
      <c r="D955" s="26" t="str">
        <f t="array" ref="D955">IFERROR(INDEX('Patrimônio'!$B$7:$B$1003,MATCH($B955,'Patrimônio'!$A$7:$A$1003,0)),"")</f>
        <v/>
      </c>
      <c r="E955" s="17"/>
      <c r="F955" s="18"/>
      <c r="G955" s="19"/>
      <c r="H955" s="15"/>
      <c r="I955" s="17"/>
      <c r="J955" s="24" t="str">
        <f t="shared" si="1"/>
        <v/>
      </c>
      <c r="K955" s="17"/>
    </row>
    <row r="956" ht="15.0" customHeight="1">
      <c r="A956" s="19"/>
      <c r="B956" s="15"/>
      <c r="C956" s="26" t="str">
        <f t="array" ref="C956">IFERROR(INDEX('Patrimônio'!$C$7:$C$1003,MATCH($B956,'Patrimônio'!$A$7:$A$1003,0)),"")</f>
        <v/>
      </c>
      <c r="D956" s="26" t="str">
        <f t="array" ref="D956">IFERROR(INDEX('Patrimônio'!$B$7:$B$1003,MATCH($B956,'Patrimônio'!$A$7:$A$1003,0)),"")</f>
        <v/>
      </c>
      <c r="E956" s="17"/>
      <c r="F956" s="18"/>
      <c r="G956" s="19"/>
      <c r="H956" s="15"/>
      <c r="I956" s="17"/>
      <c r="J956" s="24" t="str">
        <f t="shared" si="1"/>
        <v/>
      </c>
      <c r="K956" s="17"/>
    </row>
    <row r="957" ht="15.0" customHeight="1">
      <c r="A957" s="19"/>
      <c r="B957" s="15"/>
      <c r="C957" s="26" t="str">
        <f t="array" ref="C957">IFERROR(INDEX('Patrimônio'!$C$7:$C$1003,MATCH($B957,'Patrimônio'!$A$7:$A$1003,0)),"")</f>
        <v/>
      </c>
      <c r="D957" s="26" t="str">
        <f t="array" ref="D957">IFERROR(INDEX('Patrimônio'!$B$7:$B$1003,MATCH($B957,'Patrimônio'!$A$7:$A$1003,0)),"")</f>
        <v/>
      </c>
      <c r="E957" s="17"/>
      <c r="F957" s="18"/>
      <c r="G957" s="19"/>
      <c r="H957" s="15"/>
      <c r="I957" s="17"/>
      <c r="J957" s="24" t="str">
        <f t="shared" si="1"/>
        <v/>
      </c>
      <c r="K957" s="17"/>
    </row>
    <row r="958" ht="15.0" customHeight="1">
      <c r="A958" s="19"/>
      <c r="B958" s="15"/>
      <c r="C958" s="26" t="str">
        <f t="array" ref="C958">IFERROR(INDEX('Patrimônio'!$C$7:$C$1003,MATCH($B958,'Patrimônio'!$A$7:$A$1003,0)),"")</f>
        <v/>
      </c>
      <c r="D958" s="26" t="str">
        <f t="array" ref="D958">IFERROR(INDEX('Patrimônio'!$B$7:$B$1003,MATCH($B958,'Patrimônio'!$A$7:$A$1003,0)),"")</f>
        <v/>
      </c>
      <c r="E958" s="17"/>
      <c r="F958" s="18"/>
      <c r="G958" s="19"/>
      <c r="H958" s="15"/>
      <c r="I958" s="17"/>
      <c r="J958" s="24" t="str">
        <f t="shared" si="1"/>
        <v/>
      </c>
      <c r="K958" s="17"/>
    </row>
    <row r="959" ht="15.0" customHeight="1">
      <c r="A959" s="19"/>
      <c r="B959" s="15"/>
      <c r="C959" s="26" t="str">
        <f t="array" ref="C959">IFERROR(INDEX('Patrimônio'!$C$7:$C$1003,MATCH($B959,'Patrimônio'!$A$7:$A$1003,0)),"")</f>
        <v/>
      </c>
      <c r="D959" s="26" t="str">
        <f t="array" ref="D959">IFERROR(INDEX('Patrimônio'!$B$7:$B$1003,MATCH($B959,'Patrimônio'!$A$7:$A$1003,0)),"")</f>
        <v/>
      </c>
      <c r="E959" s="17"/>
      <c r="F959" s="18"/>
      <c r="G959" s="19"/>
      <c r="H959" s="15"/>
      <c r="I959" s="17"/>
      <c r="J959" s="24" t="str">
        <f t="shared" si="1"/>
        <v/>
      </c>
      <c r="K959" s="17"/>
    </row>
    <row r="960" ht="15.0" customHeight="1">
      <c r="A960" s="19"/>
      <c r="B960" s="15"/>
      <c r="C960" s="26" t="str">
        <f t="array" ref="C960">IFERROR(INDEX('Patrimônio'!$C$7:$C$1003,MATCH($B960,'Patrimônio'!$A$7:$A$1003,0)),"")</f>
        <v/>
      </c>
      <c r="D960" s="26" t="str">
        <f t="array" ref="D960">IFERROR(INDEX('Patrimônio'!$B$7:$B$1003,MATCH($B960,'Patrimônio'!$A$7:$A$1003,0)),"")</f>
        <v/>
      </c>
      <c r="E960" s="17"/>
      <c r="F960" s="18"/>
      <c r="G960" s="19"/>
      <c r="H960" s="15"/>
      <c r="I960" s="17"/>
      <c r="J960" s="24" t="str">
        <f t="shared" si="1"/>
        <v/>
      </c>
      <c r="K960" s="17"/>
    </row>
    <row r="961" ht="15.0" customHeight="1">
      <c r="A961" s="19"/>
      <c r="B961" s="15"/>
      <c r="C961" s="26" t="str">
        <f t="array" ref="C961">IFERROR(INDEX('Patrimônio'!$C$7:$C$1003,MATCH($B961,'Patrimônio'!$A$7:$A$1003,0)),"")</f>
        <v/>
      </c>
      <c r="D961" s="26" t="str">
        <f t="array" ref="D961">IFERROR(INDEX('Patrimônio'!$B$7:$B$1003,MATCH($B961,'Patrimônio'!$A$7:$A$1003,0)),"")</f>
        <v/>
      </c>
      <c r="E961" s="17"/>
      <c r="F961" s="18"/>
      <c r="G961" s="19"/>
      <c r="H961" s="15"/>
      <c r="I961" s="17"/>
      <c r="J961" s="24" t="str">
        <f t="shared" si="1"/>
        <v/>
      </c>
      <c r="K961" s="17"/>
    </row>
    <row r="962" ht="15.0" customHeight="1">
      <c r="A962" s="19"/>
      <c r="B962" s="15"/>
      <c r="C962" s="26" t="str">
        <f t="array" ref="C962">IFERROR(INDEX('Patrimônio'!$C$7:$C$1003,MATCH($B962,'Patrimônio'!$A$7:$A$1003,0)),"")</f>
        <v/>
      </c>
      <c r="D962" s="26" t="str">
        <f t="array" ref="D962">IFERROR(INDEX('Patrimônio'!$B$7:$B$1003,MATCH($B962,'Patrimônio'!$A$7:$A$1003,0)),"")</f>
        <v/>
      </c>
      <c r="E962" s="17"/>
      <c r="F962" s="18"/>
      <c r="G962" s="19"/>
      <c r="H962" s="15"/>
      <c r="I962" s="17"/>
      <c r="J962" s="24" t="str">
        <f t="shared" si="1"/>
        <v/>
      </c>
      <c r="K962" s="17"/>
    </row>
    <row r="963" ht="15.0" customHeight="1">
      <c r="A963" s="19"/>
      <c r="B963" s="15"/>
      <c r="C963" s="26" t="str">
        <f t="array" ref="C963">IFERROR(INDEX('Patrimônio'!$C$7:$C$1003,MATCH($B963,'Patrimônio'!$A$7:$A$1003,0)),"")</f>
        <v/>
      </c>
      <c r="D963" s="26" t="str">
        <f t="array" ref="D963">IFERROR(INDEX('Patrimônio'!$B$7:$B$1003,MATCH($B963,'Patrimônio'!$A$7:$A$1003,0)),"")</f>
        <v/>
      </c>
      <c r="E963" s="17"/>
      <c r="F963" s="18"/>
      <c r="G963" s="19"/>
      <c r="H963" s="15"/>
      <c r="I963" s="17"/>
      <c r="J963" s="24" t="str">
        <f t="shared" si="1"/>
        <v/>
      </c>
      <c r="K963" s="17"/>
    </row>
    <row r="964" ht="15.0" customHeight="1">
      <c r="A964" s="19"/>
      <c r="B964" s="15"/>
      <c r="C964" s="26" t="str">
        <f t="array" ref="C964">IFERROR(INDEX('Patrimônio'!$C$7:$C$1003,MATCH($B964,'Patrimônio'!$A$7:$A$1003,0)),"")</f>
        <v/>
      </c>
      <c r="D964" s="26" t="str">
        <f t="array" ref="D964">IFERROR(INDEX('Patrimônio'!$B$7:$B$1003,MATCH($B964,'Patrimônio'!$A$7:$A$1003,0)),"")</f>
        <v/>
      </c>
      <c r="E964" s="17"/>
      <c r="F964" s="18"/>
      <c r="G964" s="19"/>
      <c r="H964" s="15"/>
      <c r="I964" s="17"/>
      <c r="J964" s="24" t="str">
        <f t="shared" si="1"/>
        <v/>
      </c>
      <c r="K964" s="17"/>
    </row>
    <row r="965" ht="15.0" customHeight="1">
      <c r="A965" s="19"/>
      <c r="B965" s="15"/>
      <c r="C965" s="26" t="str">
        <f t="array" ref="C965">IFERROR(INDEX('Patrimônio'!$C$7:$C$1003,MATCH($B965,'Patrimônio'!$A$7:$A$1003,0)),"")</f>
        <v/>
      </c>
      <c r="D965" s="26" t="str">
        <f t="array" ref="D965">IFERROR(INDEX('Patrimônio'!$B$7:$B$1003,MATCH($B965,'Patrimônio'!$A$7:$A$1003,0)),"")</f>
        <v/>
      </c>
      <c r="E965" s="17"/>
      <c r="F965" s="18"/>
      <c r="G965" s="19"/>
      <c r="H965" s="15"/>
      <c r="I965" s="17"/>
      <c r="J965" s="24" t="str">
        <f t="shared" si="1"/>
        <v/>
      </c>
      <c r="K965" s="17"/>
    </row>
    <row r="966" ht="15.0" customHeight="1">
      <c r="A966" s="19"/>
      <c r="B966" s="15"/>
      <c r="C966" s="26" t="str">
        <f t="array" ref="C966">IFERROR(INDEX('Patrimônio'!$C$7:$C$1003,MATCH($B966,'Patrimônio'!$A$7:$A$1003,0)),"")</f>
        <v/>
      </c>
      <c r="D966" s="26" t="str">
        <f t="array" ref="D966">IFERROR(INDEX('Patrimônio'!$B$7:$B$1003,MATCH($B966,'Patrimônio'!$A$7:$A$1003,0)),"")</f>
        <v/>
      </c>
      <c r="E966" s="17"/>
      <c r="F966" s="18"/>
      <c r="G966" s="19"/>
      <c r="H966" s="15"/>
      <c r="I966" s="17"/>
      <c r="J966" s="24" t="str">
        <f t="shared" si="1"/>
        <v/>
      </c>
      <c r="K966" s="17"/>
    </row>
    <row r="967" ht="15.0" customHeight="1">
      <c r="A967" s="19"/>
      <c r="B967" s="15"/>
      <c r="C967" s="26" t="str">
        <f t="array" ref="C967">IFERROR(INDEX('Patrimônio'!$C$7:$C$1003,MATCH($B967,'Patrimônio'!$A$7:$A$1003,0)),"")</f>
        <v/>
      </c>
      <c r="D967" s="26" t="str">
        <f t="array" ref="D967">IFERROR(INDEX('Patrimônio'!$B$7:$B$1003,MATCH($B967,'Patrimônio'!$A$7:$A$1003,0)),"")</f>
        <v/>
      </c>
      <c r="E967" s="17"/>
      <c r="F967" s="18"/>
      <c r="G967" s="19"/>
      <c r="H967" s="15"/>
      <c r="I967" s="17"/>
      <c r="J967" s="24" t="str">
        <f t="shared" si="1"/>
        <v/>
      </c>
      <c r="K967" s="17"/>
    </row>
    <row r="968" ht="15.0" customHeight="1">
      <c r="A968" s="19"/>
      <c r="B968" s="15"/>
      <c r="C968" s="26" t="str">
        <f t="array" ref="C968">IFERROR(INDEX('Patrimônio'!$C$7:$C$1003,MATCH($B968,'Patrimônio'!$A$7:$A$1003,0)),"")</f>
        <v/>
      </c>
      <c r="D968" s="26" t="str">
        <f t="array" ref="D968">IFERROR(INDEX('Patrimônio'!$B$7:$B$1003,MATCH($B968,'Patrimônio'!$A$7:$A$1003,0)),"")</f>
        <v/>
      </c>
      <c r="E968" s="17"/>
      <c r="F968" s="18"/>
      <c r="G968" s="19"/>
      <c r="H968" s="15"/>
      <c r="I968" s="17"/>
      <c r="J968" s="24" t="str">
        <f t="shared" si="1"/>
        <v/>
      </c>
      <c r="K968" s="17"/>
    </row>
    <row r="969" ht="15.0" customHeight="1">
      <c r="A969" s="19"/>
      <c r="B969" s="15"/>
      <c r="C969" s="26" t="str">
        <f t="array" ref="C969">IFERROR(INDEX('Patrimônio'!$C$7:$C$1003,MATCH($B969,'Patrimônio'!$A$7:$A$1003,0)),"")</f>
        <v/>
      </c>
      <c r="D969" s="26" t="str">
        <f t="array" ref="D969">IFERROR(INDEX('Patrimônio'!$B$7:$B$1003,MATCH($B969,'Patrimônio'!$A$7:$A$1003,0)),"")</f>
        <v/>
      </c>
      <c r="E969" s="17"/>
      <c r="F969" s="18"/>
      <c r="G969" s="19"/>
      <c r="H969" s="15"/>
      <c r="I969" s="17"/>
      <c r="J969" s="24" t="str">
        <f t="shared" si="1"/>
        <v/>
      </c>
      <c r="K969" s="17"/>
    </row>
    <row r="970" ht="15.0" customHeight="1">
      <c r="A970" s="19"/>
      <c r="B970" s="15"/>
      <c r="C970" s="26" t="str">
        <f t="array" ref="C970">IFERROR(INDEX('Patrimônio'!$C$7:$C$1003,MATCH($B970,'Patrimônio'!$A$7:$A$1003,0)),"")</f>
        <v/>
      </c>
      <c r="D970" s="26" t="str">
        <f t="array" ref="D970">IFERROR(INDEX('Patrimônio'!$B$7:$B$1003,MATCH($B970,'Patrimônio'!$A$7:$A$1003,0)),"")</f>
        <v/>
      </c>
      <c r="E970" s="17"/>
      <c r="F970" s="18"/>
      <c r="G970" s="19"/>
      <c r="H970" s="15"/>
      <c r="I970" s="17"/>
      <c r="J970" s="24" t="str">
        <f t="shared" si="1"/>
        <v/>
      </c>
      <c r="K970" s="17"/>
    </row>
    <row r="971" ht="15.0" customHeight="1">
      <c r="A971" s="19"/>
      <c r="B971" s="15"/>
      <c r="C971" s="26" t="str">
        <f t="array" ref="C971">IFERROR(INDEX('Patrimônio'!$C$7:$C$1003,MATCH($B971,'Patrimônio'!$A$7:$A$1003,0)),"")</f>
        <v/>
      </c>
      <c r="D971" s="26" t="str">
        <f t="array" ref="D971">IFERROR(INDEX('Patrimônio'!$B$7:$B$1003,MATCH($B971,'Patrimônio'!$A$7:$A$1003,0)),"")</f>
        <v/>
      </c>
      <c r="E971" s="17"/>
      <c r="F971" s="18"/>
      <c r="G971" s="19"/>
      <c r="H971" s="15"/>
      <c r="I971" s="17"/>
      <c r="J971" s="24" t="str">
        <f t="shared" si="1"/>
        <v/>
      </c>
      <c r="K971" s="17"/>
    </row>
    <row r="972" ht="15.0" customHeight="1">
      <c r="A972" s="19"/>
      <c r="B972" s="15"/>
      <c r="C972" s="26" t="str">
        <f t="array" ref="C972">IFERROR(INDEX('Patrimônio'!$C$7:$C$1003,MATCH($B972,'Patrimônio'!$A$7:$A$1003,0)),"")</f>
        <v/>
      </c>
      <c r="D972" s="26" t="str">
        <f t="array" ref="D972">IFERROR(INDEX('Patrimônio'!$B$7:$B$1003,MATCH($B972,'Patrimônio'!$A$7:$A$1003,0)),"")</f>
        <v/>
      </c>
      <c r="E972" s="17"/>
      <c r="F972" s="18"/>
      <c r="G972" s="19"/>
      <c r="H972" s="15"/>
      <c r="I972" s="17"/>
      <c r="J972" s="24" t="str">
        <f t="shared" si="1"/>
        <v/>
      </c>
      <c r="K972" s="17"/>
    </row>
    <row r="973" ht="15.0" customHeight="1">
      <c r="A973" s="19"/>
      <c r="B973" s="15"/>
      <c r="C973" s="26" t="str">
        <f t="array" ref="C973">IFERROR(INDEX('Patrimônio'!$C$7:$C$1003,MATCH($B973,'Patrimônio'!$A$7:$A$1003,0)),"")</f>
        <v/>
      </c>
      <c r="D973" s="26" t="str">
        <f t="array" ref="D973">IFERROR(INDEX('Patrimônio'!$B$7:$B$1003,MATCH($B973,'Patrimônio'!$A$7:$A$1003,0)),"")</f>
        <v/>
      </c>
      <c r="E973" s="17"/>
      <c r="F973" s="18"/>
      <c r="G973" s="19"/>
      <c r="H973" s="15"/>
      <c r="I973" s="17"/>
      <c r="J973" s="24" t="str">
        <f t="shared" si="1"/>
        <v/>
      </c>
      <c r="K973" s="17"/>
    </row>
    <row r="974" ht="15.0" customHeight="1">
      <c r="A974" s="19"/>
      <c r="B974" s="15"/>
      <c r="C974" s="26" t="str">
        <f t="array" ref="C974">IFERROR(INDEX('Patrimônio'!$C$7:$C$1003,MATCH($B974,'Patrimônio'!$A$7:$A$1003,0)),"")</f>
        <v/>
      </c>
      <c r="D974" s="26" t="str">
        <f t="array" ref="D974">IFERROR(INDEX('Patrimônio'!$B$7:$B$1003,MATCH($B974,'Patrimônio'!$A$7:$A$1003,0)),"")</f>
        <v/>
      </c>
      <c r="E974" s="17"/>
      <c r="F974" s="18"/>
      <c r="G974" s="19"/>
      <c r="H974" s="15"/>
      <c r="I974" s="17"/>
      <c r="J974" s="24" t="str">
        <f t="shared" si="1"/>
        <v/>
      </c>
      <c r="K974" s="17"/>
    </row>
    <row r="975" ht="15.0" customHeight="1">
      <c r="A975" s="19"/>
      <c r="B975" s="15"/>
      <c r="C975" s="26" t="str">
        <f t="array" ref="C975">IFERROR(INDEX('Patrimônio'!$C$7:$C$1003,MATCH($B975,'Patrimônio'!$A$7:$A$1003,0)),"")</f>
        <v/>
      </c>
      <c r="D975" s="26" t="str">
        <f t="array" ref="D975">IFERROR(INDEX('Patrimônio'!$B$7:$B$1003,MATCH($B975,'Patrimônio'!$A$7:$A$1003,0)),"")</f>
        <v/>
      </c>
      <c r="E975" s="17"/>
      <c r="F975" s="18"/>
      <c r="G975" s="19"/>
      <c r="H975" s="15"/>
      <c r="I975" s="17"/>
      <c r="J975" s="24" t="str">
        <f t="shared" si="1"/>
        <v/>
      </c>
      <c r="K975" s="17"/>
    </row>
    <row r="976" ht="15.0" customHeight="1">
      <c r="A976" s="19"/>
      <c r="B976" s="15"/>
      <c r="C976" s="26" t="str">
        <f t="array" ref="C976">IFERROR(INDEX('Patrimônio'!$C$7:$C$1003,MATCH($B976,'Patrimônio'!$A$7:$A$1003,0)),"")</f>
        <v/>
      </c>
      <c r="D976" s="26" t="str">
        <f t="array" ref="D976">IFERROR(INDEX('Patrimônio'!$B$7:$B$1003,MATCH($B976,'Patrimônio'!$A$7:$A$1003,0)),"")</f>
        <v/>
      </c>
      <c r="E976" s="17"/>
      <c r="F976" s="18"/>
      <c r="G976" s="19"/>
      <c r="H976" s="15"/>
      <c r="I976" s="17"/>
      <c r="J976" s="24" t="str">
        <f t="shared" si="1"/>
        <v/>
      </c>
      <c r="K976" s="17"/>
    </row>
    <row r="977" ht="15.0" customHeight="1">
      <c r="A977" s="19"/>
      <c r="B977" s="15"/>
      <c r="C977" s="26" t="str">
        <f t="array" ref="C977">IFERROR(INDEX('Patrimônio'!$C$7:$C$1003,MATCH($B977,'Patrimônio'!$A$7:$A$1003,0)),"")</f>
        <v/>
      </c>
      <c r="D977" s="26" t="str">
        <f t="array" ref="D977">IFERROR(INDEX('Patrimônio'!$B$7:$B$1003,MATCH($B977,'Patrimônio'!$A$7:$A$1003,0)),"")</f>
        <v/>
      </c>
      <c r="E977" s="17"/>
      <c r="F977" s="18"/>
      <c r="G977" s="19"/>
      <c r="H977" s="15"/>
      <c r="I977" s="17"/>
      <c r="J977" s="24" t="str">
        <f t="shared" si="1"/>
        <v/>
      </c>
      <c r="K977" s="17"/>
    </row>
    <row r="978" ht="15.0" customHeight="1">
      <c r="A978" s="19"/>
      <c r="B978" s="15"/>
      <c r="C978" s="26" t="str">
        <f t="array" ref="C978">IFERROR(INDEX('Patrimônio'!$C$7:$C$1003,MATCH($B978,'Patrimônio'!$A$7:$A$1003,0)),"")</f>
        <v/>
      </c>
      <c r="D978" s="26" t="str">
        <f t="array" ref="D978">IFERROR(INDEX('Patrimônio'!$B$7:$B$1003,MATCH($B978,'Patrimônio'!$A$7:$A$1003,0)),"")</f>
        <v/>
      </c>
      <c r="E978" s="17"/>
      <c r="F978" s="18"/>
      <c r="G978" s="19"/>
      <c r="H978" s="15"/>
      <c r="I978" s="17"/>
      <c r="J978" s="24" t="str">
        <f t="shared" si="1"/>
        <v/>
      </c>
      <c r="K978" s="17"/>
    </row>
    <row r="979" ht="15.0" customHeight="1">
      <c r="A979" s="19"/>
      <c r="B979" s="15"/>
      <c r="C979" s="26" t="str">
        <f t="array" ref="C979">IFERROR(INDEX('Patrimônio'!$C$7:$C$1003,MATCH($B979,'Patrimônio'!$A$7:$A$1003,0)),"")</f>
        <v/>
      </c>
      <c r="D979" s="26" t="str">
        <f t="array" ref="D979">IFERROR(INDEX('Patrimônio'!$B$7:$B$1003,MATCH($B979,'Patrimônio'!$A$7:$A$1003,0)),"")</f>
        <v/>
      </c>
      <c r="E979" s="17"/>
      <c r="F979" s="18"/>
      <c r="G979" s="19"/>
      <c r="H979" s="15"/>
      <c r="I979" s="17"/>
      <c r="J979" s="24" t="str">
        <f t="shared" si="1"/>
        <v/>
      </c>
      <c r="K979" s="17"/>
    </row>
    <row r="980" ht="15.0" customHeight="1">
      <c r="A980" s="19"/>
      <c r="B980" s="15"/>
      <c r="C980" s="26" t="str">
        <f t="array" ref="C980">IFERROR(INDEX('Patrimônio'!$C$7:$C$1003,MATCH($B980,'Patrimônio'!$A$7:$A$1003,0)),"")</f>
        <v/>
      </c>
      <c r="D980" s="26" t="str">
        <f t="array" ref="D980">IFERROR(INDEX('Patrimônio'!$B$7:$B$1003,MATCH($B980,'Patrimônio'!$A$7:$A$1003,0)),"")</f>
        <v/>
      </c>
      <c r="E980" s="17"/>
      <c r="F980" s="18"/>
      <c r="G980" s="19"/>
      <c r="H980" s="15"/>
      <c r="I980" s="17"/>
      <c r="J980" s="24" t="str">
        <f t="shared" si="1"/>
        <v/>
      </c>
      <c r="K980" s="17"/>
    </row>
    <row r="981" ht="15.0" customHeight="1">
      <c r="A981" s="19"/>
      <c r="B981" s="15"/>
      <c r="C981" s="26" t="str">
        <f t="array" ref="C981">IFERROR(INDEX('Patrimônio'!$C$7:$C$1003,MATCH($B981,'Patrimônio'!$A$7:$A$1003,0)),"")</f>
        <v/>
      </c>
      <c r="D981" s="26" t="str">
        <f t="array" ref="D981">IFERROR(INDEX('Patrimônio'!$B$7:$B$1003,MATCH($B981,'Patrimônio'!$A$7:$A$1003,0)),"")</f>
        <v/>
      </c>
      <c r="E981" s="17"/>
      <c r="F981" s="18"/>
      <c r="G981" s="19"/>
      <c r="H981" s="15"/>
      <c r="I981" s="17"/>
      <c r="J981" s="24" t="str">
        <f t="shared" si="1"/>
        <v/>
      </c>
      <c r="K981" s="17"/>
    </row>
    <row r="982" ht="15.0" customHeight="1">
      <c r="A982" s="19"/>
      <c r="B982" s="15"/>
      <c r="C982" s="26" t="str">
        <f t="array" ref="C982">IFERROR(INDEX('Patrimônio'!$C$7:$C$1003,MATCH($B982,'Patrimônio'!$A$7:$A$1003,0)),"")</f>
        <v/>
      </c>
      <c r="D982" s="26" t="str">
        <f t="array" ref="D982">IFERROR(INDEX('Patrimônio'!$B$7:$B$1003,MATCH($B982,'Patrimônio'!$A$7:$A$1003,0)),"")</f>
        <v/>
      </c>
      <c r="E982" s="17"/>
      <c r="F982" s="18"/>
      <c r="G982" s="19"/>
      <c r="H982" s="15"/>
      <c r="I982" s="17"/>
      <c r="J982" s="24" t="str">
        <f t="shared" si="1"/>
        <v/>
      </c>
      <c r="K982" s="17"/>
    </row>
    <row r="983" ht="15.0" customHeight="1">
      <c r="A983" s="19"/>
      <c r="B983" s="15"/>
      <c r="C983" s="26" t="str">
        <f t="array" ref="C983">IFERROR(INDEX('Patrimônio'!$C$7:$C$1003,MATCH($B983,'Patrimônio'!$A$7:$A$1003,0)),"")</f>
        <v/>
      </c>
      <c r="D983" s="26" t="str">
        <f t="array" ref="D983">IFERROR(INDEX('Patrimônio'!$B$7:$B$1003,MATCH($B983,'Patrimônio'!$A$7:$A$1003,0)),"")</f>
        <v/>
      </c>
      <c r="E983" s="17"/>
      <c r="F983" s="18"/>
      <c r="G983" s="19"/>
      <c r="H983" s="15"/>
      <c r="I983" s="17"/>
      <c r="J983" s="24" t="str">
        <f t="shared" si="1"/>
        <v/>
      </c>
      <c r="K983" s="17"/>
    </row>
    <row r="984" ht="15.0" customHeight="1">
      <c r="A984" s="19"/>
      <c r="B984" s="15"/>
      <c r="C984" s="26" t="str">
        <f t="array" ref="C984">IFERROR(INDEX('Patrimônio'!$C$7:$C$1003,MATCH($B984,'Patrimônio'!$A$7:$A$1003,0)),"")</f>
        <v/>
      </c>
      <c r="D984" s="26" t="str">
        <f t="array" ref="D984">IFERROR(INDEX('Patrimônio'!$B$7:$B$1003,MATCH($B984,'Patrimônio'!$A$7:$A$1003,0)),"")</f>
        <v/>
      </c>
      <c r="E984" s="17"/>
      <c r="F984" s="18"/>
      <c r="G984" s="19"/>
      <c r="H984" s="15"/>
      <c r="I984" s="17"/>
      <c r="J984" s="24" t="str">
        <f t="shared" si="1"/>
        <v/>
      </c>
      <c r="K984" s="17"/>
    </row>
    <row r="985" ht="15.0" customHeight="1">
      <c r="A985" s="19"/>
      <c r="B985" s="15"/>
      <c r="C985" s="26" t="str">
        <f t="array" ref="C985">IFERROR(INDEX('Patrimônio'!$C$7:$C$1003,MATCH($B985,'Patrimônio'!$A$7:$A$1003,0)),"")</f>
        <v/>
      </c>
      <c r="D985" s="26" t="str">
        <f t="array" ref="D985">IFERROR(INDEX('Patrimônio'!$B$7:$B$1003,MATCH($B985,'Patrimônio'!$A$7:$A$1003,0)),"")</f>
        <v/>
      </c>
      <c r="E985" s="17"/>
      <c r="F985" s="18"/>
      <c r="G985" s="19"/>
      <c r="H985" s="15"/>
      <c r="I985" s="17"/>
      <c r="J985" s="24" t="str">
        <f t="shared" si="1"/>
        <v/>
      </c>
      <c r="K985" s="17"/>
    </row>
    <row r="986" ht="15.0" customHeight="1">
      <c r="A986" s="19"/>
      <c r="B986" s="15"/>
      <c r="C986" s="26" t="str">
        <f t="array" ref="C986">IFERROR(INDEX('Patrimônio'!$C$7:$C$1003,MATCH($B986,'Patrimônio'!$A$7:$A$1003,0)),"")</f>
        <v/>
      </c>
      <c r="D986" s="26" t="str">
        <f t="array" ref="D986">IFERROR(INDEX('Patrimônio'!$B$7:$B$1003,MATCH($B986,'Patrimônio'!$A$7:$A$1003,0)),"")</f>
        <v/>
      </c>
      <c r="E986" s="17"/>
      <c r="F986" s="18"/>
      <c r="G986" s="19"/>
      <c r="H986" s="15"/>
      <c r="I986" s="17"/>
      <c r="J986" s="24" t="str">
        <f t="shared" si="1"/>
        <v/>
      </c>
      <c r="K986" s="17"/>
    </row>
    <row r="987" ht="15.0" customHeight="1">
      <c r="A987" s="19"/>
      <c r="B987" s="15"/>
      <c r="C987" s="26" t="str">
        <f t="array" ref="C987">IFERROR(INDEX('Patrimônio'!$C$7:$C$1003,MATCH($B987,'Patrimônio'!$A$7:$A$1003,0)),"")</f>
        <v/>
      </c>
      <c r="D987" s="26" t="str">
        <f t="array" ref="D987">IFERROR(INDEX('Patrimônio'!$B$7:$B$1003,MATCH($B987,'Patrimônio'!$A$7:$A$1003,0)),"")</f>
        <v/>
      </c>
      <c r="E987" s="17"/>
      <c r="F987" s="18"/>
      <c r="G987" s="19"/>
      <c r="H987" s="15"/>
      <c r="I987" s="17"/>
      <c r="J987" s="24" t="str">
        <f t="shared" si="1"/>
        <v/>
      </c>
      <c r="K987" s="17"/>
    </row>
    <row r="988" ht="15.0" customHeight="1">
      <c r="A988" s="19"/>
      <c r="B988" s="15"/>
      <c r="C988" s="26" t="str">
        <f t="array" ref="C988">IFERROR(INDEX('Patrimônio'!$C$7:$C$1003,MATCH($B988,'Patrimônio'!$A$7:$A$1003,0)),"")</f>
        <v/>
      </c>
      <c r="D988" s="26" t="str">
        <f t="array" ref="D988">IFERROR(INDEX('Patrimônio'!$B$7:$B$1003,MATCH($B988,'Patrimônio'!$A$7:$A$1003,0)),"")</f>
        <v/>
      </c>
      <c r="E988" s="17"/>
      <c r="F988" s="18"/>
      <c r="G988" s="19"/>
      <c r="H988" s="15"/>
      <c r="I988" s="17"/>
      <c r="J988" s="24" t="str">
        <f t="shared" si="1"/>
        <v/>
      </c>
      <c r="K988" s="17"/>
    </row>
    <row r="989" ht="15.0" customHeight="1">
      <c r="A989" s="19"/>
      <c r="B989" s="15"/>
      <c r="C989" s="26" t="str">
        <f t="array" ref="C989">IFERROR(INDEX('Patrimônio'!$C$7:$C$1003,MATCH($B989,'Patrimônio'!$A$7:$A$1003,0)),"")</f>
        <v/>
      </c>
      <c r="D989" s="26" t="str">
        <f t="array" ref="D989">IFERROR(INDEX('Patrimônio'!$B$7:$B$1003,MATCH($B989,'Patrimônio'!$A$7:$A$1003,0)),"")</f>
        <v/>
      </c>
      <c r="E989" s="17"/>
      <c r="F989" s="18"/>
      <c r="G989" s="19"/>
      <c r="H989" s="15"/>
      <c r="I989" s="17"/>
      <c r="J989" s="24" t="str">
        <f t="shared" si="1"/>
        <v/>
      </c>
      <c r="K989" s="17"/>
    </row>
    <row r="990" ht="15.0" customHeight="1">
      <c r="A990" s="19"/>
      <c r="B990" s="15"/>
      <c r="C990" s="26" t="str">
        <f t="array" ref="C990">IFERROR(INDEX('Patrimônio'!$C$7:$C$1003,MATCH($B990,'Patrimônio'!$A$7:$A$1003,0)),"")</f>
        <v/>
      </c>
      <c r="D990" s="26" t="str">
        <f t="array" ref="D990">IFERROR(INDEX('Patrimônio'!$B$7:$B$1003,MATCH($B990,'Patrimônio'!$A$7:$A$1003,0)),"")</f>
        <v/>
      </c>
      <c r="E990" s="17"/>
      <c r="F990" s="18"/>
      <c r="G990" s="19"/>
      <c r="H990" s="15"/>
      <c r="I990" s="17"/>
      <c r="J990" s="24" t="str">
        <f t="shared" si="1"/>
        <v/>
      </c>
      <c r="K990" s="17"/>
    </row>
    <row r="991" ht="15.0" customHeight="1">
      <c r="A991" s="19"/>
      <c r="B991" s="15"/>
      <c r="C991" s="26" t="str">
        <f t="array" ref="C991">IFERROR(INDEX('Patrimônio'!$C$7:$C$1003,MATCH($B991,'Patrimônio'!$A$7:$A$1003,0)),"")</f>
        <v/>
      </c>
      <c r="D991" s="26" t="str">
        <f t="array" ref="D991">IFERROR(INDEX('Patrimônio'!$B$7:$B$1003,MATCH($B991,'Patrimônio'!$A$7:$A$1003,0)),"")</f>
        <v/>
      </c>
      <c r="E991" s="17"/>
      <c r="F991" s="18"/>
      <c r="G991" s="19"/>
      <c r="H991" s="15"/>
      <c r="I991" s="17"/>
      <c r="J991" s="24" t="str">
        <f t="shared" si="1"/>
        <v/>
      </c>
      <c r="K991" s="17"/>
    </row>
    <row r="992" ht="15.0" customHeight="1">
      <c r="A992" s="19"/>
      <c r="B992" s="15"/>
      <c r="C992" s="26" t="str">
        <f t="array" ref="C992">IFERROR(INDEX('Patrimônio'!$C$7:$C$1003,MATCH($B992,'Patrimônio'!$A$7:$A$1003,0)),"")</f>
        <v/>
      </c>
      <c r="D992" s="26" t="str">
        <f t="array" ref="D992">IFERROR(INDEX('Patrimônio'!$B$7:$B$1003,MATCH($B992,'Patrimônio'!$A$7:$A$1003,0)),"")</f>
        <v/>
      </c>
      <c r="E992" s="17"/>
      <c r="F992" s="18"/>
      <c r="G992" s="19"/>
      <c r="H992" s="15"/>
      <c r="I992" s="17"/>
      <c r="J992" s="24" t="str">
        <f t="shared" si="1"/>
        <v/>
      </c>
      <c r="K992" s="17"/>
    </row>
    <row r="993" ht="15.0" customHeight="1">
      <c r="A993" s="19"/>
      <c r="B993" s="15"/>
      <c r="C993" s="26" t="str">
        <f t="array" ref="C993">IFERROR(INDEX('Patrimônio'!$C$7:$C$1003,MATCH($B993,'Patrimônio'!$A$7:$A$1003,0)),"")</f>
        <v/>
      </c>
      <c r="D993" s="26" t="str">
        <f t="array" ref="D993">IFERROR(INDEX('Patrimônio'!$B$7:$B$1003,MATCH($B993,'Patrimônio'!$A$7:$A$1003,0)),"")</f>
        <v/>
      </c>
      <c r="E993" s="17"/>
      <c r="F993" s="18"/>
      <c r="G993" s="19"/>
      <c r="H993" s="15"/>
      <c r="I993" s="17"/>
      <c r="J993" s="24" t="str">
        <f t="shared" si="1"/>
        <v/>
      </c>
      <c r="K993" s="17"/>
    </row>
    <row r="994" ht="15.0" customHeight="1">
      <c r="A994" s="19"/>
      <c r="B994" s="15"/>
      <c r="C994" s="26" t="str">
        <f t="array" ref="C994">IFERROR(INDEX('Patrimônio'!$C$7:$C$1003,MATCH($B994,'Patrimônio'!$A$7:$A$1003,0)),"")</f>
        <v/>
      </c>
      <c r="D994" s="26" t="str">
        <f t="array" ref="D994">IFERROR(INDEX('Patrimônio'!$B$7:$B$1003,MATCH($B994,'Patrimônio'!$A$7:$A$1003,0)),"")</f>
        <v/>
      </c>
      <c r="E994" s="17"/>
      <c r="F994" s="18"/>
      <c r="G994" s="19"/>
      <c r="H994" s="15"/>
      <c r="I994" s="17"/>
      <c r="J994" s="24" t="str">
        <f t="shared" si="1"/>
        <v/>
      </c>
      <c r="K994" s="17"/>
    </row>
    <row r="995" ht="15.0" customHeight="1">
      <c r="A995" s="19"/>
      <c r="B995" s="15"/>
      <c r="C995" s="26" t="str">
        <f t="array" ref="C995">IFERROR(INDEX('Patrimônio'!$C$7:$C$1003,MATCH($B995,'Patrimônio'!$A$7:$A$1003,0)),"")</f>
        <v/>
      </c>
      <c r="D995" s="26" t="str">
        <f t="array" ref="D995">IFERROR(INDEX('Patrimônio'!$B$7:$B$1003,MATCH($B995,'Patrimônio'!$A$7:$A$1003,0)),"")</f>
        <v/>
      </c>
      <c r="E995" s="17"/>
      <c r="F995" s="18"/>
      <c r="G995" s="19"/>
      <c r="H995" s="15"/>
      <c r="I995" s="17"/>
      <c r="J995" s="24" t="str">
        <f t="shared" si="1"/>
        <v/>
      </c>
      <c r="K995" s="17"/>
    </row>
    <row r="996" ht="15.0" customHeight="1">
      <c r="A996" s="19"/>
      <c r="B996" s="15"/>
      <c r="C996" s="26" t="str">
        <f t="array" ref="C996">IFERROR(INDEX('Patrimônio'!$C$7:$C$1003,MATCH($B996,'Patrimônio'!$A$7:$A$1003,0)),"")</f>
        <v/>
      </c>
      <c r="D996" s="26" t="str">
        <f t="array" ref="D996">IFERROR(INDEX('Patrimônio'!$B$7:$B$1003,MATCH($B996,'Patrimônio'!$A$7:$A$1003,0)),"")</f>
        <v/>
      </c>
      <c r="E996" s="17"/>
      <c r="F996" s="18"/>
      <c r="G996" s="19"/>
      <c r="H996" s="15"/>
      <c r="I996" s="17"/>
      <c r="J996" s="24" t="str">
        <f t="shared" si="1"/>
        <v/>
      </c>
      <c r="K996" s="17"/>
    </row>
    <row r="997" ht="15.0" customHeight="1">
      <c r="A997" s="19"/>
      <c r="B997" s="15"/>
      <c r="C997" s="26" t="str">
        <f t="array" ref="C997">IFERROR(INDEX('Patrimônio'!$C$7:$C$1003,MATCH($B997,'Patrimônio'!$A$7:$A$1003,0)),"")</f>
        <v/>
      </c>
      <c r="D997" s="26" t="str">
        <f t="array" ref="D997">IFERROR(INDEX('Patrimônio'!$B$7:$B$1003,MATCH($B997,'Patrimônio'!$A$7:$A$1003,0)),"")</f>
        <v/>
      </c>
      <c r="E997" s="17"/>
      <c r="F997" s="18"/>
      <c r="G997" s="19"/>
      <c r="H997" s="15"/>
      <c r="I997" s="17"/>
      <c r="J997" s="24" t="str">
        <f t="shared" si="1"/>
        <v/>
      </c>
      <c r="K997" s="17"/>
    </row>
    <row r="998" ht="15.0" customHeight="1">
      <c r="A998" s="19"/>
      <c r="B998" s="15"/>
      <c r="C998" s="26" t="str">
        <f t="array" ref="C998">IFERROR(INDEX('Patrimônio'!$C$7:$C$1003,MATCH($B998,'Patrimônio'!$A$7:$A$1003,0)),"")</f>
        <v/>
      </c>
      <c r="D998" s="26" t="str">
        <f t="array" ref="D998">IFERROR(INDEX('Patrimônio'!$B$7:$B$1003,MATCH($B998,'Patrimônio'!$A$7:$A$1003,0)),"")</f>
        <v/>
      </c>
      <c r="E998" s="17"/>
      <c r="F998" s="18"/>
      <c r="G998" s="19"/>
      <c r="H998" s="15"/>
      <c r="I998" s="17"/>
      <c r="J998" s="24" t="str">
        <f t="shared" si="1"/>
        <v/>
      </c>
      <c r="K998" s="17"/>
    </row>
    <row r="999" ht="15.0" customHeight="1">
      <c r="A999" s="19"/>
      <c r="B999" s="15"/>
      <c r="C999" s="26" t="str">
        <f t="array" ref="C999">IFERROR(INDEX('Patrimônio'!$C$7:$C$1003,MATCH($B999,'Patrimônio'!$A$7:$A$1003,0)),"")</f>
        <v/>
      </c>
      <c r="D999" s="26" t="str">
        <f t="array" ref="D999">IFERROR(INDEX('Patrimônio'!$B$7:$B$1003,MATCH($B999,'Patrimônio'!$A$7:$A$1003,0)),"")</f>
        <v/>
      </c>
      <c r="E999" s="17"/>
      <c r="F999" s="18"/>
      <c r="G999" s="19"/>
      <c r="H999" s="15"/>
      <c r="I999" s="17"/>
      <c r="J999" s="24" t="str">
        <f t="shared" si="1"/>
        <v/>
      </c>
      <c r="K999" s="17"/>
    </row>
    <row r="1000" ht="15.0" customHeight="1">
      <c r="A1000" s="19"/>
      <c r="B1000" s="15"/>
      <c r="C1000" s="26" t="str">
        <f t="array" ref="C1000">IFERROR(INDEX('Patrimônio'!$C$7:$C$1003,MATCH($B1000,'Patrimônio'!$A$7:$A$1003,0)),"")</f>
        <v/>
      </c>
      <c r="D1000" s="26" t="str">
        <f t="array" ref="D1000">IFERROR(INDEX('Patrimônio'!$B$7:$B$1003,MATCH($B1000,'Patrimônio'!$A$7:$A$1003,0)),"")</f>
        <v/>
      </c>
      <c r="E1000" s="17"/>
      <c r="F1000" s="18"/>
      <c r="G1000" s="19"/>
      <c r="H1000" s="15"/>
      <c r="I1000" s="17"/>
      <c r="J1000" s="24" t="str">
        <f t="shared" si="1"/>
        <v/>
      </c>
      <c r="K1000" s="17"/>
    </row>
    <row r="1001" ht="15.0" customHeight="1">
      <c r="A1001" s="19"/>
      <c r="B1001" s="15"/>
      <c r="C1001" s="26" t="str">
        <f t="array" ref="C1001">IFERROR(INDEX('Patrimônio'!$C$7:$C$1003,MATCH($B1001,'Patrimônio'!$A$7:$A$1003,0)),"")</f>
        <v/>
      </c>
      <c r="D1001" s="26" t="str">
        <f t="array" ref="D1001">IFERROR(INDEX('Patrimônio'!$B$7:$B$1003,MATCH($B1001,'Patrimônio'!$A$7:$A$1003,0)),"")</f>
        <v/>
      </c>
      <c r="E1001" s="17"/>
      <c r="F1001" s="18"/>
      <c r="G1001" s="19"/>
      <c r="H1001" s="15"/>
      <c r="I1001" s="17"/>
      <c r="J1001" s="24" t="str">
        <f t="shared" si="1"/>
        <v/>
      </c>
      <c r="K1001" s="17"/>
    </row>
    <row r="1002" ht="15.0" customHeight="1">
      <c r="A1002" s="19"/>
      <c r="B1002" s="15"/>
      <c r="C1002" s="26" t="str">
        <f t="array" ref="C1002">IFERROR(INDEX('Patrimônio'!$C$7:$C$1003,MATCH($B1002,'Patrimônio'!$A$7:$A$1003,0)),"")</f>
        <v/>
      </c>
      <c r="D1002" s="26" t="str">
        <f t="array" ref="D1002">IFERROR(INDEX('Patrimônio'!$B$7:$B$1003,MATCH($B1002,'Patrimônio'!$A$7:$A$1003,0)),"")</f>
        <v/>
      </c>
      <c r="E1002" s="17"/>
      <c r="F1002" s="18"/>
      <c r="G1002" s="19"/>
      <c r="H1002" s="15"/>
      <c r="I1002" s="17"/>
      <c r="J1002" s="24" t="str">
        <f t="shared" si="1"/>
        <v/>
      </c>
      <c r="K1002" s="17"/>
    </row>
    <row r="1003" ht="15.0" customHeight="1">
      <c r="A1003" s="19"/>
      <c r="B1003" s="15"/>
      <c r="C1003" s="26" t="str">
        <f t="array" ref="C1003">IFERROR(INDEX('Patrimônio'!$C$7:$C$1003,MATCH($B1003,'Patrimônio'!$A$7:$A$1003,0)),"")</f>
        <v/>
      </c>
      <c r="D1003" s="26" t="str">
        <f t="array" ref="D1003">IFERROR(INDEX('Patrimônio'!$B$7:$B$1003,MATCH($B1003,'Patrimônio'!$A$7:$A$1003,0)),"")</f>
        <v/>
      </c>
      <c r="E1003" s="17"/>
      <c r="F1003" s="18"/>
      <c r="G1003" s="19"/>
      <c r="H1003" s="15"/>
      <c r="I1003" s="17"/>
      <c r="J1003" s="24" t="str">
        <f t="shared" si="1"/>
        <v/>
      </c>
      <c r="K1003" s="17"/>
    </row>
    <row r="1004" ht="15.0" customHeight="1">
      <c r="A1004" s="19"/>
      <c r="B1004" s="15"/>
      <c r="C1004" s="26" t="str">
        <f t="array" ref="C1004">IFERROR(INDEX('Patrimônio'!$C$7:$C$1003,MATCH($B1004,'Patrimônio'!$A$7:$A$1003,0)),"")</f>
        <v/>
      </c>
      <c r="D1004" s="26" t="str">
        <f t="array" ref="D1004">IFERROR(INDEX('Patrimônio'!$B$7:$B$1003,MATCH($B1004,'Patrimônio'!$A$7:$A$1003,0)),"")</f>
        <v/>
      </c>
      <c r="E1004" s="17"/>
      <c r="F1004" s="18"/>
      <c r="G1004" s="19"/>
      <c r="H1004" s="15"/>
      <c r="I1004" s="17"/>
      <c r="J1004" s="24" t="str">
        <f t="shared" si="1"/>
        <v/>
      </c>
      <c r="K1004" s="17"/>
    </row>
    <row r="1005" ht="15.0" customHeight="1">
      <c r="A1005" s="19"/>
      <c r="B1005" s="15"/>
      <c r="C1005" s="26" t="str">
        <f t="array" ref="C1005">IFERROR(INDEX('Patrimônio'!$C$7:$C$1003,MATCH($B1005,'Patrimônio'!$A$7:$A$1003,0)),"")</f>
        <v/>
      </c>
      <c r="D1005" s="26" t="str">
        <f t="array" ref="D1005">IFERROR(INDEX('Patrimônio'!$B$7:$B$1003,MATCH($B1005,'Patrimônio'!$A$7:$A$1003,0)),"")</f>
        <v/>
      </c>
      <c r="E1005" s="17"/>
      <c r="F1005" s="18"/>
      <c r="G1005" s="19"/>
      <c r="H1005" s="15"/>
      <c r="I1005" s="17"/>
      <c r="J1005" s="24" t="str">
        <f t="shared" si="1"/>
        <v/>
      </c>
      <c r="K1005" s="17"/>
    </row>
    <row r="1006" ht="15.0" customHeight="1">
      <c r="A1006" s="19"/>
      <c r="B1006" s="15"/>
      <c r="C1006" s="26" t="str">
        <f t="array" ref="C1006">IFERROR(INDEX('Patrimônio'!$C$7:$C$1003,MATCH($B1006,'Patrimônio'!$A$7:$A$1003,0)),"")</f>
        <v/>
      </c>
      <c r="D1006" s="26" t="str">
        <f t="array" ref="D1006">IFERROR(INDEX('Patrimônio'!$B$7:$B$1003,MATCH($B1006,'Patrimônio'!$A$7:$A$1003,0)),"")</f>
        <v/>
      </c>
      <c r="E1006" s="17"/>
      <c r="F1006" s="18"/>
      <c r="G1006" s="19"/>
      <c r="H1006" s="15"/>
      <c r="I1006" s="17"/>
      <c r="J1006" s="24" t="str">
        <f t="shared" si="1"/>
        <v/>
      </c>
      <c r="K1006" s="17"/>
    </row>
  </sheetData>
  <autoFilter ref="$A$6:$K$1006"/>
  <mergeCells count="2">
    <mergeCell ref="B1:K2"/>
    <mergeCell ref="B3:K4"/>
  </mergeCells>
  <dataValidations>
    <dataValidation type="list" allowBlank="1" sqref="H7:H1006">
      <formula1>Listas!$E$2:$E$4</formula1>
    </dataValidation>
  </dataValidations>
  <printOptions horizontalCentered="1"/>
  <pageMargins bottom="0.4" footer="0.0" header="0.0" left="0.3" right="0.3" top="0.4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22.0"/>
    <col customWidth="1" min="2" max="2" width="16.0"/>
    <col customWidth="1" min="3" max="3" width="10.0"/>
    <col customWidth="1" min="4" max="5" width="17.0"/>
    <col customWidth="1" min="6" max="6" width="12.0"/>
    <col customWidth="1" min="7" max="7" width="14.0"/>
    <col customWidth="1" min="8" max="8" width="11.0"/>
    <col customWidth="1" min="9" max="9" width="27.29"/>
    <col customWidth="1" min="10" max="26" width="8.71"/>
  </cols>
  <sheetData>
    <row r="1" ht="18.75" customHeight="1">
      <c r="A1" s="1"/>
      <c r="B1" s="2" t="s">
        <v>190</v>
      </c>
      <c r="C1" s="3"/>
      <c r="D1" s="3"/>
      <c r="E1" s="3"/>
      <c r="F1" s="3"/>
      <c r="G1" s="3"/>
      <c r="H1" s="3"/>
      <c r="I1" s="4"/>
    </row>
    <row r="2" ht="18.75" customHeight="1">
      <c r="A2" s="1"/>
      <c r="B2" s="5"/>
      <c r="C2" s="6"/>
      <c r="D2" s="6"/>
      <c r="E2" s="6"/>
      <c r="F2" s="6"/>
      <c r="G2" s="6"/>
      <c r="H2" s="6"/>
      <c r="I2" s="7"/>
    </row>
    <row r="3" ht="18.75" customHeight="1">
      <c r="A3" s="1"/>
      <c r="B3" s="8" t="s">
        <v>192</v>
      </c>
      <c r="C3" s="3"/>
      <c r="D3" s="3"/>
      <c r="E3" s="3"/>
      <c r="F3" s="3"/>
      <c r="G3" s="3"/>
      <c r="H3" s="3"/>
      <c r="I3" s="4"/>
    </row>
    <row r="4" ht="18.75" customHeight="1">
      <c r="A4" s="1"/>
      <c r="B4" s="5"/>
      <c r="C4" s="6"/>
      <c r="D4" s="6"/>
      <c r="E4" s="6"/>
      <c r="F4" s="6"/>
      <c r="G4" s="6"/>
      <c r="H4" s="6"/>
      <c r="I4" s="7"/>
    </row>
    <row r="5" ht="14.25" customHeight="1"/>
    <row r="6" ht="15.0" customHeight="1">
      <c r="A6" s="35" t="s">
        <v>194</v>
      </c>
      <c r="B6" s="12"/>
      <c r="C6" s="12"/>
      <c r="D6" s="12"/>
      <c r="E6" s="12"/>
      <c r="F6" s="12"/>
      <c r="G6" s="12"/>
      <c r="H6" s="12"/>
      <c r="I6" s="13"/>
    </row>
    <row r="7" ht="27.75" customHeight="1">
      <c r="A7" s="10" t="s">
        <v>195</v>
      </c>
      <c r="B7" s="10" t="s">
        <v>197</v>
      </c>
      <c r="C7" s="10" t="s">
        <v>198</v>
      </c>
      <c r="D7" s="10" t="s">
        <v>200</v>
      </c>
      <c r="E7" s="10" t="s">
        <v>201</v>
      </c>
      <c r="F7" s="10" t="s">
        <v>202</v>
      </c>
      <c r="G7" s="10" t="s">
        <v>203</v>
      </c>
      <c r="H7" s="10" t="s">
        <v>21</v>
      </c>
      <c r="I7" s="10" t="s">
        <v>22</v>
      </c>
    </row>
    <row r="8" ht="15.0" customHeight="1">
      <c r="A8" s="17" t="s">
        <v>148</v>
      </c>
      <c r="B8" s="17" t="s">
        <v>204</v>
      </c>
      <c r="C8" s="15">
        <v>4.0</v>
      </c>
      <c r="D8" s="18">
        <v>65.0</v>
      </c>
      <c r="E8" s="30">
        <f t="shared" ref="E8:E37" si="1">IF($C8="","",IF($G8&lt;&gt;"",0,$C8*$D8))</f>
        <v>260</v>
      </c>
      <c r="F8" s="19">
        <v>46143.0</v>
      </c>
      <c r="G8" s="19"/>
      <c r="H8" s="24" t="str">
        <f t="shared" ref="H8:H37" si="2">IF($A8="","",IF($G8&lt;&gt;"","ENCERRADO","ATIVO"))</f>
        <v>ATIVO</v>
      </c>
      <c r="I8" s="28" t="s">
        <v>212</v>
      </c>
    </row>
    <row r="9" ht="15.0" customHeight="1">
      <c r="A9" s="17" t="s">
        <v>120</v>
      </c>
      <c r="B9" s="17" t="s">
        <v>213</v>
      </c>
      <c r="C9" s="15">
        <v>5.0</v>
      </c>
      <c r="D9" s="18">
        <v>71.88</v>
      </c>
      <c r="E9" s="30">
        <f t="shared" si="1"/>
        <v>359.4</v>
      </c>
      <c r="F9" s="19"/>
      <c r="G9" s="19"/>
      <c r="H9" s="24" t="str">
        <f t="shared" si="2"/>
        <v>ATIVO</v>
      </c>
      <c r="I9" s="17" t="s">
        <v>212</v>
      </c>
    </row>
    <row r="10" ht="15.0" customHeight="1">
      <c r="A10" s="17" t="s">
        <v>183</v>
      </c>
      <c r="B10" s="17" t="s">
        <v>213</v>
      </c>
      <c r="C10" s="15">
        <v>4.0</v>
      </c>
      <c r="D10" s="18">
        <v>71.88</v>
      </c>
      <c r="E10" s="30">
        <f t="shared" si="1"/>
        <v>287.52</v>
      </c>
      <c r="F10" s="19"/>
      <c r="G10" s="19"/>
      <c r="H10" s="24" t="str">
        <f t="shared" si="2"/>
        <v>ATIVO</v>
      </c>
      <c r="I10" s="17" t="s">
        <v>212</v>
      </c>
    </row>
    <row r="11" ht="15.0" customHeight="1">
      <c r="A11" s="17" t="s">
        <v>154</v>
      </c>
      <c r="B11" s="17" t="s">
        <v>215</v>
      </c>
      <c r="C11" s="15">
        <v>6.0</v>
      </c>
      <c r="D11" s="18">
        <v>78.0</v>
      </c>
      <c r="E11" s="30">
        <f t="shared" si="1"/>
        <v>468</v>
      </c>
      <c r="F11" s="19"/>
      <c r="G11" s="19"/>
      <c r="H11" s="24" t="str">
        <f t="shared" si="2"/>
        <v>ATIVO</v>
      </c>
      <c r="I11" s="17" t="s">
        <v>212</v>
      </c>
    </row>
    <row r="12" ht="15.0" customHeight="1">
      <c r="A12" s="17" t="s">
        <v>166</v>
      </c>
      <c r="B12" s="17" t="s">
        <v>213</v>
      </c>
      <c r="C12" s="15">
        <v>6.0</v>
      </c>
      <c r="D12" s="18">
        <v>71.88</v>
      </c>
      <c r="E12" s="30">
        <f t="shared" si="1"/>
        <v>431.28</v>
      </c>
      <c r="F12" s="19">
        <v>46121.0</v>
      </c>
      <c r="G12" s="19"/>
      <c r="H12" s="24" t="str">
        <f t="shared" si="2"/>
        <v>ATIVO</v>
      </c>
      <c r="I12" s="17" t="s">
        <v>217</v>
      </c>
    </row>
    <row r="13" ht="15.0" customHeight="1">
      <c r="A13" s="17" t="s">
        <v>218</v>
      </c>
      <c r="B13" s="17" t="s">
        <v>219</v>
      </c>
      <c r="C13" s="15">
        <v>3.0</v>
      </c>
      <c r="D13" s="18">
        <v>49.0</v>
      </c>
      <c r="E13" s="30">
        <f t="shared" si="1"/>
        <v>147</v>
      </c>
      <c r="F13" s="19">
        <v>46136.0</v>
      </c>
      <c r="G13" s="19"/>
      <c r="H13" s="24" t="str">
        <f t="shared" si="2"/>
        <v>ATIVO</v>
      </c>
      <c r="I13" s="17" t="s">
        <v>212</v>
      </c>
    </row>
    <row r="14" ht="15.0" customHeight="1">
      <c r="A14" s="17" t="s">
        <v>142</v>
      </c>
      <c r="B14" s="17" t="s">
        <v>213</v>
      </c>
      <c r="C14" s="15">
        <v>6.0</v>
      </c>
      <c r="D14" s="18">
        <v>71.88</v>
      </c>
      <c r="E14" s="30">
        <f t="shared" si="1"/>
        <v>431.28</v>
      </c>
      <c r="F14" s="19"/>
      <c r="G14" s="19"/>
      <c r="H14" s="24" t="str">
        <f t="shared" si="2"/>
        <v>ATIVO</v>
      </c>
      <c r="I14" s="17" t="s">
        <v>217</v>
      </c>
    </row>
    <row r="15" ht="15.0" customHeight="1">
      <c r="A15" s="17" t="s">
        <v>140</v>
      </c>
      <c r="B15" s="17" t="s">
        <v>215</v>
      </c>
      <c r="C15" s="15">
        <v>4.0</v>
      </c>
      <c r="D15" s="18">
        <v>78.0</v>
      </c>
      <c r="E15" s="30">
        <f t="shared" si="1"/>
        <v>312</v>
      </c>
      <c r="F15" s="19"/>
      <c r="G15" s="19"/>
      <c r="H15" s="24" t="str">
        <f t="shared" si="2"/>
        <v>ATIVO</v>
      </c>
      <c r="I15" s="17" t="s">
        <v>212</v>
      </c>
    </row>
    <row r="16" ht="15.0" customHeight="1">
      <c r="A16" s="17" t="s">
        <v>224</v>
      </c>
      <c r="B16" s="17" t="s">
        <v>204</v>
      </c>
      <c r="C16" s="15">
        <v>0.0</v>
      </c>
      <c r="D16" s="18">
        <v>65.0</v>
      </c>
      <c r="E16" s="30">
        <f t="shared" si="1"/>
        <v>0</v>
      </c>
      <c r="F16" s="19">
        <v>46157.0</v>
      </c>
      <c r="G16" s="19"/>
      <c r="H16" s="24" t="str">
        <f t="shared" si="2"/>
        <v>ATIVO</v>
      </c>
      <c r="I16" s="17" t="s">
        <v>212</v>
      </c>
    </row>
    <row r="17" ht="15.0" customHeight="1">
      <c r="A17" s="17" t="s">
        <v>226</v>
      </c>
      <c r="B17" s="17" t="s">
        <v>219</v>
      </c>
      <c r="C17" s="15">
        <v>6.0</v>
      </c>
      <c r="D17" s="18">
        <v>49.0</v>
      </c>
      <c r="E17" s="30">
        <f t="shared" si="1"/>
        <v>294</v>
      </c>
      <c r="F17" s="19">
        <v>46261.0</v>
      </c>
      <c r="G17" s="19"/>
      <c r="H17" s="24" t="str">
        <f t="shared" si="2"/>
        <v>ATIVO</v>
      </c>
      <c r="I17" s="17"/>
    </row>
    <row r="18" ht="15.0" customHeight="1">
      <c r="A18" s="17" t="s">
        <v>161</v>
      </c>
      <c r="B18" s="17" t="s">
        <v>213</v>
      </c>
      <c r="C18" s="15">
        <v>3.0</v>
      </c>
      <c r="D18" s="18">
        <v>71.88</v>
      </c>
      <c r="E18" s="30">
        <f t="shared" si="1"/>
        <v>215.64</v>
      </c>
      <c r="F18" s="19"/>
      <c r="G18" s="19"/>
      <c r="H18" s="24" t="str">
        <f t="shared" si="2"/>
        <v>ATIVO</v>
      </c>
      <c r="I18" s="17"/>
    </row>
    <row r="19" ht="15.0" customHeight="1">
      <c r="A19" s="33" t="s">
        <v>187</v>
      </c>
      <c r="B19" s="33" t="s">
        <v>213</v>
      </c>
      <c r="C19" s="32">
        <v>5.0</v>
      </c>
      <c r="D19" s="37">
        <v>71.88</v>
      </c>
      <c r="E19" s="30">
        <f t="shared" si="1"/>
        <v>359.4</v>
      </c>
      <c r="F19" s="36">
        <v>46280.0</v>
      </c>
      <c r="G19" s="19"/>
      <c r="H19" s="24" t="str">
        <f t="shared" si="2"/>
        <v>ATIVO</v>
      </c>
      <c r="I19" s="17"/>
    </row>
    <row r="20" ht="15.0" customHeight="1">
      <c r="A20" s="33" t="s">
        <v>150</v>
      </c>
      <c r="B20" s="33" t="s">
        <v>213</v>
      </c>
      <c r="C20" s="32">
        <v>4.0</v>
      </c>
      <c r="D20" s="37">
        <v>71.88</v>
      </c>
      <c r="E20" s="30">
        <f t="shared" si="1"/>
        <v>287.52</v>
      </c>
      <c r="F20" s="36">
        <v>46281.0</v>
      </c>
      <c r="G20" s="19"/>
      <c r="H20" s="24" t="str">
        <f t="shared" si="2"/>
        <v>ATIVO</v>
      </c>
      <c r="I20" s="17"/>
    </row>
    <row r="21" ht="15.0" customHeight="1">
      <c r="A21" s="17"/>
      <c r="B21" s="17"/>
      <c r="C21" s="15"/>
      <c r="D21" s="18"/>
      <c r="E21" s="30" t="str">
        <f t="shared" si="1"/>
        <v/>
      </c>
      <c r="F21" s="19"/>
      <c r="G21" s="19"/>
      <c r="H21" s="24" t="str">
        <f t="shared" si="2"/>
        <v/>
      </c>
      <c r="I21" s="17"/>
    </row>
    <row r="22" ht="15.0" customHeight="1">
      <c r="A22" s="17"/>
      <c r="B22" s="17"/>
      <c r="C22" s="15"/>
      <c r="D22" s="18"/>
      <c r="E22" s="30" t="str">
        <f t="shared" si="1"/>
        <v/>
      </c>
      <c r="F22" s="19"/>
      <c r="G22" s="19"/>
      <c r="H22" s="24" t="str">
        <f t="shared" si="2"/>
        <v/>
      </c>
      <c r="I22" s="17"/>
    </row>
    <row r="23" ht="15.0" customHeight="1">
      <c r="A23" s="17"/>
      <c r="B23" s="17"/>
      <c r="C23" s="15"/>
      <c r="D23" s="18"/>
      <c r="E23" s="30" t="str">
        <f t="shared" si="1"/>
        <v/>
      </c>
      <c r="F23" s="19"/>
      <c r="G23" s="19"/>
      <c r="H23" s="24" t="str">
        <f t="shared" si="2"/>
        <v/>
      </c>
      <c r="I23" s="17"/>
    </row>
    <row r="24" ht="15.0" customHeight="1">
      <c r="A24" s="17"/>
      <c r="B24" s="17"/>
      <c r="C24" s="15"/>
      <c r="D24" s="18"/>
      <c r="E24" s="30" t="str">
        <f t="shared" si="1"/>
        <v/>
      </c>
      <c r="F24" s="19"/>
      <c r="G24" s="19"/>
      <c r="H24" s="24" t="str">
        <f t="shared" si="2"/>
        <v/>
      </c>
      <c r="I24" s="17"/>
    </row>
    <row r="25" ht="15.0" customHeight="1">
      <c r="A25" s="17"/>
      <c r="B25" s="17"/>
      <c r="C25" s="15"/>
      <c r="D25" s="18"/>
      <c r="E25" s="30" t="str">
        <f t="shared" si="1"/>
        <v/>
      </c>
      <c r="F25" s="19"/>
      <c r="G25" s="19"/>
      <c r="H25" s="24" t="str">
        <f t="shared" si="2"/>
        <v/>
      </c>
      <c r="I25" s="17"/>
    </row>
    <row r="26" ht="15.0" customHeight="1">
      <c r="A26" s="17"/>
      <c r="B26" s="17"/>
      <c r="C26" s="15"/>
      <c r="D26" s="18"/>
      <c r="E26" s="30" t="str">
        <f t="shared" si="1"/>
        <v/>
      </c>
      <c r="F26" s="19"/>
      <c r="G26" s="19"/>
      <c r="H26" s="24" t="str">
        <f t="shared" si="2"/>
        <v/>
      </c>
      <c r="I26" s="17"/>
    </row>
    <row r="27" ht="15.0" customHeight="1">
      <c r="A27" s="17"/>
      <c r="B27" s="17"/>
      <c r="C27" s="15"/>
      <c r="D27" s="18"/>
      <c r="E27" s="30" t="str">
        <f t="shared" si="1"/>
        <v/>
      </c>
      <c r="F27" s="19"/>
      <c r="G27" s="19"/>
      <c r="H27" s="24" t="str">
        <f t="shared" si="2"/>
        <v/>
      </c>
      <c r="I27" s="17"/>
    </row>
    <row r="28" ht="15.0" customHeight="1">
      <c r="A28" s="17"/>
      <c r="B28" s="17"/>
      <c r="C28" s="15"/>
      <c r="D28" s="18"/>
      <c r="E28" s="30" t="str">
        <f t="shared" si="1"/>
        <v/>
      </c>
      <c r="F28" s="19"/>
      <c r="G28" s="19"/>
      <c r="H28" s="24" t="str">
        <f t="shared" si="2"/>
        <v/>
      </c>
      <c r="I28" s="17"/>
    </row>
    <row r="29" ht="15.0" customHeight="1">
      <c r="A29" s="17"/>
      <c r="B29" s="17"/>
      <c r="C29" s="15"/>
      <c r="D29" s="18"/>
      <c r="E29" s="30" t="str">
        <f t="shared" si="1"/>
        <v/>
      </c>
      <c r="F29" s="19"/>
      <c r="G29" s="19"/>
      <c r="H29" s="24" t="str">
        <f t="shared" si="2"/>
        <v/>
      </c>
      <c r="I29" s="17"/>
    </row>
    <row r="30" ht="15.0" customHeight="1">
      <c r="A30" s="17"/>
      <c r="B30" s="17"/>
      <c r="C30" s="15"/>
      <c r="D30" s="18"/>
      <c r="E30" s="30" t="str">
        <f t="shared" si="1"/>
        <v/>
      </c>
      <c r="F30" s="19"/>
      <c r="G30" s="19"/>
      <c r="H30" s="24" t="str">
        <f t="shared" si="2"/>
        <v/>
      </c>
      <c r="I30" s="17"/>
    </row>
    <row r="31" ht="15.0" customHeight="1">
      <c r="A31" s="17"/>
      <c r="B31" s="17"/>
      <c r="C31" s="15"/>
      <c r="D31" s="18"/>
      <c r="E31" s="30" t="str">
        <f t="shared" si="1"/>
        <v/>
      </c>
      <c r="F31" s="19"/>
      <c r="G31" s="19"/>
      <c r="H31" s="24" t="str">
        <f t="shared" si="2"/>
        <v/>
      </c>
      <c r="I31" s="17"/>
    </row>
    <row r="32" ht="15.0" customHeight="1">
      <c r="A32" s="17"/>
      <c r="B32" s="17"/>
      <c r="C32" s="15"/>
      <c r="D32" s="18"/>
      <c r="E32" s="30" t="str">
        <f t="shared" si="1"/>
        <v/>
      </c>
      <c r="F32" s="19"/>
      <c r="G32" s="19"/>
      <c r="H32" s="24" t="str">
        <f t="shared" si="2"/>
        <v/>
      </c>
      <c r="I32" s="17"/>
    </row>
    <row r="33" ht="15.0" customHeight="1">
      <c r="A33" s="17"/>
      <c r="B33" s="17"/>
      <c r="C33" s="15"/>
      <c r="D33" s="18"/>
      <c r="E33" s="30" t="str">
        <f t="shared" si="1"/>
        <v/>
      </c>
      <c r="F33" s="19"/>
      <c r="G33" s="19"/>
      <c r="H33" s="24" t="str">
        <f t="shared" si="2"/>
        <v/>
      </c>
      <c r="I33" s="17"/>
    </row>
    <row r="34" ht="15.0" customHeight="1">
      <c r="A34" s="17"/>
      <c r="B34" s="17"/>
      <c r="C34" s="15"/>
      <c r="D34" s="18"/>
      <c r="E34" s="30" t="str">
        <f t="shared" si="1"/>
        <v/>
      </c>
      <c r="F34" s="19"/>
      <c r="G34" s="19"/>
      <c r="H34" s="24" t="str">
        <f t="shared" si="2"/>
        <v/>
      </c>
      <c r="I34" s="17"/>
    </row>
    <row r="35" ht="15.0" customHeight="1">
      <c r="A35" s="17"/>
      <c r="B35" s="17"/>
      <c r="C35" s="15"/>
      <c r="D35" s="18"/>
      <c r="E35" s="30" t="str">
        <f t="shared" si="1"/>
        <v/>
      </c>
      <c r="F35" s="19"/>
      <c r="G35" s="19"/>
      <c r="H35" s="24" t="str">
        <f t="shared" si="2"/>
        <v/>
      </c>
      <c r="I35" s="17"/>
    </row>
    <row r="36" ht="15.0" customHeight="1">
      <c r="A36" s="17"/>
      <c r="B36" s="17"/>
      <c r="C36" s="15"/>
      <c r="D36" s="18"/>
      <c r="E36" s="30" t="str">
        <f t="shared" si="1"/>
        <v/>
      </c>
      <c r="F36" s="19"/>
      <c r="G36" s="19"/>
      <c r="H36" s="24" t="str">
        <f t="shared" si="2"/>
        <v/>
      </c>
      <c r="I36" s="17"/>
    </row>
    <row r="37" ht="15.0" customHeight="1">
      <c r="A37" s="17"/>
      <c r="B37" s="17"/>
      <c r="C37" s="15"/>
      <c r="D37" s="18"/>
      <c r="E37" s="30" t="str">
        <f t="shared" si="1"/>
        <v/>
      </c>
      <c r="F37" s="19"/>
      <c r="G37" s="19"/>
      <c r="H37" s="24" t="str">
        <f t="shared" si="2"/>
        <v/>
      </c>
      <c r="I37" s="17"/>
    </row>
    <row r="38" ht="15.0" customHeight="1">
      <c r="D38" s="38" t="s">
        <v>243</v>
      </c>
      <c r="E38" s="39">
        <f>SUM($E$8:$E$37)</f>
        <v>3853.04</v>
      </c>
    </row>
    <row r="39" ht="14.25" customHeight="1"/>
    <row r="40" ht="15.0" customHeight="1">
      <c r="A40" s="35" t="s">
        <v>244</v>
      </c>
      <c r="B40" s="12"/>
      <c r="C40" s="12"/>
      <c r="D40" s="12"/>
      <c r="E40" s="12"/>
      <c r="F40" s="12"/>
      <c r="G40" s="12"/>
      <c r="H40" s="13"/>
    </row>
    <row r="41" ht="27.75" customHeight="1">
      <c r="A41" s="10" t="s">
        <v>33</v>
      </c>
      <c r="B41" s="10" t="s">
        <v>195</v>
      </c>
      <c r="C41" s="10" t="s">
        <v>197</v>
      </c>
      <c r="D41" s="10" t="s">
        <v>246</v>
      </c>
      <c r="E41" s="10" t="s">
        <v>247</v>
      </c>
      <c r="F41" s="10" t="s">
        <v>248</v>
      </c>
      <c r="G41" s="10" t="s">
        <v>249</v>
      </c>
      <c r="H41" s="10" t="s">
        <v>22</v>
      </c>
    </row>
    <row r="42" ht="15.0" customHeight="1">
      <c r="A42" s="19"/>
      <c r="B42" s="17"/>
      <c r="C42" s="17"/>
      <c r="D42" s="15"/>
      <c r="E42" s="15"/>
      <c r="F42" s="18"/>
      <c r="G42" s="17"/>
      <c r="H42" s="28"/>
    </row>
    <row r="43" ht="15.0" customHeight="1">
      <c r="A43" s="19"/>
      <c r="B43" s="17"/>
      <c r="C43" s="17"/>
      <c r="D43" s="15"/>
      <c r="E43" s="15"/>
      <c r="F43" s="18"/>
      <c r="G43" s="17"/>
      <c r="H43" s="17"/>
    </row>
    <row r="44" ht="15.0" customHeight="1">
      <c r="A44" s="19"/>
      <c r="B44" s="17"/>
      <c r="C44" s="17"/>
      <c r="D44" s="15"/>
      <c r="E44" s="15"/>
      <c r="F44" s="18"/>
      <c r="G44" s="17"/>
      <c r="H44" s="17"/>
    </row>
    <row r="45" ht="15.0" customHeight="1">
      <c r="A45" s="19"/>
      <c r="B45" s="17"/>
      <c r="C45" s="17"/>
      <c r="D45" s="15"/>
      <c r="E45" s="15"/>
      <c r="F45" s="18"/>
      <c r="G45" s="17"/>
      <c r="H45" s="17"/>
    </row>
    <row r="46" ht="15.0" customHeight="1">
      <c r="A46" s="19"/>
      <c r="B46" s="17"/>
      <c r="C46" s="17"/>
      <c r="D46" s="15"/>
      <c r="E46" s="15"/>
      <c r="F46" s="18"/>
      <c r="G46" s="17"/>
      <c r="H46" s="17"/>
    </row>
    <row r="47" ht="15.0" customHeight="1">
      <c r="A47" s="19"/>
      <c r="B47" s="17"/>
      <c r="C47" s="17"/>
      <c r="D47" s="15"/>
      <c r="E47" s="15"/>
      <c r="F47" s="18"/>
      <c r="G47" s="17"/>
      <c r="H47" s="17"/>
    </row>
    <row r="48" ht="15.0" customHeight="1">
      <c r="A48" s="19"/>
      <c r="B48" s="17"/>
      <c r="C48" s="17"/>
      <c r="D48" s="15"/>
      <c r="E48" s="15"/>
      <c r="F48" s="18"/>
      <c r="G48" s="17"/>
      <c r="H48" s="17"/>
    </row>
    <row r="49" ht="15.0" customHeight="1">
      <c r="A49" s="19"/>
      <c r="B49" s="17"/>
      <c r="C49" s="17"/>
      <c r="D49" s="15"/>
      <c r="E49" s="15"/>
      <c r="F49" s="18"/>
      <c r="G49" s="17"/>
      <c r="H49" s="17"/>
    </row>
    <row r="50" ht="15.0" customHeight="1">
      <c r="A50" s="19"/>
      <c r="B50" s="17"/>
      <c r="C50" s="17"/>
      <c r="D50" s="15"/>
      <c r="E50" s="15"/>
      <c r="F50" s="18"/>
      <c r="G50" s="17"/>
      <c r="H50" s="17"/>
    </row>
    <row r="51" ht="15.0" customHeight="1">
      <c r="A51" s="19"/>
      <c r="B51" s="17"/>
      <c r="C51" s="17"/>
      <c r="D51" s="15"/>
      <c r="E51" s="15"/>
      <c r="F51" s="18"/>
      <c r="G51" s="17"/>
      <c r="H51" s="17"/>
    </row>
    <row r="52" ht="15.0" customHeight="1">
      <c r="A52" s="19"/>
      <c r="B52" s="17"/>
      <c r="C52" s="17"/>
      <c r="D52" s="15"/>
      <c r="E52" s="15"/>
      <c r="F52" s="18"/>
      <c r="G52" s="17"/>
      <c r="H52" s="17"/>
    </row>
    <row r="53" ht="15.0" customHeight="1">
      <c r="A53" s="19"/>
      <c r="B53" s="17"/>
      <c r="C53" s="17"/>
      <c r="D53" s="15"/>
      <c r="E53" s="15"/>
      <c r="F53" s="18"/>
      <c r="G53" s="17"/>
      <c r="H53" s="17"/>
    </row>
    <row r="54" ht="15.0" customHeight="1">
      <c r="A54" s="19"/>
      <c r="B54" s="17"/>
      <c r="C54" s="17"/>
      <c r="D54" s="15"/>
      <c r="E54" s="15"/>
      <c r="F54" s="18"/>
      <c r="G54" s="17"/>
      <c r="H54" s="17"/>
    </row>
    <row r="55" ht="15.0" customHeight="1">
      <c r="A55" s="19"/>
      <c r="B55" s="17"/>
      <c r="C55" s="17"/>
      <c r="D55" s="15"/>
      <c r="E55" s="15"/>
      <c r="F55" s="18"/>
      <c r="G55" s="17"/>
      <c r="H55" s="17"/>
    </row>
    <row r="56" ht="15.0" customHeight="1">
      <c r="A56" s="19"/>
      <c r="B56" s="17"/>
      <c r="C56" s="17"/>
      <c r="D56" s="15"/>
      <c r="E56" s="15"/>
      <c r="F56" s="18"/>
      <c r="G56" s="17"/>
      <c r="H56" s="17"/>
    </row>
    <row r="57" ht="15.0" customHeight="1">
      <c r="A57" s="19"/>
      <c r="B57" s="17"/>
      <c r="C57" s="17"/>
      <c r="D57" s="15"/>
      <c r="E57" s="15"/>
      <c r="F57" s="18"/>
      <c r="G57" s="17"/>
      <c r="H57" s="17"/>
    </row>
    <row r="58" ht="15.0" customHeight="1">
      <c r="A58" s="19"/>
      <c r="B58" s="17"/>
      <c r="C58" s="17"/>
      <c r="D58" s="15"/>
      <c r="E58" s="15"/>
      <c r="F58" s="18"/>
      <c r="G58" s="17"/>
      <c r="H58" s="17"/>
    </row>
    <row r="59" ht="15.0" customHeight="1">
      <c r="A59" s="19"/>
      <c r="B59" s="17"/>
      <c r="C59" s="17"/>
      <c r="D59" s="15"/>
      <c r="E59" s="15"/>
      <c r="F59" s="18"/>
      <c r="G59" s="17"/>
      <c r="H59" s="17"/>
    </row>
    <row r="60" ht="15.0" customHeight="1">
      <c r="A60" s="19"/>
      <c r="B60" s="17"/>
      <c r="C60" s="17"/>
      <c r="D60" s="15"/>
      <c r="E60" s="15"/>
      <c r="F60" s="18"/>
      <c r="G60" s="17"/>
      <c r="H60" s="17"/>
    </row>
    <row r="61" ht="15.0" customHeight="1">
      <c r="A61" s="19"/>
      <c r="B61" s="17"/>
      <c r="C61" s="17"/>
      <c r="D61" s="15"/>
      <c r="E61" s="15"/>
      <c r="F61" s="18"/>
      <c r="G61" s="17"/>
      <c r="H61" s="17"/>
    </row>
    <row r="62" ht="15.0" customHeight="1">
      <c r="A62" s="19"/>
      <c r="B62" s="17"/>
      <c r="C62" s="17"/>
      <c r="D62" s="15"/>
      <c r="E62" s="15"/>
      <c r="F62" s="18"/>
      <c r="G62" s="17"/>
      <c r="H62" s="17"/>
    </row>
    <row r="63" ht="15.0" customHeight="1">
      <c r="A63" s="19"/>
      <c r="B63" s="17"/>
      <c r="C63" s="17"/>
      <c r="D63" s="15"/>
      <c r="E63" s="15"/>
      <c r="F63" s="18"/>
      <c r="G63" s="17"/>
      <c r="H63" s="17"/>
    </row>
    <row r="64" ht="15.0" customHeight="1">
      <c r="A64" s="19"/>
      <c r="B64" s="17"/>
      <c r="C64" s="17"/>
      <c r="D64" s="15"/>
      <c r="E64" s="15"/>
      <c r="F64" s="18"/>
      <c r="G64" s="17"/>
      <c r="H64" s="17"/>
    </row>
    <row r="65" ht="15.0" customHeight="1">
      <c r="A65" s="19"/>
      <c r="B65" s="17"/>
      <c r="C65" s="17"/>
      <c r="D65" s="15"/>
      <c r="E65" s="15"/>
      <c r="F65" s="18"/>
      <c r="G65" s="17"/>
      <c r="H65" s="17"/>
    </row>
    <row r="66" ht="15.0" customHeight="1">
      <c r="A66" s="19"/>
      <c r="B66" s="17"/>
      <c r="C66" s="17"/>
      <c r="D66" s="15"/>
      <c r="E66" s="15"/>
      <c r="F66" s="18"/>
      <c r="G66" s="17"/>
      <c r="H66" s="17"/>
    </row>
    <row r="67" ht="15.0" customHeight="1">
      <c r="A67" s="19"/>
      <c r="B67" s="17"/>
      <c r="C67" s="17"/>
      <c r="D67" s="15"/>
      <c r="E67" s="15"/>
      <c r="F67" s="18"/>
      <c r="G67" s="17"/>
      <c r="H67" s="17"/>
    </row>
    <row r="68" ht="15.0" customHeight="1">
      <c r="A68" s="19"/>
      <c r="B68" s="17"/>
      <c r="C68" s="17"/>
      <c r="D68" s="15"/>
      <c r="E68" s="15"/>
      <c r="F68" s="18"/>
      <c r="G68" s="17"/>
      <c r="H68" s="17"/>
    </row>
    <row r="69" ht="15.0" customHeight="1">
      <c r="A69" s="19"/>
      <c r="B69" s="17"/>
      <c r="C69" s="17"/>
      <c r="D69" s="15"/>
      <c r="E69" s="15"/>
      <c r="F69" s="18"/>
      <c r="G69" s="17"/>
      <c r="H69" s="17"/>
    </row>
    <row r="70" ht="15.0" customHeight="1">
      <c r="A70" s="19"/>
      <c r="B70" s="17"/>
      <c r="C70" s="17"/>
      <c r="D70" s="15"/>
      <c r="E70" s="15"/>
      <c r="F70" s="18"/>
      <c r="G70" s="17"/>
      <c r="H70" s="17"/>
    </row>
    <row r="71" ht="15.0" customHeight="1">
      <c r="A71" s="19"/>
      <c r="B71" s="17"/>
      <c r="C71" s="17"/>
      <c r="D71" s="15"/>
      <c r="E71" s="15"/>
      <c r="F71" s="18"/>
      <c r="G71" s="17"/>
      <c r="H71" s="17"/>
    </row>
    <row r="72" ht="15.0" customHeight="1">
      <c r="A72" s="19"/>
      <c r="B72" s="17"/>
      <c r="C72" s="17"/>
      <c r="D72" s="15"/>
      <c r="E72" s="15"/>
      <c r="F72" s="18"/>
      <c r="G72" s="17"/>
      <c r="H72" s="17"/>
    </row>
    <row r="73" ht="15.0" customHeight="1">
      <c r="A73" s="19"/>
      <c r="B73" s="17"/>
      <c r="C73" s="17"/>
      <c r="D73" s="15"/>
      <c r="E73" s="15"/>
      <c r="F73" s="18"/>
      <c r="G73" s="17"/>
      <c r="H73" s="17"/>
    </row>
    <row r="74" ht="15.0" customHeight="1">
      <c r="A74" s="19"/>
      <c r="B74" s="17"/>
      <c r="C74" s="17"/>
      <c r="D74" s="15"/>
      <c r="E74" s="15"/>
      <c r="F74" s="18"/>
      <c r="G74" s="17"/>
      <c r="H74" s="17"/>
    </row>
    <row r="75" ht="15.0" customHeight="1">
      <c r="A75" s="19"/>
      <c r="B75" s="17"/>
      <c r="C75" s="17"/>
      <c r="D75" s="15"/>
      <c r="E75" s="15"/>
      <c r="F75" s="18"/>
      <c r="G75" s="17"/>
      <c r="H75" s="17"/>
    </row>
    <row r="76" ht="15.0" customHeight="1">
      <c r="A76" s="19"/>
      <c r="B76" s="17"/>
      <c r="C76" s="17"/>
      <c r="D76" s="15"/>
      <c r="E76" s="15"/>
      <c r="F76" s="18"/>
      <c r="G76" s="17"/>
      <c r="H76" s="17"/>
    </row>
    <row r="77" ht="15.0" customHeight="1">
      <c r="A77" s="19"/>
      <c r="B77" s="17"/>
      <c r="C77" s="17"/>
      <c r="D77" s="15"/>
      <c r="E77" s="15"/>
      <c r="F77" s="18"/>
      <c r="G77" s="17"/>
      <c r="H77" s="17"/>
    </row>
    <row r="78" ht="15.0" customHeight="1">
      <c r="A78" s="19"/>
      <c r="B78" s="17"/>
      <c r="C78" s="17"/>
      <c r="D78" s="15"/>
      <c r="E78" s="15"/>
      <c r="F78" s="18"/>
      <c r="G78" s="17"/>
      <c r="H78" s="17"/>
    </row>
    <row r="79" ht="15.0" customHeight="1">
      <c r="A79" s="19"/>
      <c r="B79" s="17"/>
      <c r="C79" s="17"/>
      <c r="D79" s="15"/>
      <c r="E79" s="15"/>
      <c r="F79" s="18"/>
      <c r="G79" s="17"/>
      <c r="H79" s="17"/>
    </row>
    <row r="80" ht="15.0" customHeight="1">
      <c r="A80" s="19"/>
      <c r="B80" s="17"/>
      <c r="C80" s="17"/>
      <c r="D80" s="15"/>
      <c r="E80" s="15"/>
      <c r="F80" s="18"/>
      <c r="G80" s="17"/>
      <c r="H80" s="17"/>
    </row>
    <row r="81" ht="15.0" customHeight="1">
      <c r="A81" s="19"/>
      <c r="B81" s="17"/>
      <c r="C81" s="17"/>
      <c r="D81" s="15"/>
      <c r="E81" s="15"/>
      <c r="F81" s="18"/>
      <c r="G81" s="17"/>
      <c r="H81" s="17"/>
    </row>
    <row r="82" ht="15.0" customHeight="1">
      <c r="A82" s="19"/>
      <c r="B82" s="17"/>
      <c r="C82" s="17"/>
      <c r="D82" s="15"/>
      <c r="E82" s="15"/>
      <c r="F82" s="18"/>
      <c r="G82" s="17"/>
      <c r="H82" s="17"/>
    </row>
    <row r="83" ht="15.0" customHeight="1">
      <c r="A83" s="19"/>
      <c r="B83" s="17"/>
      <c r="C83" s="17"/>
      <c r="D83" s="15"/>
      <c r="E83" s="15"/>
      <c r="F83" s="18"/>
      <c r="G83" s="17"/>
      <c r="H83" s="17"/>
    </row>
    <row r="84" ht="15.0" customHeight="1">
      <c r="A84" s="19"/>
      <c r="B84" s="17"/>
      <c r="C84" s="17"/>
      <c r="D84" s="15"/>
      <c r="E84" s="15"/>
      <c r="F84" s="18"/>
      <c r="G84" s="17"/>
      <c r="H84" s="17"/>
    </row>
    <row r="85" ht="15.0" customHeight="1">
      <c r="A85" s="19"/>
      <c r="B85" s="17"/>
      <c r="C85" s="17"/>
      <c r="D85" s="15"/>
      <c r="E85" s="15"/>
      <c r="F85" s="18"/>
      <c r="G85" s="17"/>
      <c r="H85" s="17"/>
    </row>
    <row r="86" ht="15.0" customHeight="1">
      <c r="A86" s="19"/>
      <c r="B86" s="17"/>
      <c r="C86" s="17"/>
      <c r="D86" s="15"/>
      <c r="E86" s="15"/>
      <c r="F86" s="18"/>
      <c r="G86" s="17"/>
      <c r="H86" s="17"/>
    </row>
    <row r="87" ht="15.0" customHeight="1">
      <c r="A87" s="19"/>
      <c r="B87" s="17"/>
      <c r="C87" s="17"/>
      <c r="D87" s="15"/>
      <c r="E87" s="15"/>
      <c r="F87" s="18"/>
      <c r="G87" s="17"/>
      <c r="H87" s="17"/>
    </row>
    <row r="88" ht="15.0" customHeight="1">
      <c r="A88" s="19"/>
      <c r="B88" s="17"/>
      <c r="C88" s="17"/>
      <c r="D88" s="15"/>
      <c r="E88" s="15"/>
      <c r="F88" s="18"/>
      <c r="G88" s="17"/>
      <c r="H88" s="17"/>
    </row>
    <row r="89" ht="15.0" customHeight="1">
      <c r="A89" s="19"/>
      <c r="B89" s="17"/>
      <c r="C89" s="17"/>
      <c r="D89" s="15"/>
      <c r="E89" s="15"/>
      <c r="F89" s="18"/>
      <c r="G89" s="17"/>
      <c r="H89" s="17"/>
    </row>
    <row r="90" ht="15.0" customHeight="1">
      <c r="A90" s="19"/>
      <c r="B90" s="17"/>
      <c r="C90" s="17"/>
      <c r="D90" s="15"/>
      <c r="E90" s="15"/>
      <c r="F90" s="18"/>
      <c r="G90" s="17"/>
      <c r="H90" s="17"/>
    </row>
    <row r="91" ht="15.0" customHeight="1">
      <c r="A91" s="19"/>
      <c r="B91" s="17"/>
      <c r="C91" s="17"/>
      <c r="D91" s="15"/>
      <c r="E91" s="15"/>
      <c r="F91" s="18"/>
      <c r="G91" s="17"/>
      <c r="H91" s="17"/>
    </row>
    <row r="92" ht="14.25" customHeight="1"/>
    <row r="93" ht="15.0" customHeight="1">
      <c r="A93" s="35" t="s">
        <v>270</v>
      </c>
      <c r="B93" s="12"/>
      <c r="C93" s="13"/>
    </row>
    <row r="94" ht="15.0" customHeight="1">
      <c r="A94" s="38" t="s">
        <v>272</v>
      </c>
      <c r="C94" s="40">
        <f>SUMIFS($F$42:$F$91,$D$42:$D$91,"SUMIÇO")+SUMIFS($F$42:$F$91,$D$42:$D$91,"QUEBRA")</f>
        <v>0</v>
      </c>
    </row>
    <row r="95" ht="15.0" customHeight="1">
      <c r="A95" s="38" t="s">
        <v>275</v>
      </c>
      <c r="C95" s="40">
        <f>SUMIFS($F$42:$F$91,$G$42:$G$91,"EMPREITEIRO")+SUMIFS($F$42:$F$91,$G$42:$G$91,"EQUIPE DA OBRA")</f>
        <v>0</v>
      </c>
    </row>
    <row r="96" ht="15.0" customHeight="1">
      <c r="A96" s="41" t="s">
        <v>277</v>
      </c>
      <c r="C96" s="42">
        <f>SUMIFS($F$42:$F$91,$G$42:$G$91,"NINGUÉM (PREJUÍZO EICES)")</f>
        <v>0</v>
      </c>
    </row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7:$I$37"/>
  <mergeCells count="5">
    <mergeCell ref="B1:I2"/>
    <mergeCell ref="B3:I4"/>
    <mergeCell ref="A6:I6"/>
    <mergeCell ref="A40:H40"/>
    <mergeCell ref="A93:C93"/>
  </mergeCells>
  <conditionalFormatting sqref="A8:I37">
    <cfRule type="expression" dxfId="0" priority="1">
      <formula>$H8="ENCERRADO"</formula>
    </cfRule>
  </conditionalFormatting>
  <dataValidations>
    <dataValidation type="list" allowBlank="1" sqref="G42:G91">
      <formula1>Listas!$G$2:$G$4</formula1>
    </dataValidation>
    <dataValidation type="list" allowBlank="1" sqref="D42:D91">
      <formula1>Listas!$F$2:$F$6</formula1>
    </dataValidation>
  </dataValidations>
  <printOptions horizontalCentered="1"/>
  <pageMargins bottom="0.4" footer="0.0" header="0.0" left="0.3" right="0.3" top="0.4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2.0"/>
    <col customWidth="1" min="2" max="2" width="24.29"/>
    <col customWidth="1" min="3" max="3" width="29.43"/>
    <col customWidth="1" min="4" max="4" width="20.71"/>
    <col customWidth="1" min="5" max="5" width="7.86"/>
    <col customWidth="1" min="6" max="7" width="16.0"/>
    <col customWidth="1" min="8" max="8" width="13.0"/>
    <col customWidth="1" min="9" max="9" width="12.0"/>
    <col customWidth="1" min="10" max="10" width="14.57"/>
    <col customWidth="1" min="11" max="11" width="12.29"/>
    <col customWidth="1" min="12" max="12" width="65.71"/>
    <col customWidth="1" min="13" max="26" width="8.71"/>
  </cols>
  <sheetData>
    <row r="1" ht="14.25" customHeight="1">
      <c r="A1" s="1"/>
      <c r="B1" s="2" t="s">
        <v>319</v>
      </c>
      <c r="C1" s="3"/>
      <c r="D1" s="3"/>
      <c r="E1" s="3"/>
      <c r="F1" s="3"/>
      <c r="G1" s="3"/>
      <c r="H1" s="3"/>
      <c r="I1" s="3"/>
      <c r="J1" s="3"/>
      <c r="K1" s="3"/>
      <c r="L1" s="4"/>
    </row>
    <row r="2" ht="14.25" customHeight="1">
      <c r="A2" s="1"/>
      <c r="B2" s="5"/>
      <c r="C2" s="6"/>
      <c r="D2" s="6"/>
      <c r="E2" s="6"/>
      <c r="F2" s="6"/>
      <c r="G2" s="6"/>
      <c r="H2" s="6"/>
      <c r="I2" s="6"/>
      <c r="J2" s="6"/>
      <c r="K2" s="6"/>
      <c r="L2" s="7"/>
    </row>
    <row r="3" ht="14.25" customHeight="1">
      <c r="A3" s="1"/>
      <c r="B3" s="8" t="s">
        <v>321</v>
      </c>
      <c r="C3" s="3"/>
      <c r="D3" s="3"/>
      <c r="E3" s="3"/>
      <c r="F3" s="3"/>
      <c r="G3" s="3"/>
      <c r="H3" s="3"/>
      <c r="I3" s="3"/>
      <c r="J3" s="3"/>
      <c r="K3" s="3"/>
      <c r="L3" s="4"/>
    </row>
    <row r="4" ht="14.25" customHeight="1">
      <c r="A4" s="1"/>
      <c r="B4" s="5"/>
      <c r="C4" s="6"/>
      <c r="D4" s="6"/>
      <c r="E4" s="6"/>
      <c r="F4" s="6"/>
      <c r="G4" s="6"/>
      <c r="H4" s="6"/>
      <c r="I4" s="6"/>
      <c r="J4" s="6"/>
      <c r="K4" s="6"/>
      <c r="L4" s="7"/>
    </row>
    <row r="5" ht="14.25" customHeight="1"/>
    <row r="6" ht="14.25" customHeight="1">
      <c r="A6" s="10" t="s">
        <v>323</v>
      </c>
      <c r="B6" s="10" t="s">
        <v>7</v>
      </c>
      <c r="C6" s="10" t="s">
        <v>324</v>
      </c>
      <c r="D6" s="10" t="s">
        <v>195</v>
      </c>
      <c r="E6" s="10" t="s">
        <v>247</v>
      </c>
      <c r="F6" s="10" t="s">
        <v>200</v>
      </c>
      <c r="G6" s="10" t="s">
        <v>201</v>
      </c>
      <c r="H6" s="10" t="s">
        <v>328</v>
      </c>
      <c r="I6" s="10" t="s">
        <v>202</v>
      </c>
      <c r="J6" s="10" t="s">
        <v>203</v>
      </c>
      <c r="K6" s="10" t="s">
        <v>21</v>
      </c>
      <c r="L6" s="10" t="s">
        <v>22</v>
      </c>
    </row>
    <row r="7" ht="14.25" customHeight="1">
      <c r="A7" s="17" t="s">
        <v>330</v>
      </c>
      <c r="B7" s="17" t="s">
        <v>79</v>
      </c>
      <c r="C7" s="17" t="s">
        <v>325</v>
      </c>
      <c r="D7" s="17" t="s">
        <v>183</v>
      </c>
      <c r="E7" s="32">
        <v>0.0</v>
      </c>
      <c r="F7" s="18">
        <v>160.0</v>
      </c>
      <c r="G7" s="30">
        <f t="shared" ref="G7:G55" si="1">IF($E7="","",IF($J7&lt;&gt;"",0,$E7*$F7))</f>
        <v>0</v>
      </c>
      <c r="H7" s="15" t="s">
        <v>334</v>
      </c>
      <c r="I7" s="19">
        <v>46246.0</v>
      </c>
      <c r="J7" s="36">
        <v>46283.0</v>
      </c>
      <c r="K7" s="24" t="str">
        <f t="shared" ref="K7:K38" si="2">IF($A7="","",IF($J7&lt;&gt;"","ENCERRADO","ATIVO"))</f>
        <v>ENCERRADO</v>
      </c>
      <c r="L7" s="28" t="s">
        <v>212</v>
      </c>
    </row>
    <row r="8" ht="14.25" customHeight="1">
      <c r="A8" s="17" t="s">
        <v>330</v>
      </c>
      <c r="B8" s="17" t="s">
        <v>79</v>
      </c>
      <c r="C8" s="17" t="s">
        <v>325</v>
      </c>
      <c r="D8" s="17" t="s">
        <v>183</v>
      </c>
      <c r="E8" s="32">
        <v>0.0</v>
      </c>
      <c r="F8" s="18">
        <v>160.0</v>
      </c>
      <c r="G8" s="30">
        <f t="shared" si="1"/>
        <v>0</v>
      </c>
      <c r="H8" s="15" t="s">
        <v>336</v>
      </c>
      <c r="I8" s="19">
        <v>46171.0</v>
      </c>
      <c r="J8" s="36">
        <v>46283.0</v>
      </c>
      <c r="K8" s="24" t="str">
        <f t="shared" si="2"/>
        <v>ENCERRADO</v>
      </c>
      <c r="L8" s="17" t="s">
        <v>212</v>
      </c>
    </row>
    <row r="9" ht="14.25" customHeight="1">
      <c r="A9" s="17" t="s">
        <v>330</v>
      </c>
      <c r="B9" s="17" t="s">
        <v>82</v>
      </c>
      <c r="C9" s="17" t="s">
        <v>339</v>
      </c>
      <c r="D9" s="17" t="s">
        <v>183</v>
      </c>
      <c r="E9" s="32">
        <v>0.0</v>
      </c>
      <c r="F9" s="18">
        <v>160.0</v>
      </c>
      <c r="G9" s="30">
        <f t="shared" si="1"/>
        <v>0</v>
      </c>
      <c r="H9" s="15"/>
      <c r="I9" s="19">
        <v>46171.0</v>
      </c>
      <c r="J9" s="36">
        <v>46266.0</v>
      </c>
      <c r="K9" s="24" t="str">
        <f t="shared" si="2"/>
        <v>ENCERRADO</v>
      </c>
      <c r="L9" s="17" t="s">
        <v>212</v>
      </c>
    </row>
    <row r="10" ht="14.25" customHeight="1">
      <c r="A10" s="17" t="s">
        <v>330</v>
      </c>
      <c r="B10" s="17" t="s">
        <v>82</v>
      </c>
      <c r="C10" s="17" t="s">
        <v>339</v>
      </c>
      <c r="D10" s="17" t="s">
        <v>183</v>
      </c>
      <c r="E10" s="15">
        <v>1.0</v>
      </c>
      <c r="F10" s="18">
        <v>160.0</v>
      </c>
      <c r="G10" s="30">
        <f t="shared" si="1"/>
        <v>160</v>
      </c>
      <c r="H10" s="15" t="s">
        <v>342</v>
      </c>
      <c r="I10" s="19">
        <v>46171.0</v>
      </c>
      <c r="J10" s="19"/>
      <c r="K10" s="24" t="str">
        <f t="shared" si="2"/>
        <v>ATIVO</v>
      </c>
      <c r="L10" s="17" t="s">
        <v>212</v>
      </c>
    </row>
    <row r="11" ht="14.25" customHeight="1">
      <c r="A11" s="17" t="s">
        <v>330</v>
      </c>
      <c r="B11" s="17" t="s">
        <v>85</v>
      </c>
      <c r="C11" s="17" t="s">
        <v>343</v>
      </c>
      <c r="D11" s="17" t="s">
        <v>183</v>
      </c>
      <c r="E11" s="15">
        <v>1.0</v>
      </c>
      <c r="F11" s="18">
        <v>160.0</v>
      </c>
      <c r="G11" s="30">
        <f t="shared" si="1"/>
        <v>160</v>
      </c>
      <c r="H11" s="15" t="s">
        <v>345</v>
      </c>
      <c r="I11" s="19">
        <v>46171.0</v>
      </c>
      <c r="J11" s="19"/>
      <c r="K11" s="24" t="str">
        <f t="shared" si="2"/>
        <v>ATIVO</v>
      </c>
      <c r="L11" s="17" t="s">
        <v>212</v>
      </c>
    </row>
    <row r="12" ht="15.0" customHeight="1">
      <c r="A12" s="43" t="s">
        <v>346</v>
      </c>
      <c r="B12" s="43" t="s">
        <v>348</v>
      </c>
      <c r="C12" s="43" t="s">
        <v>349</v>
      </c>
      <c r="D12" s="43" t="s">
        <v>350</v>
      </c>
      <c r="E12" s="44">
        <v>1.0</v>
      </c>
      <c r="F12" s="45">
        <v>924.88</v>
      </c>
      <c r="G12" s="45">
        <f t="shared" si="1"/>
        <v>924.88</v>
      </c>
      <c r="H12" s="44"/>
      <c r="I12" s="46">
        <v>46246.0</v>
      </c>
      <c r="J12" s="46"/>
      <c r="K12" s="44" t="str">
        <f t="shared" si="2"/>
        <v>ATIVO</v>
      </c>
      <c r="L12" s="43"/>
    </row>
    <row r="13" ht="15.0" customHeight="1">
      <c r="A13" s="17" t="s">
        <v>330</v>
      </c>
      <c r="B13" s="17" t="s">
        <v>92</v>
      </c>
      <c r="C13" s="17" t="s">
        <v>352</v>
      </c>
      <c r="D13" s="17" t="s">
        <v>161</v>
      </c>
      <c r="E13" s="15">
        <v>1.0</v>
      </c>
      <c r="F13" s="18">
        <v>480.0</v>
      </c>
      <c r="G13" s="30">
        <f t="shared" si="1"/>
        <v>480</v>
      </c>
      <c r="H13" s="15"/>
      <c r="I13" s="19">
        <v>46111.0</v>
      </c>
      <c r="J13" s="19"/>
      <c r="K13" s="24" t="str">
        <f t="shared" si="2"/>
        <v>ATIVO</v>
      </c>
      <c r="L13" s="17" t="s">
        <v>212</v>
      </c>
    </row>
    <row r="14" ht="15.0" customHeight="1">
      <c r="A14" s="17" t="s">
        <v>354</v>
      </c>
      <c r="B14" s="17" t="s">
        <v>356</v>
      </c>
      <c r="C14" s="17" t="s">
        <v>357</v>
      </c>
      <c r="D14" s="17" t="s">
        <v>154</v>
      </c>
      <c r="E14" s="15">
        <v>1.0</v>
      </c>
      <c r="F14" s="18">
        <v>1600.0</v>
      </c>
      <c r="G14" s="30">
        <f t="shared" si="1"/>
        <v>1600</v>
      </c>
      <c r="H14" s="15"/>
      <c r="I14" s="19"/>
      <c r="J14" s="19"/>
      <c r="K14" s="24" t="str">
        <f t="shared" si="2"/>
        <v>ATIVO</v>
      </c>
      <c r="L14" s="17" t="s">
        <v>212</v>
      </c>
    </row>
    <row r="15" ht="15.0" customHeight="1">
      <c r="A15" s="17" t="s">
        <v>354</v>
      </c>
      <c r="B15" s="17" t="s">
        <v>358</v>
      </c>
      <c r="C15" s="17" t="s">
        <v>359</v>
      </c>
      <c r="D15" s="17" t="s">
        <v>154</v>
      </c>
      <c r="E15" s="15">
        <v>1.0</v>
      </c>
      <c r="F15" s="18">
        <v>900.0</v>
      </c>
      <c r="G15" s="30">
        <f t="shared" si="1"/>
        <v>900</v>
      </c>
      <c r="H15" s="15"/>
      <c r="I15" s="19"/>
      <c r="J15" s="19"/>
      <c r="K15" s="24" t="str">
        <f t="shared" si="2"/>
        <v>ATIVO</v>
      </c>
      <c r="L15" s="17" t="s">
        <v>212</v>
      </c>
    </row>
    <row r="16" ht="15.0" customHeight="1">
      <c r="A16" s="17" t="s">
        <v>346</v>
      </c>
      <c r="B16" s="17" t="s">
        <v>348</v>
      </c>
      <c r="C16" s="17" t="s">
        <v>349</v>
      </c>
      <c r="D16" s="17" t="s">
        <v>183</v>
      </c>
      <c r="E16" s="15">
        <v>1.0</v>
      </c>
      <c r="F16" s="18">
        <v>680.0</v>
      </c>
      <c r="G16" s="30">
        <f t="shared" si="1"/>
        <v>680</v>
      </c>
      <c r="H16" s="15"/>
      <c r="I16" s="19">
        <v>46143.0</v>
      </c>
      <c r="J16" s="19"/>
      <c r="K16" s="24" t="str">
        <f t="shared" si="2"/>
        <v>ATIVO</v>
      </c>
      <c r="L16" s="17" t="s">
        <v>212</v>
      </c>
    </row>
    <row r="17" ht="15.0" customHeight="1">
      <c r="A17" s="17" t="s">
        <v>346</v>
      </c>
      <c r="B17" s="17" t="s">
        <v>79</v>
      </c>
      <c r="C17" s="17" t="s">
        <v>325</v>
      </c>
      <c r="D17" s="17" t="s">
        <v>183</v>
      </c>
      <c r="E17" s="15">
        <v>1.0</v>
      </c>
      <c r="F17" s="18">
        <v>210.0</v>
      </c>
      <c r="G17" s="30">
        <f t="shared" si="1"/>
        <v>210</v>
      </c>
      <c r="H17" s="15" t="s">
        <v>362</v>
      </c>
      <c r="I17" s="19">
        <v>46246.0</v>
      </c>
      <c r="J17" s="19"/>
      <c r="K17" s="24" t="str">
        <f t="shared" si="2"/>
        <v>ATIVO</v>
      </c>
      <c r="L17" s="17" t="s">
        <v>363</v>
      </c>
    </row>
    <row r="18" ht="15.0" customHeight="1">
      <c r="A18" s="17" t="s">
        <v>354</v>
      </c>
      <c r="B18" s="17" t="s">
        <v>356</v>
      </c>
      <c r="C18" s="17" t="s">
        <v>357</v>
      </c>
      <c r="D18" s="33" t="s">
        <v>120</v>
      </c>
      <c r="E18" s="15">
        <v>1.0</v>
      </c>
      <c r="F18" s="18">
        <v>1600.0</v>
      </c>
      <c r="G18" s="30">
        <f t="shared" si="1"/>
        <v>1600</v>
      </c>
      <c r="H18" s="15"/>
      <c r="I18" s="36">
        <v>46282.0</v>
      </c>
      <c r="J18" s="19"/>
      <c r="K18" s="24" t="str">
        <f t="shared" si="2"/>
        <v>ATIVO</v>
      </c>
      <c r="L18" s="17" t="s">
        <v>212</v>
      </c>
    </row>
    <row r="19" ht="15.0" customHeight="1">
      <c r="A19" s="17" t="s">
        <v>330</v>
      </c>
      <c r="B19" s="17" t="s">
        <v>85</v>
      </c>
      <c r="C19" s="17" t="s">
        <v>343</v>
      </c>
      <c r="D19" s="17" t="s">
        <v>140</v>
      </c>
      <c r="E19" s="15">
        <v>0.0</v>
      </c>
      <c r="F19" s="18">
        <v>150.0</v>
      </c>
      <c r="G19" s="30">
        <f t="shared" si="1"/>
        <v>0</v>
      </c>
      <c r="H19" s="15"/>
      <c r="I19" s="19">
        <v>46163.0</v>
      </c>
      <c r="J19" s="19">
        <v>46235.0</v>
      </c>
      <c r="K19" s="24" t="str">
        <f t="shared" si="2"/>
        <v>ENCERRADO</v>
      </c>
      <c r="L19" s="17" t="s">
        <v>212</v>
      </c>
    </row>
    <row r="20" ht="15.0" customHeight="1">
      <c r="A20" s="17" t="s">
        <v>330</v>
      </c>
      <c r="B20" s="17" t="s">
        <v>79</v>
      </c>
      <c r="C20" s="17" t="s">
        <v>325</v>
      </c>
      <c r="D20" s="17" t="s">
        <v>161</v>
      </c>
      <c r="E20" s="15">
        <v>0.0</v>
      </c>
      <c r="F20" s="18">
        <v>450.0</v>
      </c>
      <c r="G20" s="30">
        <f t="shared" si="1"/>
        <v>0</v>
      </c>
      <c r="H20" s="15"/>
      <c r="I20" s="19">
        <v>46112.0</v>
      </c>
      <c r="J20" s="19">
        <v>46266.0</v>
      </c>
      <c r="K20" s="24" t="str">
        <f t="shared" si="2"/>
        <v>ENCERRADO</v>
      </c>
      <c r="L20" s="17" t="s">
        <v>212</v>
      </c>
    </row>
    <row r="21" ht="15.0" customHeight="1">
      <c r="A21" s="17" t="s">
        <v>354</v>
      </c>
      <c r="B21" s="17" t="s">
        <v>356</v>
      </c>
      <c r="C21" s="17" t="s">
        <v>357</v>
      </c>
      <c r="D21" s="33" t="s">
        <v>166</v>
      </c>
      <c r="E21" s="15">
        <v>1.0</v>
      </c>
      <c r="F21" s="18">
        <v>1600.0</v>
      </c>
      <c r="G21" s="30">
        <f t="shared" si="1"/>
        <v>1600</v>
      </c>
      <c r="H21" s="15"/>
      <c r="I21" s="19">
        <v>46253.0</v>
      </c>
      <c r="J21" s="19"/>
      <c r="K21" s="24" t="str">
        <f t="shared" si="2"/>
        <v>ATIVO</v>
      </c>
      <c r="L21" s="17" t="s">
        <v>212</v>
      </c>
    </row>
    <row r="22" ht="15.0" customHeight="1">
      <c r="A22" s="17" t="s">
        <v>330</v>
      </c>
      <c r="B22" s="17" t="s">
        <v>368</v>
      </c>
      <c r="C22" s="17" t="s">
        <v>369</v>
      </c>
      <c r="D22" s="17" t="s">
        <v>166</v>
      </c>
      <c r="E22" s="15">
        <v>1.0</v>
      </c>
      <c r="F22" s="18">
        <v>220.0</v>
      </c>
      <c r="G22" s="30">
        <f t="shared" si="1"/>
        <v>220</v>
      </c>
      <c r="H22" s="15"/>
      <c r="I22" s="19">
        <v>46223.0</v>
      </c>
      <c r="J22" s="19"/>
      <c r="K22" s="24" t="str">
        <f t="shared" si="2"/>
        <v>ATIVO</v>
      </c>
      <c r="L22" s="17" t="s">
        <v>212</v>
      </c>
    </row>
    <row r="23" ht="15.0" customHeight="1">
      <c r="A23" s="17" t="s">
        <v>354</v>
      </c>
      <c r="B23" s="17" t="s">
        <v>356</v>
      </c>
      <c r="C23" s="17" t="s">
        <v>357</v>
      </c>
      <c r="D23" s="17" t="s">
        <v>371</v>
      </c>
      <c r="E23" s="15">
        <v>1.0</v>
      </c>
      <c r="F23" s="18">
        <v>1600.0</v>
      </c>
      <c r="G23" s="30">
        <f t="shared" si="1"/>
        <v>1600</v>
      </c>
      <c r="H23" s="15"/>
      <c r="I23" s="19">
        <v>46245.0</v>
      </c>
      <c r="J23" s="19"/>
      <c r="K23" s="24" t="str">
        <f t="shared" si="2"/>
        <v>ATIVO</v>
      </c>
      <c r="L23" s="17" t="s">
        <v>212</v>
      </c>
    </row>
    <row r="24" ht="15.0" customHeight="1">
      <c r="A24" s="17" t="s">
        <v>330</v>
      </c>
      <c r="B24" s="17" t="s">
        <v>90</v>
      </c>
      <c r="C24" s="17" t="s">
        <v>372</v>
      </c>
      <c r="D24" s="17" t="s">
        <v>150</v>
      </c>
      <c r="E24" s="15">
        <v>1.0</v>
      </c>
      <c r="F24" s="18">
        <v>350.0</v>
      </c>
      <c r="G24" s="30">
        <f t="shared" si="1"/>
        <v>350</v>
      </c>
      <c r="H24" s="15" t="s">
        <v>373</v>
      </c>
      <c r="I24" s="19"/>
      <c r="J24" s="19"/>
      <c r="K24" s="24" t="str">
        <f t="shared" si="2"/>
        <v>ATIVO</v>
      </c>
      <c r="L24" s="17" t="s">
        <v>212</v>
      </c>
    </row>
    <row r="25" ht="15.0" customHeight="1">
      <c r="A25" s="17" t="s">
        <v>330</v>
      </c>
      <c r="B25" s="17" t="s">
        <v>92</v>
      </c>
      <c r="C25" s="17" t="s">
        <v>352</v>
      </c>
      <c r="D25" s="17" t="s">
        <v>218</v>
      </c>
      <c r="E25" s="15">
        <v>0.0</v>
      </c>
      <c r="F25" s="18">
        <v>400.0</v>
      </c>
      <c r="G25" s="30">
        <f t="shared" si="1"/>
        <v>0</v>
      </c>
      <c r="H25" s="15"/>
      <c r="I25" s="19">
        <v>46163.0</v>
      </c>
      <c r="J25" s="19">
        <v>46262.0</v>
      </c>
      <c r="K25" s="24" t="str">
        <f t="shared" si="2"/>
        <v>ENCERRADO</v>
      </c>
      <c r="L25" s="17" t="s">
        <v>212</v>
      </c>
    </row>
    <row r="26" ht="15.0" customHeight="1">
      <c r="A26" s="17" t="s">
        <v>346</v>
      </c>
      <c r="B26" s="17" t="s">
        <v>79</v>
      </c>
      <c r="C26" s="17" t="s">
        <v>325</v>
      </c>
      <c r="D26" s="17" t="s">
        <v>183</v>
      </c>
      <c r="E26" s="15">
        <v>1.0</v>
      </c>
      <c r="F26" s="18">
        <v>210.0</v>
      </c>
      <c r="G26" s="30">
        <f t="shared" si="1"/>
        <v>210</v>
      </c>
      <c r="H26" s="15" t="s">
        <v>376</v>
      </c>
      <c r="I26" s="19">
        <v>46246.0</v>
      </c>
      <c r="J26" s="19"/>
      <c r="K26" s="24" t="str">
        <f t="shared" si="2"/>
        <v>ATIVO</v>
      </c>
      <c r="L26" s="17" t="s">
        <v>363</v>
      </c>
    </row>
    <row r="27" ht="15.0" customHeight="1">
      <c r="A27" s="17" t="s">
        <v>346</v>
      </c>
      <c r="B27" s="17" t="s">
        <v>79</v>
      </c>
      <c r="C27" s="17" t="s">
        <v>325</v>
      </c>
      <c r="D27" s="17" t="s">
        <v>183</v>
      </c>
      <c r="E27" s="15">
        <v>1.0</v>
      </c>
      <c r="F27" s="18">
        <v>150.0</v>
      </c>
      <c r="G27" s="30">
        <f t="shared" si="1"/>
        <v>150</v>
      </c>
      <c r="H27" s="15" t="s">
        <v>377</v>
      </c>
      <c r="I27" s="19">
        <v>46246.0</v>
      </c>
      <c r="J27" s="19"/>
      <c r="K27" s="24" t="str">
        <f t="shared" si="2"/>
        <v>ATIVO</v>
      </c>
      <c r="L27" s="17" t="s">
        <v>363</v>
      </c>
    </row>
    <row r="28" ht="15.0" customHeight="1">
      <c r="A28" s="17" t="s">
        <v>330</v>
      </c>
      <c r="B28" s="17" t="s">
        <v>90</v>
      </c>
      <c r="C28" s="17" t="s">
        <v>372</v>
      </c>
      <c r="D28" s="17" t="s">
        <v>142</v>
      </c>
      <c r="E28" s="15">
        <v>0.0</v>
      </c>
      <c r="F28" s="18">
        <v>380.0</v>
      </c>
      <c r="G28" s="30">
        <f t="shared" si="1"/>
        <v>0</v>
      </c>
      <c r="H28" s="15"/>
      <c r="I28" s="19">
        <v>46235.0</v>
      </c>
      <c r="J28" s="19">
        <v>46239.0</v>
      </c>
      <c r="K28" s="24" t="str">
        <f t="shared" si="2"/>
        <v>ENCERRADO</v>
      </c>
      <c r="L28" s="17" t="s">
        <v>212</v>
      </c>
    </row>
    <row r="29" ht="15.0" customHeight="1">
      <c r="A29" s="17" t="s">
        <v>330</v>
      </c>
      <c r="B29" s="17" t="s">
        <v>92</v>
      </c>
      <c r="C29" s="17" t="s">
        <v>352</v>
      </c>
      <c r="D29" s="17" t="s">
        <v>142</v>
      </c>
      <c r="E29" s="15">
        <v>0.0</v>
      </c>
      <c r="F29" s="18">
        <v>480.0</v>
      </c>
      <c r="G29" s="30">
        <f t="shared" si="1"/>
        <v>0</v>
      </c>
      <c r="H29" s="15"/>
      <c r="I29" s="19">
        <v>46223.0</v>
      </c>
      <c r="J29" s="19">
        <v>46238.0</v>
      </c>
      <c r="K29" s="24" t="str">
        <f t="shared" si="2"/>
        <v>ENCERRADO</v>
      </c>
      <c r="L29" s="17" t="s">
        <v>212</v>
      </c>
    </row>
    <row r="30" ht="15.0" customHeight="1">
      <c r="A30" s="17" t="s">
        <v>346</v>
      </c>
      <c r="B30" s="17" t="s">
        <v>79</v>
      </c>
      <c r="C30" s="17" t="s">
        <v>325</v>
      </c>
      <c r="D30" s="17" t="s">
        <v>183</v>
      </c>
      <c r="E30" s="15">
        <v>1.0</v>
      </c>
      <c r="F30" s="18">
        <v>150.0</v>
      </c>
      <c r="G30" s="30">
        <f t="shared" si="1"/>
        <v>150</v>
      </c>
      <c r="H30" s="15" t="s">
        <v>383</v>
      </c>
      <c r="I30" s="19">
        <v>46246.0</v>
      </c>
      <c r="J30" s="19"/>
      <c r="K30" s="24" t="str">
        <f t="shared" si="2"/>
        <v>ATIVO</v>
      </c>
      <c r="L30" s="17" t="s">
        <v>363</v>
      </c>
    </row>
    <row r="31" ht="15.0" customHeight="1">
      <c r="A31" s="17" t="s">
        <v>346</v>
      </c>
      <c r="B31" s="17" t="s">
        <v>35</v>
      </c>
      <c r="C31" s="17" t="s">
        <v>38</v>
      </c>
      <c r="D31" s="17" t="s">
        <v>183</v>
      </c>
      <c r="E31" s="15">
        <v>1.0</v>
      </c>
      <c r="F31" s="18">
        <v>190.0</v>
      </c>
      <c r="G31" s="30">
        <f t="shared" si="1"/>
        <v>190</v>
      </c>
      <c r="H31" s="15" t="s">
        <v>385</v>
      </c>
      <c r="I31" s="19">
        <v>46246.0</v>
      </c>
      <c r="J31" s="19"/>
      <c r="K31" s="24" t="str">
        <f t="shared" si="2"/>
        <v>ATIVO</v>
      </c>
      <c r="L31" s="17" t="s">
        <v>386</v>
      </c>
    </row>
    <row r="32" ht="15.0" customHeight="1">
      <c r="A32" s="17" t="s">
        <v>346</v>
      </c>
      <c r="B32" s="17" t="s">
        <v>35</v>
      </c>
      <c r="C32" s="17" t="s">
        <v>38</v>
      </c>
      <c r="D32" s="17" t="s">
        <v>183</v>
      </c>
      <c r="E32" s="15">
        <v>1.0</v>
      </c>
      <c r="F32" s="18">
        <v>190.0</v>
      </c>
      <c r="G32" s="30">
        <f t="shared" si="1"/>
        <v>190</v>
      </c>
      <c r="H32" s="15" t="s">
        <v>387</v>
      </c>
      <c r="I32" s="19">
        <v>46246.0</v>
      </c>
      <c r="J32" s="19"/>
      <c r="K32" s="24" t="str">
        <f t="shared" si="2"/>
        <v>ATIVO</v>
      </c>
      <c r="L32" s="17" t="s">
        <v>386</v>
      </c>
    </row>
    <row r="33" ht="15.0" customHeight="1">
      <c r="A33" s="17" t="s">
        <v>330</v>
      </c>
      <c r="B33" s="17" t="s">
        <v>92</v>
      </c>
      <c r="C33" s="17" t="s">
        <v>352</v>
      </c>
      <c r="D33" s="17" t="s">
        <v>140</v>
      </c>
      <c r="E33" s="15">
        <v>1.0</v>
      </c>
      <c r="F33" s="18">
        <v>480.0</v>
      </c>
      <c r="G33" s="30">
        <f t="shared" si="1"/>
        <v>480</v>
      </c>
      <c r="H33" s="15"/>
      <c r="I33" s="19">
        <v>46231.0</v>
      </c>
      <c r="J33" s="19"/>
      <c r="K33" s="24" t="str">
        <f t="shared" si="2"/>
        <v>ATIVO</v>
      </c>
      <c r="L33" s="17" t="s">
        <v>212</v>
      </c>
    </row>
    <row r="34" ht="15.0" customHeight="1">
      <c r="A34" s="17" t="s">
        <v>330</v>
      </c>
      <c r="B34" s="17" t="s">
        <v>390</v>
      </c>
      <c r="C34" s="17" t="s">
        <v>391</v>
      </c>
      <c r="D34" s="17" t="s">
        <v>140</v>
      </c>
      <c r="E34" s="15">
        <v>1.0</v>
      </c>
      <c r="F34" s="18">
        <v>200.0</v>
      </c>
      <c r="G34" s="30">
        <f t="shared" si="1"/>
        <v>200</v>
      </c>
      <c r="H34" s="15"/>
      <c r="I34" s="19">
        <v>46163.0</v>
      </c>
      <c r="J34" s="19"/>
      <c r="K34" s="24" t="str">
        <f t="shared" si="2"/>
        <v>ATIVO</v>
      </c>
      <c r="L34" s="17" t="s">
        <v>212</v>
      </c>
    </row>
    <row r="35" ht="15.0" customHeight="1">
      <c r="A35" s="43" t="s">
        <v>346</v>
      </c>
      <c r="B35" s="43" t="s">
        <v>348</v>
      </c>
      <c r="C35" s="43" t="s">
        <v>349</v>
      </c>
      <c r="D35" s="43" t="s">
        <v>120</v>
      </c>
      <c r="E35" s="44">
        <v>1.0</v>
      </c>
      <c r="F35" s="47">
        <v>235.0</v>
      </c>
      <c r="G35" s="45">
        <f t="shared" si="1"/>
        <v>235</v>
      </c>
      <c r="H35" s="44"/>
      <c r="I35" s="46"/>
      <c r="J35" s="46"/>
      <c r="K35" s="44" t="str">
        <f t="shared" si="2"/>
        <v>ATIVO</v>
      </c>
      <c r="L35" s="43" t="s">
        <v>212</v>
      </c>
    </row>
    <row r="36" ht="15.0" customHeight="1">
      <c r="A36" s="17" t="s">
        <v>346</v>
      </c>
      <c r="B36" s="17" t="s">
        <v>348</v>
      </c>
      <c r="C36" s="17" t="s">
        <v>349</v>
      </c>
      <c r="D36" s="17" t="s">
        <v>161</v>
      </c>
      <c r="E36" s="15">
        <v>1.0</v>
      </c>
      <c r="F36" s="37">
        <v>370.0</v>
      </c>
      <c r="G36" s="30">
        <f t="shared" si="1"/>
        <v>370</v>
      </c>
      <c r="H36" s="15"/>
      <c r="I36" s="19">
        <v>46246.0</v>
      </c>
      <c r="J36" s="19"/>
      <c r="K36" s="24" t="str">
        <f t="shared" si="2"/>
        <v>ATIVO</v>
      </c>
      <c r="L36" s="48"/>
    </row>
    <row r="37" ht="15.0" customHeight="1">
      <c r="A37" s="17" t="s">
        <v>346</v>
      </c>
      <c r="B37" s="17" t="s">
        <v>79</v>
      </c>
      <c r="C37" s="17" t="s">
        <v>325</v>
      </c>
      <c r="D37" s="17" t="s">
        <v>161</v>
      </c>
      <c r="E37" s="32">
        <v>0.0</v>
      </c>
      <c r="F37" s="37">
        <v>240.0</v>
      </c>
      <c r="G37" s="30">
        <f t="shared" si="1"/>
        <v>0</v>
      </c>
      <c r="H37" s="15" t="s">
        <v>392</v>
      </c>
      <c r="I37" s="19">
        <v>46279.0</v>
      </c>
      <c r="J37" s="19"/>
      <c r="K37" s="24" t="str">
        <f t="shared" si="2"/>
        <v>ATIVO</v>
      </c>
      <c r="L37" s="17"/>
    </row>
    <row r="38" ht="15.0" customHeight="1">
      <c r="A38" s="17" t="s">
        <v>346</v>
      </c>
      <c r="B38" s="17" t="s">
        <v>348</v>
      </c>
      <c r="C38" s="17" t="s">
        <v>349</v>
      </c>
      <c r="D38" s="17" t="s">
        <v>238</v>
      </c>
      <c r="E38" s="32">
        <v>0.0</v>
      </c>
      <c r="F38" s="18">
        <v>450.0</v>
      </c>
      <c r="G38" s="30">
        <f t="shared" si="1"/>
        <v>0</v>
      </c>
      <c r="H38" s="15"/>
      <c r="I38" s="19">
        <v>46244.0</v>
      </c>
      <c r="J38" s="36">
        <v>46289.0</v>
      </c>
      <c r="K38" s="24" t="str">
        <f t="shared" si="2"/>
        <v>ENCERRADO</v>
      </c>
      <c r="L38" s="17"/>
    </row>
    <row r="39" ht="15.0" customHeight="1">
      <c r="A39" s="33" t="s">
        <v>346</v>
      </c>
      <c r="B39" s="33" t="s">
        <v>348</v>
      </c>
      <c r="C39" s="33" t="s">
        <v>349</v>
      </c>
      <c r="D39" s="33" t="s">
        <v>238</v>
      </c>
      <c r="E39" s="32">
        <v>0.0</v>
      </c>
      <c r="F39" s="37">
        <v>530.0</v>
      </c>
      <c r="G39" s="30">
        <f t="shared" si="1"/>
        <v>0</v>
      </c>
      <c r="H39" s="15"/>
      <c r="I39" s="36">
        <v>46274.0</v>
      </c>
      <c r="J39" s="36">
        <v>46281.0</v>
      </c>
      <c r="K39" s="49" t="s">
        <v>393</v>
      </c>
      <c r="L39" s="17"/>
    </row>
    <row r="40" ht="15.0" customHeight="1">
      <c r="A40" s="17" t="s">
        <v>346</v>
      </c>
      <c r="B40" s="17" t="s">
        <v>348</v>
      </c>
      <c r="C40" s="17" t="s">
        <v>349</v>
      </c>
      <c r="D40" s="17" t="s">
        <v>218</v>
      </c>
      <c r="E40" s="15">
        <v>1.0</v>
      </c>
      <c r="F40" s="18">
        <v>570.0</v>
      </c>
      <c r="G40" s="30">
        <f t="shared" si="1"/>
        <v>570</v>
      </c>
      <c r="H40" s="15"/>
      <c r="I40" s="19"/>
      <c r="J40" s="19"/>
      <c r="K40" s="24" t="str">
        <f t="shared" ref="K40:K74" si="3">IF($A40="","",IF($J40&lt;&gt;"","ENCERRADO","ATIVO"))</f>
        <v>ATIVO</v>
      </c>
      <c r="L40" s="17" t="s">
        <v>212</v>
      </c>
    </row>
    <row r="41" ht="15.0" customHeight="1">
      <c r="A41" s="17" t="s">
        <v>346</v>
      </c>
      <c r="B41" s="17" t="s">
        <v>111</v>
      </c>
      <c r="C41" s="17" t="s">
        <v>394</v>
      </c>
      <c r="D41" s="17" t="s">
        <v>226</v>
      </c>
      <c r="E41" s="15">
        <v>1.0</v>
      </c>
      <c r="F41" s="18">
        <v>400.0</v>
      </c>
      <c r="G41" s="30">
        <f t="shared" si="1"/>
        <v>400</v>
      </c>
      <c r="H41" s="15" t="s">
        <v>395</v>
      </c>
      <c r="I41" s="19">
        <v>46261.0</v>
      </c>
      <c r="J41" s="19"/>
      <c r="K41" s="24" t="str">
        <f t="shared" si="3"/>
        <v>ATIVO</v>
      </c>
      <c r="L41" s="17"/>
    </row>
    <row r="42" ht="15.0" customHeight="1">
      <c r="A42" s="17" t="s">
        <v>346</v>
      </c>
      <c r="B42" s="17" t="s">
        <v>79</v>
      </c>
      <c r="C42" s="17" t="s">
        <v>325</v>
      </c>
      <c r="D42" s="17" t="s">
        <v>226</v>
      </c>
      <c r="E42" s="15">
        <v>1.0</v>
      </c>
      <c r="F42" s="18">
        <v>150.0</v>
      </c>
      <c r="G42" s="30">
        <f t="shared" si="1"/>
        <v>150</v>
      </c>
      <c r="H42" s="15" t="s">
        <v>396</v>
      </c>
      <c r="I42" s="19">
        <v>46261.0</v>
      </c>
      <c r="J42" s="19"/>
      <c r="K42" s="24" t="str">
        <f t="shared" si="3"/>
        <v>ATIVO</v>
      </c>
      <c r="L42" s="17"/>
    </row>
    <row r="43" ht="15.0" customHeight="1">
      <c r="A43" s="17" t="s">
        <v>346</v>
      </c>
      <c r="B43" s="17" t="s">
        <v>397</v>
      </c>
      <c r="C43" s="17" t="s">
        <v>398</v>
      </c>
      <c r="D43" s="17" t="s">
        <v>371</v>
      </c>
      <c r="E43" s="15">
        <v>1.0</v>
      </c>
      <c r="F43" s="18">
        <v>380.0</v>
      </c>
      <c r="G43" s="30">
        <f t="shared" si="1"/>
        <v>380</v>
      </c>
      <c r="H43" s="15" t="s">
        <v>399</v>
      </c>
      <c r="I43" s="19"/>
      <c r="J43" s="19"/>
      <c r="K43" s="24" t="str">
        <f t="shared" si="3"/>
        <v>ATIVO</v>
      </c>
      <c r="L43" s="17" t="s">
        <v>212</v>
      </c>
    </row>
    <row r="44" ht="15.0" customHeight="1">
      <c r="A44" s="17" t="s">
        <v>346</v>
      </c>
      <c r="B44" s="17" t="s">
        <v>348</v>
      </c>
      <c r="C44" s="17" t="s">
        <v>349</v>
      </c>
      <c r="D44" s="17" t="s">
        <v>371</v>
      </c>
      <c r="E44" s="15">
        <v>1.0</v>
      </c>
      <c r="F44" s="18">
        <v>920.0</v>
      </c>
      <c r="G44" s="30">
        <f t="shared" si="1"/>
        <v>920</v>
      </c>
      <c r="H44" s="15"/>
      <c r="I44" s="19">
        <v>46246.0</v>
      </c>
      <c r="J44" s="19"/>
      <c r="K44" s="24" t="str">
        <f t="shared" si="3"/>
        <v>ATIVO</v>
      </c>
      <c r="L44" s="17"/>
    </row>
    <row r="45" ht="15.0" customHeight="1">
      <c r="A45" s="17" t="s">
        <v>346</v>
      </c>
      <c r="B45" s="17" t="s">
        <v>79</v>
      </c>
      <c r="C45" s="17" t="s">
        <v>325</v>
      </c>
      <c r="D45" s="17" t="s">
        <v>371</v>
      </c>
      <c r="E45" s="15">
        <v>1.0</v>
      </c>
      <c r="F45" s="18">
        <v>150.0</v>
      </c>
      <c r="G45" s="30">
        <f t="shared" si="1"/>
        <v>150</v>
      </c>
      <c r="H45" s="15" t="s">
        <v>400</v>
      </c>
      <c r="I45" s="19">
        <v>46246.0</v>
      </c>
      <c r="J45" s="19"/>
      <c r="K45" s="24" t="str">
        <f t="shared" si="3"/>
        <v>ATIVO</v>
      </c>
      <c r="L45" s="17" t="s">
        <v>363</v>
      </c>
    </row>
    <row r="46" ht="15.0" customHeight="1">
      <c r="A46" s="17" t="s">
        <v>346</v>
      </c>
      <c r="B46" s="17" t="s">
        <v>35</v>
      </c>
      <c r="C46" s="17" t="s">
        <v>38</v>
      </c>
      <c r="D46" s="17" t="s">
        <v>371</v>
      </c>
      <c r="E46" s="15">
        <v>1.0</v>
      </c>
      <c r="F46" s="18">
        <v>190.0</v>
      </c>
      <c r="G46" s="30">
        <f t="shared" si="1"/>
        <v>190</v>
      </c>
      <c r="H46" s="15" t="s">
        <v>401</v>
      </c>
      <c r="I46" s="19">
        <v>46246.0</v>
      </c>
      <c r="J46" s="19"/>
      <c r="K46" s="24" t="str">
        <f t="shared" si="3"/>
        <v>ATIVO</v>
      </c>
      <c r="L46" s="17" t="s">
        <v>386</v>
      </c>
    </row>
    <row r="47" ht="15.0" customHeight="1">
      <c r="A47" s="17" t="s">
        <v>346</v>
      </c>
      <c r="B47" s="17" t="s">
        <v>94</v>
      </c>
      <c r="C47" s="17" t="s">
        <v>402</v>
      </c>
      <c r="D47" s="17" t="s">
        <v>371</v>
      </c>
      <c r="E47" s="15">
        <v>0.0</v>
      </c>
      <c r="F47" s="18">
        <v>1700.0</v>
      </c>
      <c r="G47" s="30">
        <f t="shared" si="1"/>
        <v>0</v>
      </c>
      <c r="H47" s="15" t="s">
        <v>403</v>
      </c>
      <c r="I47" s="19">
        <v>46246.0</v>
      </c>
      <c r="J47" s="19">
        <v>46248.0</v>
      </c>
      <c r="K47" s="24" t="str">
        <f t="shared" si="3"/>
        <v>ENCERRADO</v>
      </c>
      <c r="L47" s="17" t="s">
        <v>404</v>
      </c>
    </row>
    <row r="48" ht="15.0" customHeight="1">
      <c r="A48" s="17" t="s">
        <v>346</v>
      </c>
      <c r="B48" s="17" t="s">
        <v>82</v>
      </c>
      <c r="C48" s="17" t="s">
        <v>339</v>
      </c>
      <c r="D48" s="17" t="s">
        <v>371</v>
      </c>
      <c r="E48" s="15">
        <v>1.0</v>
      </c>
      <c r="F48" s="18">
        <v>140.0</v>
      </c>
      <c r="G48" s="30">
        <f t="shared" si="1"/>
        <v>140</v>
      </c>
      <c r="H48" s="15" t="s">
        <v>405</v>
      </c>
      <c r="I48" s="19">
        <v>46246.0</v>
      </c>
      <c r="J48" s="19"/>
      <c r="K48" s="24" t="str">
        <f t="shared" si="3"/>
        <v>ATIVO</v>
      </c>
      <c r="L48" s="17" t="s">
        <v>406</v>
      </c>
    </row>
    <row r="49" ht="15.0" customHeight="1">
      <c r="A49" s="17" t="s">
        <v>346</v>
      </c>
      <c r="B49" s="17" t="s">
        <v>348</v>
      </c>
      <c r="C49" s="17" t="s">
        <v>349</v>
      </c>
      <c r="D49" s="17" t="s">
        <v>371</v>
      </c>
      <c r="E49" s="15">
        <v>1.0</v>
      </c>
      <c r="F49" s="18">
        <v>800.0</v>
      </c>
      <c r="G49" s="30">
        <f t="shared" si="1"/>
        <v>800</v>
      </c>
      <c r="H49" s="15"/>
      <c r="I49" s="19">
        <v>46259.0</v>
      </c>
      <c r="J49" s="19"/>
      <c r="K49" s="24" t="str">
        <f t="shared" si="3"/>
        <v>ATIVO</v>
      </c>
      <c r="L49" s="17"/>
    </row>
    <row r="50" ht="15.0" customHeight="1">
      <c r="A50" s="17" t="s">
        <v>346</v>
      </c>
      <c r="B50" s="17" t="s">
        <v>82</v>
      </c>
      <c r="C50" s="17" t="s">
        <v>339</v>
      </c>
      <c r="D50" s="17" t="s">
        <v>187</v>
      </c>
      <c r="E50" s="15">
        <v>1.0</v>
      </c>
      <c r="F50" s="18">
        <v>140.0</v>
      </c>
      <c r="G50" s="30">
        <f t="shared" si="1"/>
        <v>140</v>
      </c>
      <c r="H50" s="15" t="s">
        <v>407</v>
      </c>
      <c r="I50" s="19">
        <v>46269.0</v>
      </c>
      <c r="J50" s="19"/>
      <c r="K50" s="24" t="str">
        <f t="shared" si="3"/>
        <v>ATIVO</v>
      </c>
      <c r="L50" s="17"/>
    </row>
    <row r="51" ht="15.0" customHeight="1">
      <c r="A51" s="17" t="s">
        <v>346</v>
      </c>
      <c r="B51" s="17" t="s">
        <v>92</v>
      </c>
      <c r="C51" s="17" t="s">
        <v>352</v>
      </c>
      <c r="D51" s="33" t="s">
        <v>226</v>
      </c>
      <c r="E51" s="15">
        <v>1.0</v>
      </c>
      <c r="F51" s="18">
        <v>450.0</v>
      </c>
      <c r="G51" s="30">
        <f t="shared" si="1"/>
        <v>450</v>
      </c>
      <c r="H51" s="15" t="s">
        <v>408</v>
      </c>
      <c r="I51" s="19">
        <v>46261.0</v>
      </c>
      <c r="J51" s="19"/>
      <c r="K51" s="24" t="str">
        <f t="shared" si="3"/>
        <v>ATIVO</v>
      </c>
      <c r="L51" s="17"/>
    </row>
    <row r="52" ht="15.0" customHeight="1">
      <c r="A52" s="17" t="s">
        <v>330</v>
      </c>
      <c r="B52" s="17" t="s">
        <v>82</v>
      </c>
      <c r="C52" s="17" t="s">
        <v>339</v>
      </c>
      <c r="D52" s="17" t="s">
        <v>140</v>
      </c>
      <c r="E52" s="15">
        <v>1.0</v>
      </c>
      <c r="F52" s="18">
        <v>160.0</v>
      </c>
      <c r="G52" s="30">
        <f t="shared" si="1"/>
        <v>160</v>
      </c>
      <c r="H52" s="15"/>
      <c r="I52" s="19">
        <v>46235.0</v>
      </c>
      <c r="J52" s="19"/>
      <c r="K52" s="24" t="str">
        <f t="shared" si="3"/>
        <v>ATIVO</v>
      </c>
    </row>
    <row r="53" ht="15.0" customHeight="1">
      <c r="A53" s="17" t="s">
        <v>330</v>
      </c>
      <c r="B53" s="17" t="s">
        <v>79</v>
      </c>
      <c r="C53" s="17" t="s">
        <v>325</v>
      </c>
      <c r="D53" s="17" t="s">
        <v>140</v>
      </c>
      <c r="E53" s="15">
        <v>1.0</v>
      </c>
      <c r="F53" s="18">
        <v>160.0</v>
      </c>
      <c r="G53" s="30">
        <f t="shared" si="1"/>
        <v>160</v>
      </c>
      <c r="H53" s="15"/>
      <c r="I53" s="19">
        <v>46235.0</v>
      </c>
      <c r="J53" s="19"/>
      <c r="K53" s="24" t="str">
        <f t="shared" si="3"/>
        <v>ATIVO</v>
      </c>
      <c r="L53" s="17"/>
    </row>
    <row r="54" ht="15.0" customHeight="1">
      <c r="A54" s="17" t="s">
        <v>346</v>
      </c>
      <c r="B54" s="17" t="s">
        <v>92</v>
      </c>
      <c r="C54" s="17" t="s">
        <v>352</v>
      </c>
      <c r="D54" s="17" t="s">
        <v>187</v>
      </c>
      <c r="E54" s="15">
        <v>1.0</v>
      </c>
      <c r="F54" s="18">
        <v>450.0</v>
      </c>
      <c r="G54" s="30">
        <f t="shared" si="1"/>
        <v>450</v>
      </c>
      <c r="H54" s="32" t="s">
        <v>409</v>
      </c>
      <c r="I54" s="19">
        <v>46275.0</v>
      </c>
      <c r="J54" s="19"/>
      <c r="K54" s="24" t="str">
        <f t="shared" si="3"/>
        <v>ATIVO</v>
      </c>
      <c r="L54" s="17" t="s">
        <v>410</v>
      </c>
    </row>
    <row r="55" ht="15.0" customHeight="1">
      <c r="A55" s="17" t="s">
        <v>346</v>
      </c>
      <c r="B55" s="17" t="s">
        <v>92</v>
      </c>
      <c r="C55" s="17" t="s">
        <v>352</v>
      </c>
      <c r="D55" s="17" t="s">
        <v>187</v>
      </c>
      <c r="E55" s="15">
        <v>1.0</v>
      </c>
      <c r="F55" s="18">
        <v>450.0</v>
      </c>
      <c r="G55" s="30">
        <f t="shared" si="1"/>
        <v>450</v>
      </c>
      <c r="H55" s="15" t="s">
        <v>411</v>
      </c>
      <c r="I55" s="19">
        <v>46275.0</v>
      </c>
      <c r="J55" s="19"/>
      <c r="K55" s="24" t="str">
        <f t="shared" si="3"/>
        <v>ATIVO</v>
      </c>
      <c r="L55" s="17" t="s">
        <v>410</v>
      </c>
    </row>
    <row r="56" ht="15.0" customHeight="1">
      <c r="A56" s="17" t="s">
        <v>346</v>
      </c>
      <c r="B56" s="17" t="s">
        <v>90</v>
      </c>
      <c r="C56" s="17" t="s">
        <v>372</v>
      </c>
      <c r="D56" s="17" t="s">
        <v>187</v>
      </c>
      <c r="E56" s="15">
        <v>1.0</v>
      </c>
      <c r="F56" s="18">
        <v>400.0</v>
      </c>
      <c r="G56" s="30">
        <v>380.0</v>
      </c>
      <c r="H56" s="15" t="s">
        <v>413</v>
      </c>
      <c r="I56" s="19">
        <v>46269.0</v>
      </c>
      <c r="J56" s="19"/>
      <c r="K56" s="24" t="str">
        <f t="shared" si="3"/>
        <v>ATIVO</v>
      </c>
      <c r="L56" s="17"/>
    </row>
    <row r="57" ht="15.0" customHeight="1">
      <c r="A57" s="17" t="s">
        <v>354</v>
      </c>
      <c r="B57" s="17" t="s">
        <v>414</v>
      </c>
      <c r="C57" s="17" t="s">
        <v>415</v>
      </c>
      <c r="D57" s="17" t="s">
        <v>371</v>
      </c>
      <c r="E57" s="15">
        <v>1.0</v>
      </c>
      <c r="F57" s="18">
        <v>900.0</v>
      </c>
      <c r="G57" s="30">
        <f t="shared" ref="G57:G78" si="4">IF($E57="","",IF($J57&lt;&gt;"",0,$E57*$F57))</f>
        <v>900</v>
      </c>
      <c r="H57" s="15"/>
      <c r="I57" s="19">
        <v>46258.0</v>
      </c>
      <c r="J57" s="19"/>
      <c r="K57" s="24" t="str">
        <f t="shared" si="3"/>
        <v>ATIVO</v>
      </c>
      <c r="L57" s="17"/>
    </row>
    <row r="58" ht="14.25" customHeight="1">
      <c r="A58" s="17" t="s">
        <v>346</v>
      </c>
      <c r="B58" s="17" t="s">
        <v>111</v>
      </c>
      <c r="C58" s="17" t="s">
        <v>394</v>
      </c>
      <c r="D58" s="17" t="s">
        <v>187</v>
      </c>
      <c r="E58" s="15">
        <v>1.0</v>
      </c>
      <c r="F58" s="18">
        <v>400.0</v>
      </c>
      <c r="G58" s="30">
        <f t="shared" si="4"/>
        <v>400</v>
      </c>
      <c r="H58" s="15" t="s">
        <v>418</v>
      </c>
      <c r="I58" s="19">
        <v>46261.0</v>
      </c>
      <c r="J58" s="19"/>
      <c r="K58" s="24" t="str">
        <f t="shared" si="3"/>
        <v>ATIVO</v>
      </c>
      <c r="L58" s="17"/>
    </row>
    <row r="59" ht="14.25" customHeight="1">
      <c r="A59" s="17" t="s">
        <v>346</v>
      </c>
      <c r="B59" s="17" t="s">
        <v>111</v>
      </c>
      <c r="C59" s="17" t="s">
        <v>394</v>
      </c>
      <c r="D59" s="17" t="s">
        <v>187</v>
      </c>
      <c r="E59" s="15">
        <v>1.0</v>
      </c>
      <c r="F59" s="18">
        <v>400.0</v>
      </c>
      <c r="G59" s="30">
        <f t="shared" si="4"/>
        <v>400</v>
      </c>
      <c r="H59" s="15" t="s">
        <v>419</v>
      </c>
      <c r="I59" s="19">
        <v>46269.0</v>
      </c>
      <c r="J59" s="19"/>
      <c r="K59" s="24" t="str">
        <f t="shared" si="3"/>
        <v>ATIVO</v>
      </c>
      <c r="L59" s="17"/>
    </row>
    <row r="60" ht="14.25" customHeight="1">
      <c r="A60" s="17" t="s">
        <v>346</v>
      </c>
      <c r="B60" s="17" t="s">
        <v>111</v>
      </c>
      <c r="C60" s="17" t="s">
        <v>394</v>
      </c>
      <c r="D60" s="17" t="s">
        <v>187</v>
      </c>
      <c r="E60" s="15">
        <v>1.0</v>
      </c>
      <c r="F60" s="18">
        <v>400.0</v>
      </c>
      <c r="G60" s="30">
        <f t="shared" si="4"/>
        <v>400</v>
      </c>
      <c r="H60" s="15" t="s">
        <v>422</v>
      </c>
      <c r="I60" s="19">
        <v>46269.0</v>
      </c>
      <c r="J60" s="19"/>
      <c r="K60" s="24" t="str">
        <f t="shared" si="3"/>
        <v>ATIVO</v>
      </c>
      <c r="L60" s="17"/>
    </row>
    <row r="61" ht="14.25" customHeight="1">
      <c r="A61" s="17" t="s">
        <v>346</v>
      </c>
      <c r="B61" s="17" t="s">
        <v>79</v>
      </c>
      <c r="C61" s="17" t="s">
        <v>325</v>
      </c>
      <c r="D61" s="17" t="s">
        <v>187</v>
      </c>
      <c r="E61" s="15">
        <v>1.0</v>
      </c>
      <c r="F61" s="18">
        <v>150.0</v>
      </c>
      <c r="G61" s="30">
        <f t="shared" si="4"/>
        <v>150</v>
      </c>
      <c r="H61" s="32" t="s">
        <v>424</v>
      </c>
      <c r="I61" s="19">
        <v>46261.0</v>
      </c>
      <c r="J61" s="19"/>
      <c r="K61" s="24" t="str">
        <f t="shared" si="3"/>
        <v>ATIVO</v>
      </c>
      <c r="L61" s="17"/>
    </row>
    <row r="62" ht="14.25" customHeight="1">
      <c r="A62" s="17" t="s">
        <v>346</v>
      </c>
      <c r="B62" s="17" t="s">
        <v>85</v>
      </c>
      <c r="C62" s="17" t="s">
        <v>343</v>
      </c>
      <c r="D62" s="17" t="s">
        <v>187</v>
      </c>
      <c r="E62" s="15">
        <v>1.0</v>
      </c>
      <c r="F62" s="18">
        <v>170.0</v>
      </c>
      <c r="G62" s="30">
        <f t="shared" si="4"/>
        <v>170</v>
      </c>
      <c r="H62" s="15" t="s">
        <v>426</v>
      </c>
      <c r="I62" s="19">
        <v>46261.0</v>
      </c>
      <c r="J62" s="19"/>
      <c r="K62" s="24" t="str">
        <f t="shared" si="3"/>
        <v>ATIVO</v>
      </c>
      <c r="L62" s="17"/>
    </row>
    <row r="63" ht="14.25" customHeight="1">
      <c r="A63" s="17" t="s">
        <v>346</v>
      </c>
      <c r="B63" s="17" t="s">
        <v>79</v>
      </c>
      <c r="C63" s="17" t="s">
        <v>325</v>
      </c>
      <c r="D63" s="17" t="s">
        <v>150</v>
      </c>
      <c r="E63" s="15">
        <v>1.0</v>
      </c>
      <c r="F63" s="18">
        <v>150.0</v>
      </c>
      <c r="G63" s="30">
        <f t="shared" si="4"/>
        <v>150</v>
      </c>
      <c r="H63" s="15" t="s">
        <v>428</v>
      </c>
      <c r="I63" s="19">
        <v>46246.0</v>
      </c>
      <c r="J63" s="19"/>
      <c r="K63" s="24" t="str">
        <f t="shared" si="3"/>
        <v>ATIVO</v>
      </c>
      <c r="L63" s="17" t="s">
        <v>363</v>
      </c>
    </row>
    <row r="64" ht="14.25" customHeight="1">
      <c r="A64" s="17" t="s">
        <v>346</v>
      </c>
      <c r="B64" s="17" t="s">
        <v>85</v>
      </c>
      <c r="C64" s="17" t="s">
        <v>343</v>
      </c>
      <c r="D64" s="17" t="s">
        <v>150</v>
      </c>
      <c r="E64" s="15">
        <v>1.0</v>
      </c>
      <c r="F64" s="18">
        <v>170.0</v>
      </c>
      <c r="G64" s="30">
        <f t="shared" si="4"/>
        <v>170</v>
      </c>
      <c r="H64" s="15" t="s">
        <v>431</v>
      </c>
      <c r="I64" s="19">
        <v>46246.0</v>
      </c>
      <c r="J64" s="19"/>
      <c r="K64" s="24" t="str">
        <f t="shared" si="3"/>
        <v>ATIVO</v>
      </c>
      <c r="L64" s="17" t="s">
        <v>432</v>
      </c>
    </row>
    <row r="65" ht="14.25" customHeight="1">
      <c r="A65" s="17" t="s">
        <v>346</v>
      </c>
      <c r="B65" s="17" t="s">
        <v>348</v>
      </c>
      <c r="C65" s="17" t="s">
        <v>349</v>
      </c>
      <c r="D65" s="17" t="s">
        <v>150</v>
      </c>
      <c r="E65" s="15">
        <v>1.0</v>
      </c>
      <c r="F65" s="18">
        <v>430.0</v>
      </c>
      <c r="G65" s="30">
        <f t="shared" si="4"/>
        <v>430</v>
      </c>
      <c r="H65" s="15"/>
      <c r="I65" s="19">
        <v>46244.0</v>
      </c>
      <c r="J65" s="19"/>
      <c r="K65" s="24" t="str">
        <f t="shared" si="3"/>
        <v>ATIVO</v>
      </c>
      <c r="L65" s="17"/>
    </row>
    <row r="66" ht="14.25" customHeight="1">
      <c r="A66" s="17" t="s">
        <v>346</v>
      </c>
      <c r="B66" s="17" t="s">
        <v>348</v>
      </c>
      <c r="C66" s="17" t="s">
        <v>349</v>
      </c>
      <c r="D66" s="17" t="s">
        <v>154</v>
      </c>
      <c r="E66" s="15">
        <v>1.0</v>
      </c>
      <c r="F66" s="18">
        <v>490.0</v>
      </c>
      <c r="G66" s="30">
        <f t="shared" si="4"/>
        <v>490</v>
      </c>
      <c r="H66" s="15"/>
      <c r="I66" s="19">
        <v>46143.0</v>
      </c>
      <c r="J66" s="19"/>
      <c r="K66" s="24" t="str">
        <f t="shared" si="3"/>
        <v>ATIVO</v>
      </c>
      <c r="L66" s="17" t="s">
        <v>212</v>
      </c>
    </row>
    <row r="67" ht="14.25" customHeight="1">
      <c r="A67" s="17" t="s">
        <v>346</v>
      </c>
      <c r="B67" s="17" t="s">
        <v>348</v>
      </c>
      <c r="C67" s="17" t="s">
        <v>349</v>
      </c>
      <c r="D67" s="17" t="s">
        <v>140</v>
      </c>
      <c r="E67" s="15">
        <v>1.0</v>
      </c>
      <c r="F67" s="18">
        <v>630.0</v>
      </c>
      <c r="G67" s="30">
        <f t="shared" si="4"/>
        <v>630</v>
      </c>
      <c r="H67" s="15"/>
      <c r="I67" s="19"/>
      <c r="J67" s="19"/>
      <c r="K67" s="24" t="str">
        <f t="shared" si="3"/>
        <v>ATIVO</v>
      </c>
      <c r="L67" s="17" t="s">
        <v>212</v>
      </c>
    </row>
    <row r="68" ht="14.25" customHeight="1">
      <c r="A68" s="17" t="s">
        <v>346</v>
      </c>
      <c r="B68" s="17" t="s">
        <v>111</v>
      </c>
      <c r="C68" s="17" t="s">
        <v>394</v>
      </c>
      <c r="D68" s="17" t="s">
        <v>140</v>
      </c>
      <c r="E68" s="15">
        <v>1.0</v>
      </c>
      <c r="F68" s="18">
        <v>480.0</v>
      </c>
      <c r="G68" s="30">
        <f t="shared" si="4"/>
        <v>480</v>
      </c>
      <c r="H68" s="15" t="s">
        <v>434</v>
      </c>
      <c r="I68" s="19">
        <v>46246.0</v>
      </c>
      <c r="J68" s="19"/>
      <c r="K68" s="24" t="str">
        <f t="shared" si="3"/>
        <v>ATIVO</v>
      </c>
      <c r="L68" s="17"/>
    </row>
    <row r="69" ht="14.25" customHeight="1">
      <c r="A69" s="17" t="s">
        <v>346</v>
      </c>
      <c r="B69" s="17" t="s">
        <v>435</v>
      </c>
      <c r="C69" s="17" t="s">
        <v>436</v>
      </c>
      <c r="D69" s="17" t="s">
        <v>140</v>
      </c>
      <c r="E69" s="15">
        <v>1.0</v>
      </c>
      <c r="F69" s="18">
        <v>320.0</v>
      </c>
      <c r="G69" s="30">
        <f t="shared" si="4"/>
        <v>320</v>
      </c>
      <c r="H69" s="15" t="s">
        <v>426</v>
      </c>
      <c r="I69" s="19">
        <v>46268.0</v>
      </c>
      <c r="J69" s="19"/>
      <c r="K69" s="24" t="str">
        <f t="shared" si="3"/>
        <v>ATIVO</v>
      </c>
      <c r="L69" s="17" t="s">
        <v>437</v>
      </c>
    </row>
    <row r="70" ht="14.25" customHeight="1">
      <c r="A70" s="17" t="s">
        <v>346</v>
      </c>
      <c r="B70" s="17" t="s">
        <v>111</v>
      </c>
      <c r="C70" s="17" t="s">
        <v>394</v>
      </c>
      <c r="D70" s="17" t="s">
        <v>166</v>
      </c>
      <c r="E70" s="15">
        <v>1.0</v>
      </c>
      <c r="F70" s="18">
        <v>480.0</v>
      </c>
      <c r="G70" s="30">
        <f t="shared" si="4"/>
        <v>480</v>
      </c>
      <c r="H70" s="15" t="s">
        <v>438</v>
      </c>
      <c r="I70" s="19">
        <v>46255.0</v>
      </c>
      <c r="J70" s="19"/>
      <c r="K70" s="24" t="str">
        <f t="shared" si="3"/>
        <v>ATIVO</v>
      </c>
      <c r="L70" s="17"/>
    </row>
    <row r="71" ht="14.25" customHeight="1">
      <c r="A71" s="17" t="s">
        <v>346</v>
      </c>
      <c r="B71" s="17" t="s">
        <v>348</v>
      </c>
      <c r="C71" s="17" t="s">
        <v>349</v>
      </c>
      <c r="D71" s="17" t="s">
        <v>166</v>
      </c>
      <c r="E71" s="15">
        <v>1.0</v>
      </c>
      <c r="F71" s="18">
        <v>800.0</v>
      </c>
      <c r="G71" s="30">
        <f t="shared" si="4"/>
        <v>800</v>
      </c>
      <c r="H71" s="15"/>
      <c r="I71" s="19">
        <v>46267.0</v>
      </c>
      <c r="J71" s="19"/>
      <c r="K71" s="24" t="str">
        <f t="shared" si="3"/>
        <v>ATIVO</v>
      </c>
      <c r="L71" s="17"/>
    </row>
    <row r="72" ht="14.25" customHeight="1">
      <c r="A72" s="43" t="s">
        <v>346</v>
      </c>
      <c r="B72" s="43" t="s">
        <v>348</v>
      </c>
      <c r="C72" s="43" t="s">
        <v>349</v>
      </c>
      <c r="D72" s="43" t="s">
        <v>142</v>
      </c>
      <c r="E72" s="44">
        <v>1.0</v>
      </c>
      <c r="F72" s="45">
        <v>200.0</v>
      </c>
      <c r="G72" s="45">
        <f t="shared" si="4"/>
        <v>200</v>
      </c>
      <c r="H72" s="44"/>
      <c r="I72" s="46"/>
      <c r="J72" s="46"/>
      <c r="K72" s="44" t="str">
        <f t="shared" si="3"/>
        <v>ATIVO</v>
      </c>
      <c r="L72" s="43" t="s">
        <v>212</v>
      </c>
    </row>
    <row r="73" ht="14.25" customHeight="1">
      <c r="A73" s="17" t="s">
        <v>346</v>
      </c>
      <c r="B73" s="17" t="s">
        <v>111</v>
      </c>
      <c r="C73" s="17" t="s">
        <v>394</v>
      </c>
      <c r="D73" s="17" t="s">
        <v>142</v>
      </c>
      <c r="E73" s="15">
        <v>1.0</v>
      </c>
      <c r="F73" s="18">
        <v>480.0</v>
      </c>
      <c r="G73" s="30">
        <f t="shared" si="4"/>
        <v>480</v>
      </c>
      <c r="H73" s="15" t="s">
        <v>440</v>
      </c>
      <c r="I73" s="19"/>
      <c r="J73" s="19"/>
      <c r="K73" s="24" t="str">
        <f t="shared" si="3"/>
        <v>ATIVO</v>
      </c>
      <c r="L73" s="17" t="s">
        <v>212</v>
      </c>
    </row>
    <row r="74" ht="14.25" customHeight="1">
      <c r="A74" s="17" t="s">
        <v>346</v>
      </c>
      <c r="B74" s="17" t="s">
        <v>111</v>
      </c>
      <c r="C74" s="17" t="s">
        <v>394</v>
      </c>
      <c r="D74" s="17" t="s">
        <v>142</v>
      </c>
      <c r="E74" s="15">
        <v>0.0</v>
      </c>
      <c r="F74" s="18">
        <v>480.0</v>
      </c>
      <c r="G74" s="30">
        <f t="shared" si="4"/>
        <v>0</v>
      </c>
      <c r="H74" s="15"/>
      <c r="I74" s="19"/>
      <c r="J74" s="19">
        <v>46244.0</v>
      </c>
      <c r="K74" s="24" t="str">
        <f t="shared" si="3"/>
        <v>ENCERRADO</v>
      </c>
      <c r="L74" s="17" t="s">
        <v>212</v>
      </c>
    </row>
    <row r="75" ht="14.25" customHeight="1">
      <c r="A75" s="33" t="s">
        <v>346</v>
      </c>
      <c r="B75" s="33" t="s">
        <v>348</v>
      </c>
      <c r="C75" s="33" t="s">
        <v>349</v>
      </c>
      <c r="D75" s="33" t="s">
        <v>142</v>
      </c>
      <c r="E75" s="32">
        <v>1.0</v>
      </c>
      <c r="F75" s="37">
        <v>490.0</v>
      </c>
      <c r="G75" s="30">
        <f t="shared" si="4"/>
        <v>490</v>
      </c>
      <c r="H75" s="15"/>
      <c r="I75" s="36">
        <v>46280.0</v>
      </c>
      <c r="J75" s="19"/>
      <c r="K75" s="49" t="s">
        <v>441</v>
      </c>
      <c r="L75" s="17"/>
    </row>
    <row r="76" ht="14.25" customHeight="1">
      <c r="A76" s="33" t="s">
        <v>346</v>
      </c>
      <c r="B76" s="33" t="s">
        <v>348</v>
      </c>
      <c r="C76" s="33" t="s">
        <v>349</v>
      </c>
      <c r="D76" s="33" t="s">
        <v>150</v>
      </c>
      <c r="E76" s="32">
        <v>1.0</v>
      </c>
      <c r="F76" s="37">
        <v>490.0</v>
      </c>
      <c r="G76" s="30">
        <f t="shared" si="4"/>
        <v>490</v>
      </c>
      <c r="H76" s="15"/>
      <c r="I76" s="36">
        <v>46286.0</v>
      </c>
      <c r="J76" s="19"/>
      <c r="K76" s="49" t="s">
        <v>441</v>
      </c>
      <c r="L76" s="17"/>
    </row>
    <row r="77" ht="14.25" customHeight="1">
      <c r="A77" s="33" t="s">
        <v>346</v>
      </c>
      <c r="B77" s="33" t="s">
        <v>79</v>
      </c>
      <c r="C77" s="33" t="s">
        <v>325</v>
      </c>
      <c r="D77" s="33" t="s">
        <v>183</v>
      </c>
      <c r="E77" s="32">
        <v>1.0</v>
      </c>
      <c r="F77" s="37">
        <v>150.0</v>
      </c>
      <c r="G77" s="30">
        <f t="shared" si="4"/>
        <v>150</v>
      </c>
      <c r="H77" s="15"/>
      <c r="I77" s="36">
        <v>46286.0</v>
      </c>
      <c r="J77" s="19"/>
      <c r="K77" s="49" t="s">
        <v>441</v>
      </c>
      <c r="L77" s="17"/>
    </row>
    <row r="78" ht="14.25" customHeight="1">
      <c r="A78" s="33" t="s">
        <v>346</v>
      </c>
      <c r="B78" s="33" t="s">
        <v>79</v>
      </c>
      <c r="C78" s="33" t="s">
        <v>325</v>
      </c>
      <c r="D78" s="33" t="s">
        <v>183</v>
      </c>
      <c r="E78" s="32">
        <v>1.0</v>
      </c>
      <c r="F78" s="37">
        <v>150.0</v>
      </c>
      <c r="G78" s="30">
        <f t="shared" si="4"/>
        <v>150</v>
      </c>
      <c r="H78" s="15"/>
      <c r="I78" s="36">
        <v>46286.0</v>
      </c>
      <c r="J78" s="19"/>
      <c r="K78" s="49" t="s">
        <v>441</v>
      </c>
      <c r="L78" s="17"/>
    </row>
    <row r="79" ht="14.25" customHeight="1">
      <c r="A79" s="17"/>
      <c r="B79" s="17"/>
      <c r="C79" s="17"/>
      <c r="D79" s="17"/>
      <c r="E79" s="15"/>
      <c r="F79" s="18"/>
      <c r="G79" s="30"/>
      <c r="H79" s="15"/>
      <c r="I79" s="19"/>
      <c r="J79" s="19"/>
      <c r="K79" s="24"/>
      <c r="L79" s="17"/>
    </row>
    <row r="80" ht="14.25" customHeight="1">
      <c r="A80" s="17"/>
      <c r="B80" s="17"/>
      <c r="C80" s="17"/>
      <c r="D80" s="17"/>
      <c r="E80" s="15"/>
      <c r="F80" s="18"/>
      <c r="G80" s="30"/>
      <c r="H80" s="15"/>
      <c r="I80" s="19"/>
      <c r="J80" s="19"/>
      <c r="K80" s="24"/>
      <c r="L80" s="17"/>
    </row>
    <row r="81" ht="14.25" customHeight="1">
      <c r="A81" s="17"/>
      <c r="B81" s="17"/>
      <c r="C81" s="17"/>
      <c r="D81" s="17"/>
      <c r="E81" s="15"/>
      <c r="F81" s="18"/>
      <c r="G81" s="30"/>
      <c r="H81" s="15"/>
      <c r="I81" s="19"/>
      <c r="J81" s="19"/>
      <c r="K81" s="24"/>
      <c r="L81" s="17"/>
    </row>
    <row r="82" ht="14.25" customHeight="1">
      <c r="A82" s="17"/>
      <c r="B82" s="17"/>
      <c r="C82" s="17"/>
      <c r="D82" s="17"/>
      <c r="E82" s="15"/>
      <c r="F82" s="18"/>
      <c r="G82" s="30" t="str">
        <f>IF($E82="","",IF($J82&lt;&gt;"",0,$E82*$F82))</f>
        <v/>
      </c>
      <c r="H82" s="15"/>
      <c r="I82" s="19"/>
      <c r="J82" s="19"/>
      <c r="K82" s="24" t="str">
        <f>IF($A82="","",IF($J82&lt;&gt;"","ENCERRADO","ATIVO"))</f>
        <v/>
      </c>
      <c r="L82" s="17"/>
    </row>
    <row r="83" ht="15.0" customHeight="1">
      <c r="A83" s="50"/>
      <c r="B83" s="50"/>
      <c r="C83" s="50"/>
      <c r="D83" s="50"/>
      <c r="E83" s="51"/>
      <c r="F83" s="52"/>
      <c r="G83" s="53"/>
      <c r="H83" s="51"/>
      <c r="I83" s="54"/>
      <c r="J83" s="54"/>
      <c r="K83" s="55"/>
      <c r="L83" s="50"/>
    </row>
    <row r="84" ht="14.25" customHeight="1"/>
    <row r="85" ht="15.0" customHeight="1">
      <c r="A85" s="35" t="s">
        <v>445</v>
      </c>
      <c r="B85" s="12"/>
      <c r="C85" s="13"/>
    </row>
    <row r="86" ht="15.0" customHeight="1">
      <c r="A86" s="38" t="s">
        <v>446</v>
      </c>
      <c r="C86" s="39">
        <f>SUM($G$7:$G$82)</f>
        <v>26879.88</v>
      </c>
    </row>
    <row r="87" ht="14.25" customHeight="1"/>
    <row r="88" ht="15.0" customHeight="1">
      <c r="A88" s="56" t="s">
        <v>447</v>
      </c>
    </row>
    <row r="89" ht="15.0" customHeight="1">
      <c r="A89" s="21" t="s">
        <v>348</v>
      </c>
      <c r="C89" s="40">
        <f>SUMIF($B$7:$B$82,"ANDAIME",$G$7:$G$82)</f>
        <v>8029.88</v>
      </c>
    </row>
    <row r="90" ht="15.0" customHeight="1">
      <c r="A90" s="21" t="s">
        <v>92</v>
      </c>
      <c r="C90" s="40">
        <f>SUMIF($B$7:$B$82,"MARTELETE 10KG",$G$7:$G$82)</f>
        <v>2310</v>
      </c>
    </row>
    <row r="91" ht="15.0" customHeight="1">
      <c r="A91" s="21" t="s">
        <v>90</v>
      </c>
      <c r="C91" s="40">
        <f>SUMIF($B$7:$B$82,"MARTELETE 5KG",$G$7:$G$82)</f>
        <v>730</v>
      </c>
    </row>
    <row r="92" ht="15.0" customHeight="1">
      <c r="A92" s="21" t="s">
        <v>35</v>
      </c>
      <c r="C92" s="40">
        <f>SUMIF($B$7:$B$82,"PARAFUSADEIRA",$G$7:$G$82)</f>
        <v>570</v>
      </c>
    </row>
    <row r="93" ht="15.0" customHeight="1">
      <c r="A93" s="21" t="s">
        <v>99</v>
      </c>
      <c r="C93" s="40">
        <f>SUMIF($B$7:$B$82,"PERFURATRIZ",$G$7:$G$82)</f>
        <v>0</v>
      </c>
    </row>
    <row r="94" ht="15.0" customHeight="1">
      <c r="A94" s="21" t="s">
        <v>77</v>
      </c>
      <c r="C94" s="40">
        <f>SUMIF($B$7:$B$82,"FURADEIRA",$G$7:$G$82)</f>
        <v>0</v>
      </c>
    </row>
    <row r="95" ht="15.0" customHeight="1">
      <c r="A95" s="21" t="s">
        <v>356</v>
      </c>
      <c r="C95" s="40">
        <f>SUMIF($B$7:$B$82,"MÁQUINA DE RANHURA",$G$7:$G$82)</f>
        <v>6400</v>
      </c>
    </row>
    <row r="96" ht="15.0" customHeight="1">
      <c r="A96" s="21" t="s">
        <v>85</v>
      </c>
      <c r="C96" s="40">
        <f>SUMIF($B$7:$B$82,"SERRA MÁRMORE",$G$7:$G$82)</f>
        <v>500</v>
      </c>
    </row>
    <row r="97" ht="15.0" customHeight="1">
      <c r="A97" s="21" t="s">
        <v>448</v>
      </c>
      <c r="C97" s="40">
        <f>SUM($G$7:$G$82)-(SUMIF($B$7:$B$82,"ANDAIME",$G$7:$G$82)+SUMIF($B$7:$B$82,"MARTELETE 10KG",$G$7:$G$82)+SUMIF($B$7:$B$82,"MARTELETE 5KG",$G$7:$G$82)+SUMIF($B$7:$B$82,"PARAFUSADEIRA",$G$7:$G$82)+SUMIF($B$7:$B$82,"PERFURATRIZ",$G$7:$G$82)+SUMIF($B$7:$B$82,"FURADEIRA",$G$7:$G$82)+SUMIF($B$7:$B$82,"MÁQUINA DE RANHURA",$G$7:$G$82)+SUMIF($B$7:$B$82,"SERRA MÁRMORE",$G$7:$G$82))</f>
        <v>8340</v>
      </c>
    </row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6:$L$82">
    <sortState ref="A6:L82">
      <sortCondition ref="D6:D82"/>
      <sortCondition ref="C6:C82"/>
    </sortState>
  </autoFilter>
  <mergeCells count="3">
    <mergeCell ref="B1:L2"/>
    <mergeCell ref="B3:L4"/>
    <mergeCell ref="A85:C85"/>
  </mergeCells>
  <conditionalFormatting sqref="A7:B83 C7:C35 D7:K83 L7:L50 C38 C40:C83 L53:L83">
    <cfRule type="expression" dxfId="0" priority="1">
      <formula>$K7="ENCERRADO"</formula>
    </cfRule>
  </conditionalFormatting>
  <conditionalFormatting sqref="L51">
    <cfRule type="cellIs" dxfId="1" priority="2" operator="equal">
      <formula>"QUEBRADA"</formula>
    </cfRule>
  </conditionalFormatting>
  <conditionalFormatting sqref="L51">
    <cfRule type="containsText" dxfId="2" priority="3" operator="containsText" text="QUEBRADA">
      <formula>NOT(ISERROR(SEARCH(("QUEBRADA"),(L51))))</formula>
    </cfRule>
  </conditionalFormatting>
  <conditionalFormatting sqref="L51">
    <cfRule type="expression" dxfId="0" priority="4">
      <formula>$K52="ENCERRADO"</formula>
    </cfRule>
  </conditionalFormatting>
  <dataValidations>
    <dataValidation type="list" allowBlank="1" sqref="B7:B83">
      <formula1>Listas!$A$2:$A$27</formula1>
    </dataValidation>
  </dataValidations>
  <printOptions horizontalCentered="1"/>
  <pageMargins bottom="0.4" footer="0.0" header="0.0" left="0.3" right="0.3" top="0.4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1.0"/>
    <col customWidth="1" min="2" max="2" width="40.0"/>
    <col customWidth="1" min="3" max="3" width="18.0"/>
    <col customWidth="1" min="4" max="4" width="6.0"/>
    <col customWidth="1" min="5" max="5" width="40.0"/>
    <col customWidth="1" min="6" max="6" width="18.0"/>
    <col customWidth="1" min="7" max="26" width="8.71"/>
  </cols>
  <sheetData>
    <row r="1" ht="18.75" customHeight="1">
      <c r="A1" s="1"/>
      <c r="B1" s="2" t="s">
        <v>488</v>
      </c>
      <c r="C1" s="3"/>
      <c r="D1" s="3"/>
      <c r="E1" s="3"/>
      <c r="F1" s="4"/>
    </row>
    <row r="2" ht="18.75" customHeight="1">
      <c r="A2" s="1"/>
      <c r="B2" s="5"/>
      <c r="C2" s="6"/>
      <c r="D2" s="6"/>
      <c r="E2" s="6"/>
      <c r="F2" s="7"/>
    </row>
    <row r="3" ht="18.75" customHeight="1">
      <c r="A3" s="1"/>
      <c r="B3" s="8" t="s">
        <v>490</v>
      </c>
      <c r="C3" s="3"/>
      <c r="D3" s="3"/>
      <c r="E3" s="3"/>
      <c r="F3" s="4"/>
    </row>
    <row r="4" ht="18.75" customHeight="1">
      <c r="A4" s="1"/>
      <c r="B4" s="5"/>
      <c r="C4" s="6"/>
      <c r="D4" s="6"/>
      <c r="E4" s="6"/>
      <c r="F4" s="7"/>
    </row>
    <row r="5" ht="14.25" customHeight="1"/>
    <row r="6" ht="15.0" customHeight="1">
      <c r="B6" s="58" t="s">
        <v>491</v>
      </c>
      <c r="C6" s="13"/>
      <c r="E6" s="58" t="s">
        <v>492</v>
      </c>
      <c r="F6" s="13"/>
    </row>
    <row r="7" ht="15.0" customHeight="1">
      <c r="B7" s="17" t="s">
        <v>493</v>
      </c>
      <c r="C7" s="59">
        <f>SUMIF('Patrimônio'!$H$7:$H$1003,"N",'Patrimônio'!$G$7:$G$1003)</f>
        <v>115293.92</v>
      </c>
      <c r="E7" s="17" t="s">
        <v>495</v>
      </c>
      <c r="F7" s="59">
        <f>SUM(Locado!$G$7:$G$82)</f>
        <v>26879.88</v>
      </c>
    </row>
    <row r="8" ht="15.0" customHeight="1">
      <c r="B8" s="17" t="s">
        <v>496</v>
      </c>
      <c r="C8" s="59">
        <f>SUMIF('Patrimônio'!$H$7:$H$1003,"S",'Patrimônio'!$G$7:$G$1003)</f>
        <v>74961.73</v>
      </c>
      <c r="E8" s="17" t="s">
        <v>497</v>
      </c>
      <c r="F8" s="59">
        <f>SUM('Rádio'!$E$8:$E$37)</f>
        <v>3853.04</v>
      </c>
    </row>
    <row r="9" ht="15.0" customHeight="1">
      <c r="B9" s="17" t="s">
        <v>498</v>
      </c>
      <c r="C9" s="59">
        <f>SUM('Patrimônio'!$G$7:$G$1003)</f>
        <v>190255.65</v>
      </c>
      <c r="E9" s="17" t="s">
        <v>501</v>
      </c>
      <c r="F9" s="59">
        <f>SUM(Locado!$G$7:$G$82)+SUM('Rádio'!$E$8:$E$37)</f>
        <v>30732.92</v>
      </c>
    </row>
    <row r="10" ht="15.0" customHeight="1">
      <c r="B10" s="17" t="s">
        <v>502</v>
      </c>
      <c r="C10" s="60">
        <f>COUNTA('Patrimônio'!$A$7:$A$1003)</f>
        <v>161</v>
      </c>
    </row>
    <row r="11" ht="15.0" customHeight="1">
      <c r="E11" s="58" t="s">
        <v>427</v>
      </c>
      <c r="F11" s="13"/>
    </row>
    <row r="12" ht="15.0" customHeight="1">
      <c r="B12" s="58" t="s">
        <v>503</v>
      </c>
      <c r="C12" s="13"/>
      <c r="E12" s="17" t="s">
        <v>504</v>
      </c>
      <c r="F12" s="60">
        <f>COUNTIF('Manutenção'!$H$7:$H$1006,"EM CONSERTO")</f>
        <v>2</v>
      </c>
    </row>
    <row r="13" ht="15.0" customHeight="1">
      <c r="B13" s="17" t="s">
        <v>505</v>
      </c>
      <c r="C13" s="60">
        <f>COUNTIF('Patrimônio'!$L$7:$L$1003,"EM OBRA")</f>
        <v>90</v>
      </c>
      <c r="E13" s="17" t="s">
        <v>507</v>
      </c>
      <c r="F13" s="59">
        <f>SUM('Manutenção'!$F$7:$F$1006)</f>
        <v>0</v>
      </c>
    </row>
    <row r="14" ht="15.0" customHeight="1">
      <c r="B14" s="17" t="s">
        <v>508</v>
      </c>
      <c r="C14" s="60">
        <f>COUNTIF('Patrimônio'!$L$7:$L$1003,"MANUTENÇÃO")</f>
        <v>2</v>
      </c>
    </row>
    <row r="15" ht="15.0" customHeight="1">
      <c r="B15" s="17" t="s">
        <v>509</v>
      </c>
      <c r="C15" s="60">
        <f>COUNTIF('Patrimônio'!$L$7:$L$1003,"PENDENTE-PROCURAR")</f>
        <v>30</v>
      </c>
      <c r="E15" s="58" t="s">
        <v>510</v>
      </c>
      <c r="F15" s="13"/>
    </row>
    <row r="16" ht="15.0" customHeight="1">
      <c r="B16" s="17" t="s">
        <v>511</v>
      </c>
      <c r="C16" s="60">
        <f>COUNTIF('Patrimônio'!$L$7:$L$1003,"FURTADO")</f>
        <v>4</v>
      </c>
      <c r="E16" s="17" t="s">
        <v>512</v>
      </c>
      <c r="F16" s="60">
        <f>COUNTIF('Patrimônio'!$L$7:$L$1003,"PENDENTE-PROCURAR")</f>
        <v>30</v>
      </c>
    </row>
    <row r="17" ht="15.0" customHeight="1">
      <c r="B17" s="17" t="s">
        <v>513</v>
      </c>
      <c r="C17" s="60">
        <f>COUNTIF('Patrimônio'!$L$7:$L$1003,"BAIXADO")</f>
        <v>35</v>
      </c>
      <c r="E17" s="17" t="s">
        <v>514</v>
      </c>
      <c r="F17" s="60">
        <f>COUNTIF('Patrimônio'!$L$7:$L$1003,"FURTADO")</f>
        <v>4</v>
      </c>
    </row>
    <row r="18" ht="15.0" customHeight="1">
      <c r="E18" s="17" t="s">
        <v>517</v>
      </c>
      <c r="F18" s="59">
        <f>SUMIFS('Rádio'!$F$42:$F$91,'Rádio'!$G$42:$G$91,"NINGUÉM (PREJUÍZO EICES)")</f>
        <v>0</v>
      </c>
    </row>
    <row r="19" ht="14.25" customHeight="1"/>
    <row r="20" ht="15.0" customHeight="1">
      <c r="B20" s="61" t="s">
        <v>518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B1:F2"/>
    <mergeCell ref="B3:F4"/>
    <mergeCell ref="B6:C6"/>
    <mergeCell ref="E6:F6"/>
    <mergeCell ref="E11:F11"/>
    <mergeCell ref="B12:C12"/>
    <mergeCell ref="E15:F15"/>
    <mergeCell ref="B20:F20"/>
  </mergeCells>
  <printOptions horizontalCentered="1"/>
  <pageMargins bottom="0.4" footer="0.0" header="0.0" left="0.3" right="0.3" top="0.4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71"/>
    <col customWidth="1" min="9" max="9" width="28.0"/>
    <col customWidth="1" min="10" max="10" width="22.0"/>
    <col customWidth="1" min="11" max="26" width="8.71"/>
  </cols>
  <sheetData>
    <row r="1" ht="15.0" customHeight="1">
      <c r="A1" s="31" t="s">
        <v>534</v>
      </c>
      <c r="B1" s="31" t="s">
        <v>535</v>
      </c>
      <c r="D1" s="31" t="s">
        <v>537</v>
      </c>
      <c r="E1" s="31" t="s">
        <v>538</v>
      </c>
      <c r="F1" s="31" t="s">
        <v>539</v>
      </c>
      <c r="G1" s="31" t="s">
        <v>540</v>
      </c>
      <c r="H1" s="31" t="s">
        <v>541</v>
      </c>
      <c r="I1" s="31" t="s">
        <v>542</v>
      </c>
      <c r="J1" s="31" t="s">
        <v>543</v>
      </c>
    </row>
    <row r="2" ht="15.0" customHeight="1">
      <c r="A2" s="31" t="s">
        <v>35</v>
      </c>
      <c r="B2" s="31" t="s">
        <v>73</v>
      </c>
      <c r="D2" s="31" t="s">
        <v>337</v>
      </c>
      <c r="E2" s="31" t="s">
        <v>180</v>
      </c>
      <c r="F2" s="31" t="s">
        <v>544</v>
      </c>
      <c r="G2" s="31" t="s">
        <v>545</v>
      </c>
      <c r="H2" s="31" t="s">
        <v>47</v>
      </c>
      <c r="I2" s="31" t="s">
        <v>35</v>
      </c>
      <c r="J2" s="62">
        <v>200.0</v>
      </c>
    </row>
    <row r="3" ht="15.0" customHeight="1">
      <c r="A3" s="31" t="s">
        <v>77</v>
      </c>
      <c r="B3" s="31" t="s">
        <v>76</v>
      </c>
      <c r="D3" s="31" t="s">
        <v>453</v>
      </c>
      <c r="E3" s="31" t="s">
        <v>128</v>
      </c>
      <c r="F3" s="31" t="s">
        <v>546</v>
      </c>
      <c r="G3" s="31" t="s">
        <v>547</v>
      </c>
      <c r="H3" s="31" t="s">
        <v>189</v>
      </c>
      <c r="I3" s="31" t="s">
        <v>77</v>
      </c>
      <c r="J3" s="63"/>
    </row>
    <row r="4" ht="15.0" customHeight="1">
      <c r="A4" s="31" t="s">
        <v>79</v>
      </c>
      <c r="B4" s="31" t="s">
        <v>78</v>
      </c>
      <c r="D4" s="31" t="s">
        <v>429</v>
      </c>
      <c r="E4" s="31" t="s">
        <v>165</v>
      </c>
      <c r="F4" s="31" t="s">
        <v>548</v>
      </c>
      <c r="G4" s="31" t="s">
        <v>549</v>
      </c>
      <c r="I4" s="31" t="s">
        <v>79</v>
      </c>
      <c r="J4" s="62">
        <v>200.0</v>
      </c>
    </row>
    <row r="5" ht="15.0" customHeight="1">
      <c r="A5" s="31" t="s">
        <v>82</v>
      </c>
      <c r="B5" s="31" t="s">
        <v>81</v>
      </c>
      <c r="D5" s="31" t="s">
        <v>546</v>
      </c>
      <c r="F5" s="31" t="s">
        <v>550</v>
      </c>
      <c r="I5" s="31" t="s">
        <v>82</v>
      </c>
      <c r="J5" s="62">
        <v>200.0</v>
      </c>
    </row>
    <row r="6" ht="15.0" customHeight="1">
      <c r="A6" s="31" t="s">
        <v>85</v>
      </c>
      <c r="B6" s="31" t="s">
        <v>84</v>
      </c>
      <c r="D6" s="31" t="s">
        <v>135</v>
      </c>
      <c r="F6" s="31" t="s">
        <v>551</v>
      </c>
      <c r="I6" s="31" t="s">
        <v>85</v>
      </c>
      <c r="J6" s="62">
        <v>300.0</v>
      </c>
    </row>
    <row r="7" ht="15.0" customHeight="1">
      <c r="A7" s="31" t="s">
        <v>87</v>
      </c>
      <c r="B7" s="31" t="s">
        <v>86</v>
      </c>
      <c r="D7" s="31" t="s">
        <v>551</v>
      </c>
      <c r="I7" s="31" t="s">
        <v>87</v>
      </c>
      <c r="J7" s="63"/>
    </row>
    <row r="8" ht="15.0" customHeight="1">
      <c r="A8" s="31" t="s">
        <v>90</v>
      </c>
      <c r="B8" s="31" t="s">
        <v>89</v>
      </c>
      <c r="D8" s="31" t="s">
        <v>165</v>
      </c>
      <c r="I8" s="31" t="s">
        <v>90</v>
      </c>
      <c r="J8" s="62">
        <v>350.0</v>
      </c>
    </row>
    <row r="9" ht="15.0" customHeight="1">
      <c r="A9" s="31" t="s">
        <v>92</v>
      </c>
      <c r="B9" s="31" t="s">
        <v>91</v>
      </c>
      <c r="D9" s="31" t="s">
        <v>80</v>
      </c>
      <c r="I9" s="31" t="s">
        <v>92</v>
      </c>
      <c r="J9" s="62">
        <v>400.0</v>
      </c>
    </row>
    <row r="10" ht="15.0" customHeight="1">
      <c r="A10" s="31" t="s">
        <v>94</v>
      </c>
      <c r="B10" s="31" t="s">
        <v>93</v>
      </c>
      <c r="I10" s="31" t="s">
        <v>94</v>
      </c>
      <c r="J10" s="62">
        <v>200.0</v>
      </c>
    </row>
    <row r="11" ht="15.0" customHeight="1">
      <c r="A11" s="31" t="s">
        <v>97</v>
      </c>
      <c r="B11" s="31" t="s">
        <v>95</v>
      </c>
      <c r="I11" s="31" t="s">
        <v>97</v>
      </c>
      <c r="J11" s="62">
        <v>40.0</v>
      </c>
    </row>
    <row r="12" ht="15.0" customHeight="1">
      <c r="A12" s="31" t="s">
        <v>99</v>
      </c>
      <c r="B12" s="31" t="s">
        <v>98</v>
      </c>
      <c r="I12" s="31" t="s">
        <v>99</v>
      </c>
      <c r="J12" s="62">
        <v>300.0</v>
      </c>
    </row>
    <row r="13" ht="15.0" customHeight="1">
      <c r="A13" s="31" t="s">
        <v>101</v>
      </c>
      <c r="B13" s="31" t="s">
        <v>100</v>
      </c>
      <c r="I13" s="31" t="s">
        <v>101</v>
      </c>
      <c r="J13" s="62">
        <v>300.0</v>
      </c>
    </row>
    <row r="14" ht="15.0" customHeight="1">
      <c r="A14" s="31" t="s">
        <v>103</v>
      </c>
      <c r="B14" s="31" t="s">
        <v>102</v>
      </c>
      <c r="I14" s="31" t="s">
        <v>103</v>
      </c>
      <c r="J14" s="62">
        <v>50.0</v>
      </c>
    </row>
    <row r="15" ht="15.0" customHeight="1">
      <c r="A15" s="31" t="s">
        <v>105</v>
      </c>
      <c r="B15" s="31" t="s">
        <v>104</v>
      </c>
      <c r="I15" s="31" t="s">
        <v>105</v>
      </c>
      <c r="J15" s="62">
        <v>200.0</v>
      </c>
    </row>
    <row r="16" ht="15.0" customHeight="1">
      <c r="A16" s="31" t="s">
        <v>107</v>
      </c>
      <c r="B16" s="31" t="s">
        <v>106</v>
      </c>
      <c r="I16" s="31" t="s">
        <v>107</v>
      </c>
      <c r="J16" s="62">
        <v>100.0</v>
      </c>
    </row>
    <row r="17" ht="15.0" customHeight="1">
      <c r="A17" s="31" t="s">
        <v>109</v>
      </c>
      <c r="B17" s="31" t="s">
        <v>108</v>
      </c>
      <c r="I17" s="31" t="s">
        <v>109</v>
      </c>
      <c r="J17" s="62">
        <v>300.0</v>
      </c>
    </row>
    <row r="18" ht="15.0" customHeight="1">
      <c r="A18" s="31" t="s">
        <v>111</v>
      </c>
      <c r="B18" s="31" t="s">
        <v>110</v>
      </c>
      <c r="I18" s="31" t="s">
        <v>111</v>
      </c>
      <c r="J18" s="62">
        <v>300.0</v>
      </c>
    </row>
    <row r="19" ht="15.0" customHeight="1">
      <c r="A19" s="31" t="s">
        <v>113</v>
      </c>
      <c r="B19" s="31" t="s">
        <v>112</v>
      </c>
      <c r="I19" s="31" t="s">
        <v>113</v>
      </c>
      <c r="J19" s="62">
        <v>300.0</v>
      </c>
    </row>
    <row r="20" ht="15.0" customHeight="1">
      <c r="A20" s="31" t="s">
        <v>115</v>
      </c>
      <c r="B20" s="31" t="s">
        <v>114</v>
      </c>
      <c r="I20" s="31" t="s">
        <v>115</v>
      </c>
      <c r="J20" s="63"/>
    </row>
    <row r="21" ht="15.0" customHeight="1">
      <c r="A21" s="31" t="s">
        <v>117</v>
      </c>
      <c r="B21" s="31" t="s">
        <v>116</v>
      </c>
      <c r="I21" s="31" t="s">
        <v>117</v>
      </c>
      <c r="J21" s="62">
        <v>300.0</v>
      </c>
    </row>
    <row r="22" ht="15.0" customHeight="1">
      <c r="A22" s="31" t="s">
        <v>119</v>
      </c>
      <c r="B22" s="31" t="s">
        <v>118</v>
      </c>
      <c r="I22" s="31" t="s">
        <v>119</v>
      </c>
      <c r="J22" s="62">
        <v>200.0</v>
      </c>
    </row>
    <row r="23" ht="15.0" customHeight="1">
      <c r="A23" s="31" t="s">
        <v>122</v>
      </c>
      <c r="B23" s="31" t="s">
        <v>121</v>
      </c>
      <c r="I23" s="31" t="s">
        <v>122</v>
      </c>
      <c r="J23" s="62">
        <v>200.0</v>
      </c>
    </row>
    <row r="24" ht="15.0" customHeight="1">
      <c r="A24" s="31" t="s">
        <v>124</v>
      </c>
      <c r="B24" s="31" t="s">
        <v>123</v>
      </c>
      <c r="I24" s="31" t="s">
        <v>124</v>
      </c>
      <c r="J24" s="62">
        <v>100.0</v>
      </c>
    </row>
    <row r="25" ht="15.0" customHeight="1">
      <c r="A25" s="31" t="s">
        <v>126</v>
      </c>
      <c r="B25" s="31" t="s">
        <v>125</v>
      </c>
      <c r="I25" s="31" t="s">
        <v>126</v>
      </c>
      <c r="J25" s="63"/>
    </row>
    <row r="26" ht="15.0" customHeight="1">
      <c r="A26" s="31" t="s">
        <v>130</v>
      </c>
      <c r="B26" s="31" t="s">
        <v>129</v>
      </c>
      <c r="I26" s="31" t="s">
        <v>130</v>
      </c>
      <c r="J26" s="62">
        <v>50.0</v>
      </c>
    </row>
    <row r="27" ht="15.0" customHeight="1">
      <c r="A27" s="31" t="s">
        <v>132</v>
      </c>
      <c r="B27" s="31" t="s">
        <v>131</v>
      </c>
      <c r="I27" s="31" t="s">
        <v>132</v>
      </c>
      <c r="J27" s="62">
        <v>50.0</v>
      </c>
    </row>
    <row r="28" ht="14.25" customHeight="1">
      <c r="I28" s="31" t="s">
        <v>555</v>
      </c>
      <c r="J28" s="62">
        <v>50.0</v>
      </c>
    </row>
    <row r="29" ht="14.25" customHeight="1">
      <c r="I29" s="31" t="s">
        <v>556</v>
      </c>
      <c r="J29" s="62">
        <v>50.0</v>
      </c>
    </row>
    <row r="30" ht="14.25" customHeight="1">
      <c r="I30" s="31" t="s">
        <v>557</v>
      </c>
      <c r="J30" s="62">
        <v>100.0</v>
      </c>
    </row>
    <row r="31" ht="14.25" customHeight="1">
      <c r="I31" s="31" t="s">
        <v>558</v>
      </c>
      <c r="J31" s="63"/>
    </row>
    <row r="32" ht="14.25" customHeight="1">
      <c r="I32" s="31" t="s">
        <v>559</v>
      </c>
      <c r="J32" s="62">
        <v>200.0</v>
      </c>
    </row>
    <row r="33" ht="14.25" customHeight="1">
      <c r="I33" s="31" t="s">
        <v>560</v>
      </c>
      <c r="J33" s="62">
        <v>600.0</v>
      </c>
    </row>
    <row r="34" ht="14.25" customHeight="1">
      <c r="I34" s="31" t="s">
        <v>561</v>
      </c>
    </row>
    <row r="35" ht="14.25" customHeight="1">
      <c r="I35" s="31" t="s">
        <v>562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2026-08-11T20:56:08Z</dcterms:created>
  <dc:creator>openpyxl</dc:creator>
</cp:coreProperties>
</file>